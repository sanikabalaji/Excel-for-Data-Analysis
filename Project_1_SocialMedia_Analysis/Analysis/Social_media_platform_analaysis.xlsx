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ndia\Documents\"/>
    </mc:Choice>
  </mc:AlternateContent>
  <xr:revisionPtr revIDLastSave="0" documentId="8_{0EE02F36-8FDB-480A-846A-D457A2A03C59}" xr6:coauthVersionLast="47" xr6:coauthVersionMax="47" xr10:uidLastSave="{00000000-0000-0000-0000-000000000000}"/>
  <bookViews>
    <workbookView xWindow="-120" yWindow="-120" windowWidth="23280" windowHeight="14880" xr2:uid="{DC7D2980-9066-4D54-AACE-C0DB94A033E1}"/>
  </bookViews>
  <sheets>
    <sheet name="Social_Media_Platform_Analysis" sheetId="1" r:id="rId1"/>
  </sheets>
  <externalReferences>
    <externalReference r:id="rId2"/>
  </externalReferences>
  <definedNames>
    <definedName name="Slicer_Month">#N/A</definedName>
    <definedName name="Slicer_Week">#N/A</definedName>
    <definedName name="Slicer_Year">#N/A</definedName>
  </definedNames>
  <calcPr calcId="191029"/>
  <pivotCaches>
    <pivotCache cacheId="10" r:id="rId3"/>
    <pivotCache cacheId="11" r:id="rId4"/>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44" i="1" l="1" a="1"/>
  <c r="AC344" i="1" s="1"/>
  <c r="AB344" i="1"/>
  <c r="AA344" i="1"/>
  <c r="Z344" i="1"/>
  <c r="Y344" i="1"/>
  <c r="AC343" i="1" a="1"/>
  <c r="AC343" i="1" s="1"/>
  <c r="AB343" i="1"/>
  <c r="AA343" i="1"/>
  <c r="Z343" i="1"/>
  <c r="Y343" i="1"/>
  <c r="AB342" i="1"/>
  <c r="AA342" i="1"/>
  <c r="AC342" i="1" s="1" a="1"/>
  <c r="AC342" i="1" s="1"/>
  <c r="Z342" i="1"/>
  <c r="Y342" i="1"/>
  <c r="AB341" i="1"/>
  <c r="AA341" i="1"/>
  <c r="AC341" i="1" s="1" a="1"/>
  <c r="AC341" i="1" s="1"/>
  <c r="Z341" i="1"/>
  <c r="Y341" i="1"/>
  <c r="AC340" i="1" a="1"/>
  <c r="AC340" i="1" s="1"/>
  <c r="AB340" i="1"/>
  <c r="AA340" i="1"/>
  <c r="Z340" i="1"/>
  <c r="Y340" i="1"/>
  <c r="AC339" i="1" a="1"/>
  <c r="AC339" i="1" s="1"/>
  <c r="AB339" i="1"/>
  <c r="AA339" i="1"/>
  <c r="Z339" i="1"/>
  <c r="Y339" i="1"/>
  <c r="AB338" i="1"/>
  <c r="AA338" i="1"/>
  <c r="AC338" i="1" s="1" a="1"/>
  <c r="AC338" i="1" s="1"/>
  <c r="Z338" i="1"/>
  <c r="Y338" i="1"/>
  <c r="AB337" i="1"/>
  <c r="AA337" i="1"/>
  <c r="AC337" i="1" s="1" a="1"/>
  <c r="AC337" i="1" s="1"/>
  <c r="Z337" i="1"/>
  <c r="Y337" i="1"/>
  <c r="AC336" i="1" a="1"/>
  <c r="AC336" i="1" s="1"/>
  <c r="AB336" i="1"/>
  <c r="AA336" i="1"/>
  <c r="Z336" i="1"/>
  <c r="Y336" i="1"/>
  <c r="AC335" i="1" a="1"/>
  <c r="AC335" i="1" s="1"/>
  <c r="AB335" i="1"/>
  <c r="AA335" i="1"/>
  <c r="Z335" i="1"/>
  <c r="Y335" i="1"/>
  <c r="AB334" i="1"/>
  <c r="AA334" i="1"/>
  <c r="AC334" i="1" s="1" a="1"/>
  <c r="AC334" i="1" s="1"/>
  <c r="Z334" i="1"/>
  <c r="Y334" i="1"/>
  <c r="AB333" i="1"/>
  <c r="AA333" i="1"/>
  <c r="AC333" i="1" s="1" a="1"/>
  <c r="AC333" i="1" s="1"/>
  <c r="Z333" i="1"/>
  <c r="Y333" i="1"/>
  <c r="AC332" i="1" a="1"/>
  <c r="AC332" i="1" s="1"/>
  <c r="AB332" i="1"/>
  <c r="AA332" i="1"/>
  <c r="Z332" i="1"/>
  <c r="Y332" i="1"/>
  <c r="AC331" i="1" a="1"/>
  <c r="AC331" i="1" s="1"/>
  <c r="AB331" i="1"/>
  <c r="AA331" i="1"/>
  <c r="Z331" i="1"/>
  <c r="Y331" i="1"/>
  <c r="AB330" i="1"/>
  <c r="AA330" i="1"/>
  <c r="AC330" i="1" s="1" a="1"/>
  <c r="AC330" i="1" s="1"/>
  <c r="Z330" i="1"/>
  <c r="Y330" i="1"/>
  <c r="AB329" i="1"/>
  <c r="AA329" i="1"/>
  <c r="AC329" i="1" s="1" a="1"/>
  <c r="AC329" i="1" s="1"/>
  <c r="Z329" i="1"/>
  <c r="Y329" i="1"/>
  <c r="AC328" i="1" a="1"/>
  <c r="AC328" i="1" s="1"/>
  <c r="AB328" i="1"/>
  <c r="AA328" i="1"/>
  <c r="Z328" i="1"/>
  <c r="Y328" i="1"/>
  <c r="AC327" i="1" a="1"/>
  <c r="AC327" i="1" s="1"/>
  <c r="AB327" i="1"/>
  <c r="AA327" i="1"/>
  <c r="Z327" i="1"/>
  <c r="Y327" i="1"/>
  <c r="AB326" i="1"/>
  <c r="AA326" i="1"/>
  <c r="AC326" i="1" s="1" a="1"/>
  <c r="AC326" i="1" s="1"/>
  <c r="Z326" i="1"/>
  <c r="Y326" i="1"/>
  <c r="AB325" i="1"/>
  <c r="AA325" i="1"/>
  <c r="AC325" i="1" s="1" a="1"/>
  <c r="AC325" i="1" s="1"/>
  <c r="Z325" i="1"/>
  <c r="Y325" i="1"/>
  <c r="AC324" i="1" a="1"/>
  <c r="AC324" i="1" s="1"/>
  <c r="AB324" i="1"/>
  <c r="AA324" i="1"/>
  <c r="Z324" i="1"/>
  <c r="Y324" i="1"/>
  <c r="AC323" i="1" a="1"/>
  <c r="AC323" i="1" s="1"/>
  <c r="AB323" i="1"/>
  <c r="AA323" i="1"/>
  <c r="Z323" i="1"/>
  <c r="Y323" i="1"/>
  <c r="AB322" i="1"/>
  <c r="AA322" i="1"/>
  <c r="AC322" i="1" s="1" a="1"/>
  <c r="AC322" i="1" s="1"/>
  <c r="Z322" i="1"/>
  <c r="Y322" i="1"/>
  <c r="AB321" i="1"/>
  <c r="AA321" i="1"/>
  <c r="AC321" i="1" s="1" a="1"/>
  <c r="AC321" i="1" s="1"/>
  <c r="Z321" i="1"/>
  <c r="Y321" i="1"/>
  <c r="AC320" i="1" a="1"/>
  <c r="AC320" i="1" s="1"/>
  <c r="AB320" i="1"/>
  <c r="AA320" i="1"/>
  <c r="Z320" i="1"/>
  <c r="Y320" i="1"/>
  <c r="AC319" i="1" a="1"/>
  <c r="AC319" i="1" s="1"/>
  <c r="AB319" i="1"/>
  <c r="AA319" i="1"/>
  <c r="Z319" i="1"/>
  <c r="Y319" i="1"/>
  <c r="AB318" i="1"/>
  <c r="AA318" i="1"/>
  <c r="AC318" i="1" s="1" a="1"/>
  <c r="AC318" i="1" s="1"/>
  <c r="Z318" i="1"/>
  <c r="Y318" i="1"/>
  <c r="AB317" i="1"/>
  <c r="AA317" i="1"/>
  <c r="AC317" i="1" s="1" a="1"/>
  <c r="AC317" i="1" s="1"/>
  <c r="Z317" i="1"/>
  <c r="Y317" i="1"/>
  <c r="AC316" i="1" a="1"/>
  <c r="AC316" i="1" s="1"/>
  <c r="AB316" i="1"/>
  <c r="AA316" i="1"/>
  <c r="Z316" i="1"/>
  <c r="Y316" i="1"/>
  <c r="AC315" i="1" a="1"/>
  <c r="AC315" i="1" s="1"/>
  <c r="AB315" i="1"/>
  <c r="AA315" i="1"/>
  <c r="Z315" i="1"/>
  <c r="Y315" i="1"/>
  <c r="AB314" i="1"/>
  <c r="AA314" i="1"/>
  <c r="Z314" i="1"/>
  <c r="Y314" i="1"/>
  <c r="AB313" i="1"/>
  <c r="AA313" i="1"/>
  <c r="AC313" i="1" s="1" a="1"/>
  <c r="AC313" i="1" s="1"/>
  <c r="Z313" i="1"/>
  <c r="Y313" i="1"/>
  <c r="AB312" i="1"/>
  <c r="AA312" i="1"/>
  <c r="AC312" i="1" s="1" a="1"/>
  <c r="AC312" i="1" s="1"/>
  <c r="Z312" i="1"/>
  <c r="Y312" i="1"/>
  <c r="AB311" i="1"/>
  <c r="AA311" i="1"/>
  <c r="Z311" i="1"/>
  <c r="Y311" i="1"/>
  <c r="AC310" i="1" a="1"/>
  <c r="AC310" i="1" s="1"/>
  <c r="AB310" i="1"/>
  <c r="AA310" i="1"/>
  <c r="Z310" i="1"/>
  <c r="Y310" i="1"/>
  <c r="AC309" i="1" a="1"/>
  <c r="AC309" i="1" s="1"/>
  <c r="AB309" i="1"/>
  <c r="AA309" i="1"/>
  <c r="Z309" i="1"/>
  <c r="Y309" i="1"/>
  <c r="AB308" i="1"/>
  <c r="AA308" i="1"/>
  <c r="AC308" i="1" s="1" a="1"/>
  <c r="AC308" i="1" s="1"/>
  <c r="Z308" i="1"/>
  <c r="Y308" i="1"/>
  <c r="AB307" i="1"/>
  <c r="AA307" i="1"/>
  <c r="AC307" i="1" s="1" a="1"/>
  <c r="AC307" i="1" s="1"/>
  <c r="Z307" i="1"/>
  <c r="Y307" i="1"/>
  <c r="AC306" i="1" a="1"/>
  <c r="AC306" i="1" s="1"/>
  <c r="AB306" i="1"/>
  <c r="AA306" i="1"/>
  <c r="Z306" i="1"/>
  <c r="Y306" i="1"/>
  <c r="AC305" i="1" a="1"/>
  <c r="AC305" i="1" s="1"/>
  <c r="AB305" i="1"/>
  <c r="AA305" i="1"/>
  <c r="Z305" i="1"/>
  <c r="Y305" i="1"/>
  <c r="AB304" i="1"/>
  <c r="AA304" i="1"/>
  <c r="AC304" i="1" s="1" a="1"/>
  <c r="AC304" i="1" s="1"/>
  <c r="Z304" i="1"/>
  <c r="Y304" i="1"/>
  <c r="AB303" i="1"/>
  <c r="AA303" i="1"/>
  <c r="AC303" i="1" s="1" a="1"/>
  <c r="AC303" i="1" s="1"/>
  <c r="Z303" i="1"/>
  <c r="Y303" i="1"/>
  <c r="AC302" i="1" a="1"/>
  <c r="AC302" i="1" s="1"/>
  <c r="AB302" i="1"/>
  <c r="AA302" i="1"/>
  <c r="Z302" i="1"/>
  <c r="Y302" i="1"/>
  <c r="AC301" i="1" a="1"/>
  <c r="AC301" i="1" s="1"/>
  <c r="AB301" i="1"/>
  <c r="AA301" i="1"/>
  <c r="Z301" i="1"/>
  <c r="Y301" i="1"/>
  <c r="AB300" i="1"/>
  <c r="AA300" i="1"/>
  <c r="AC300" i="1" s="1" a="1"/>
  <c r="AC300" i="1" s="1"/>
  <c r="Z300" i="1"/>
  <c r="Y300" i="1"/>
  <c r="AB299" i="1"/>
  <c r="AA299" i="1"/>
  <c r="AC299" i="1" s="1" a="1"/>
  <c r="AC299" i="1" s="1"/>
  <c r="Z299" i="1"/>
  <c r="Y299" i="1"/>
  <c r="AC298" i="1" a="1"/>
  <c r="AC298" i="1" s="1"/>
  <c r="AB298" i="1"/>
  <c r="AA298" i="1"/>
  <c r="Z298" i="1"/>
  <c r="Y298" i="1"/>
  <c r="AC297" i="1" a="1"/>
  <c r="AC297" i="1" s="1"/>
  <c r="AB297" i="1"/>
  <c r="AA297" i="1"/>
  <c r="Z297" i="1"/>
  <c r="Y297" i="1"/>
  <c r="AB296" i="1"/>
  <c r="AA296" i="1"/>
  <c r="AC296" i="1" s="1" a="1"/>
  <c r="AC296" i="1" s="1"/>
  <c r="Z296" i="1"/>
  <c r="Y296" i="1"/>
  <c r="AB295" i="1"/>
  <c r="AA295" i="1"/>
  <c r="AC295" i="1" s="1" a="1"/>
  <c r="AC295" i="1" s="1"/>
  <c r="Z295" i="1"/>
  <c r="Y295" i="1"/>
  <c r="AC294" i="1" a="1"/>
  <c r="AC294" i="1" s="1"/>
  <c r="AB294" i="1"/>
  <c r="AA294" i="1"/>
  <c r="Z294" i="1"/>
  <c r="Y294" i="1"/>
  <c r="AC293" i="1" a="1"/>
  <c r="AC293" i="1" s="1"/>
  <c r="AB293" i="1"/>
  <c r="AA293" i="1"/>
  <c r="Z293" i="1"/>
  <c r="Y293" i="1"/>
  <c r="AB292" i="1"/>
  <c r="AA292" i="1"/>
  <c r="AC292" i="1" s="1" a="1"/>
  <c r="AC292" i="1" s="1"/>
  <c r="Z292" i="1"/>
  <c r="Y292" i="1"/>
  <c r="AB291" i="1"/>
  <c r="AA291" i="1"/>
  <c r="AC291" i="1" s="1" a="1"/>
  <c r="AC291" i="1" s="1"/>
  <c r="Z291" i="1"/>
  <c r="Y291" i="1"/>
  <c r="AC290" i="1" a="1"/>
  <c r="AC290" i="1" s="1"/>
  <c r="AB290" i="1"/>
  <c r="AA290" i="1"/>
  <c r="Z290" i="1"/>
  <c r="Y290" i="1"/>
  <c r="AC289" i="1" a="1"/>
  <c r="AC289" i="1" s="1"/>
  <c r="AB289" i="1"/>
  <c r="AA289" i="1"/>
  <c r="Z289" i="1"/>
  <c r="Y289" i="1"/>
  <c r="AB288" i="1"/>
  <c r="AA288" i="1"/>
  <c r="AC288" i="1" s="1" a="1"/>
  <c r="AC288" i="1" s="1"/>
  <c r="Z288" i="1"/>
  <c r="Y288" i="1"/>
  <c r="AB287" i="1"/>
  <c r="AA287" i="1"/>
  <c r="AC287" i="1" s="1" a="1"/>
  <c r="AC287" i="1" s="1"/>
  <c r="Z287" i="1"/>
  <c r="Y287" i="1"/>
  <c r="AC286" i="1" a="1"/>
  <c r="AC286" i="1" s="1"/>
  <c r="AB286" i="1"/>
  <c r="AA286" i="1"/>
  <c r="Z286" i="1"/>
  <c r="Y286" i="1"/>
  <c r="AC285" i="1" a="1"/>
  <c r="AC285" i="1" s="1"/>
  <c r="AB285" i="1"/>
  <c r="AA285" i="1"/>
  <c r="Z285" i="1"/>
  <c r="Y285" i="1"/>
  <c r="AB284" i="1"/>
  <c r="AA284" i="1"/>
  <c r="AC284" i="1" s="1" a="1"/>
  <c r="AC284" i="1" s="1"/>
  <c r="Z284" i="1"/>
  <c r="Y284" i="1"/>
  <c r="AB283" i="1"/>
  <c r="AA283" i="1"/>
  <c r="AC283" i="1" s="1" a="1"/>
  <c r="AC283" i="1" s="1"/>
  <c r="Z283" i="1"/>
  <c r="Y283" i="1"/>
  <c r="AC282" i="1" a="1"/>
  <c r="AC282" i="1" s="1"/>
  <c r="AB282" i="1"/>
  <c r="AA282" i="1"/>
  <c r="Z282" i="1"/>
  <c r="Y282" i="1"/>
  <c r="AC281" i="1" a="1"/>
  <c r="AC281" i="1" s="1"/>
  <c r="AB281" i="1"/>
  <c r="AA281" i="1"/>
  <c r="Z281" i="1"/>
  <c r="Y281" i="1"/>
  <c r="AB280" i="1"/>
  <c r="AA280" i="1"/>
  <c r="AC280" i="1" s="1" a="1"/>
  <c r="AC280" i="1" s="1"/>
  <c r="Z280" i="1"/>
  <c r="Y280" i="1"/>
  <c r="AB279" i="1"/>
  <c r="AA279" i="1"/>
  <c r="AC279" i="1" s="1" a="1"/>
  <c r="AC279" i="1" s="1"/>
  <c r="Z279" i="1"/>
  <c r="Y279" i="1"/>
  <c r="AC278" i="1" a="1"/>
  <c r="AC278" i="1" s="1"/>
  <c r="AB278" i="1"/>
  <c r="AA278" i="1"/>
  <c r="Z278" i="1"/>
  <c r="Y278" i="1"/>
  <c r="AC277" i="1" a="1"/>
  <c r="AC277" i="1" s="1"/>
  <c r="AB277" i="1"/>
  <c r="AA277" i="1"/>
  <c r="Z277" i="1"/>
  <c r="Y277" i="1"/>
  <c r="AB276" i="1"/>
  <c r="AA276" i="1"/>
  <c r="AC276" i="1" s="1" a="1"/>
  <c r="AC276" i="1" s="1"/>
  <c r="Z276" i="1"/>
  <c r="Y276" i="1"/>
  <c r="AB275" i="1"/>
  <c r="AA275" i="1"/>
  <c r="AC275" i="1" s="1" a="1"/>
  <c r="AC275" i="1" s="1"/>
  <c r="Z275" i="1"/>
  <c r="Y275" i="1"/>
  <c r="AC274" i="1" a="1"/>
  <c r="AC274" i="1" s="1"/>
  <c r="AB274" i="1"/>
  <c r="AA274" i="1"/>
  <c r="Z274" i="1"/>
  <c r="Y274" i="1"/>
  <c r="AC273" i="1" a="1"/>
  <c r="AC273" i="1" s="1"/>
  <c r="AB273" i="1"/>
  <c r="AA273" i="1"/>
  <c r="Z273" i="1"/>
  <c r="Y273" i="1"/>
  <c r="AB272" i="1"/>
  <c r="AA272" i="1"/>
  <c r="AC272" i="1" s="1" a="1"/>
  <c r="AC272" i="1" s="1"/>
  <c r="Z272" i="1"/>
  <c r="Y272" i="1"/>
  <c r="AB271" i="1"/>
  <c r="AA271" i="1"/>
  <c r="Z271" i="1"/>
  <c r="Y271" i="1"/>
  <c r="AB270" i="1"/>
  <c r="AA270" i="1"/>
  <c r="AC270" i="1" s="1" a="1"/>
  <c r="AC270" i="1" s="1"/>
  <c r="Z270" i="1"/>
  <c r="Y270" i="1"/>
  <c r="AC269" i="1" a="1"/>
  <c r="AC269" i="1" s="1"/>
  <c r="AB269" i="1"/>
  <c r="AA269" i="1"/>
  <c r="Z269" i="1"/>
  <c r="Y269" i="1"/>
  <c r="AC268" i="1" a="1"/>
  <c r="AC268" i="1" s="1"/>
  <c r="AB268" i="1"/>
  <c r="AA268" i="1"/>
  <c r="Z268" i="1"/>
  <c r="Y268" i="1"/>
  <c r="AB267" i="1"/>
  <c r="AA267" i="1"/>
  <c r="AC267" i="1" s="1" a="1"/>
  <c r="AC267" i="1" s="1"/>
  <c r="Z267" i="1"/>
  <c r="Y267" i="1"/>
  <c r="AB266" i="1"/>
  <c r="AA266" i="1"/>
  <c r="AC266" i="1" s="1" a="1"/>
  <c r="AC266" i="1" s="1"/>
  <c r="Z266" i="1"/>
  <c r="Y266" i="1"/>
  <c r="AC265" i="1" a="1"/>
  <c r="AC265" i="1" s="1"/>
  <c r="AB265" i="1"/>
  <c r="AA265" i="1"/>
  <c r="Z265" i="1"/>
  <c r="Y265" i="1"/>
  <c r="AC264" i="1" a="1"/>
  <c r="AC264" i="1" s="1"/>
  <c r="AB264" i="1"/>
  <c r="AA264" i="1"/>
  <c r="Z264" i="1"/>
  <c r="Y264" i="1"/>
  <c r="AB263" i="1"/>
  <c r="AA263" i="1"/>
  <c r="AC263" i="1" s="1" a="1"/>
  <c r="AC263" i="1" s="1"/>
  <c r="Z263" i="1"/>
  <c r="Y263" i="1"/>
  <c r="AB262" i="1"/>
  <c r="AA262" i="1"/>
  <c r="AC262" i="1" s="1" a="1"/>
  <c r="AC262" i="1" s="1"/>
  <c r="Z262" i="1"/>
  <c r="Y262" i="1"/>
  <c r="AC261" i="1" a="1"/>
  <c r="AC261" i="1" s="1"/>
  <c r="AB261" i="1"/>
  <c r="AA261" i="1"/>
  <c r="Z261" i="1"/>
  <c r="Y261" i="1"/>
  <c r="AC260" i="1" a="1"/>
  <c r="AC260" i="1" s="1"/>
  <c r="AB260" i="1"/>
  <c r="AA260" i="1"/>
  <c r="Z260" i="1"/>
  <c r="Y260" i="1"/>
  <c r="AB259" i="1"/>
  <c r="AA259" i="1"/>
  <c r="AC259" i="1" s="1" a="1"/>
  <c r="AC259" i="1" s="1"/>
  <c r="Z259" i="1"/>
  <c r="Y259" i="1"/>
  <c r="AB258" i="1"/>
  <c r="AA258" i="1"/>
  <c r="AC258" i="1" s="1" a="1"/>
  <c r="AC258" i="1" s="1"/>
  <c r="Z258" i="1"/>
  <c r="Y258" i="1"/>
  <c r="AC257" i="1" a="1"/>
  <c r="AC257" i="1" s="1"/>
  <c r="AB257" i="1"/>
  <c r="AA257" i="1"/>
  <c r="Z257" i="1"/>
  <c r="Y257" i="1"/>
  <c r="AC256" i="1" a="1"/>
  <c r="AC256" i="1" s="1"/>
  <c r="AB256" i="1"/>
  <c r="AA256" i="1"/>
  <c r="Z256" i="1"/>
  <c r="Y256" i="1"/>
  <c r="AB255" i="1"/>
  <c r="AA255" i="1"/>
  <c r="AC255" i="1" s="1" a="1"/>
  <c r="AC255" i="1" s="1"/>
  <c r="Z255" i="1"/>
  <c r="Y255" i="1"/>
  <c r="AB254" i="1"/>
  <c r="AA254" i="1"/>
  <c r="AC254" i="1" s="1" a="1"/>
  <c r="AC254" i="1" s="1"/>
  <c r="Z254" i="1"/>
  <c r="Y254" i="1"/>
  <c r="AC253" i="1" a="1"/>
  <c r="AC253" i="1" s="1"/>
  <c r="AB253" i="1"/>
  <c r="AA253" i="1"/>
  <c r="Z253" i="1"/>
  <c r="Y253" i="1"/>
  <c r="AC252" i="1" a="1"/>
  <c r="AC252" i="1" s="1"/>
  <c r="AB252" i="1"/>
  <c r="AA252" i="1"/>
  <c r="Z252" i="1"/>
  <c r="Y252" i="1"/>
  <c r="AB251" i="1"/>
  <c r="AA251" i="1"/>
  <c r="AC251" i="1" s="1" a="1"/>
  <c r="AC251" i="1" s="1"/>
  <c r="Z251" i="1"/>
  <c r="Y251" i="1"/>
  <c r="AB250" i="1"/>
  <c r="AA250" i="1"/>
  <c r="AC250" i="1" s="1" a="1"/>
  <c r="AC250" i="1" s="1"/>
  <c r="Z250" i="1"/>
  <c r="Y250" i="1"/>
  <c r="AC249" i="1" a="1"/>
  <c r="AC249" i="1" s="1"/>
  <c r="AB249" i="1"/>
  <c r="AA249" i="1"/>
  <c r="Z249" i="1"/>
  <c r="Y249" i="1"/>
  <c r="AB248" i="1"/>
  <c r="AA248" i="1"/>
  <c r="Z248" i="1"/>
  <c r="Y248" i="1"/>
  <c r="AC247" i="1" a="1"/>
  <c r="AC247" i="1" s="1"/>
  <c r="AB247" i="1"/>
  <c r="AA247" i="1"/>
  <c r="Z247" i="1"/>
  <c r="Y247" i="1"/>
  <c r="AB246" i="1"/>
  <c r="AA246" i="1"/>
  <c r="AC246" i="1" s="1" a="1"/>
  <c r="AC246" i="1" s="1"/>
  <c r="Z246" i="1"/>
  <c r="Y246" i="1"/>
  <c r="AB245" i="1"/>
  <c r="AA245" i="1"/>
  <c r="AC245" i="1" s="1" a="1"/>
  <c r="AC245" i="1" s="1"/>
  <c r="Z245" i="1"/>
  <c r="Y245" i="1"/>
  <c r="AC244" i="1" a="1"/>
  <c r="AC244" i="1" s="1"/>
  <c r="AB244" i="1"/>
  <c r="AA244" i="1"/>
  <c r="Z244" i="1"/>
  <c r="Y244" i="1"/>
  <c r="AC243" i="1" a="1"/>
  <c r="AC243" i="1" s="1"/>
  <c r="AB243" i="1"/>
  <c r="AA243" i="1"/>
  <c r="Z243" i="1"/>
  <c r="Y243" i="1"/>
  <c r="AB242" i="1"/>
  <c r="AA242" i="1"/>
  <c r="AC242" i="1" s="1" a="1"/>
  <c r="AC242" i="1" s="1"/>
  <c r="Z242" i="1"/>
  <c r="Y242" i="1"/>
  <c r="AB241" i="1"/>
  <c r="AA241" i="1"/>
  <c r="AC241" i="1" s="1" a="1"/>
  <c r="AC241" i="1" s="1"/>
  <c r="Z241" i="1"/>
  <c r="Y241" i="1"/>
  <c r="AC240" i="1" a="1"/>
  <c r="AC240" i="1" s="1"/>
  <c r="AB240" i="1"/>
  <c r="AA240" i="1"/>
  <c r="Z240" i="1"/>
  <c r="Y240" i="1"/>
  <c r="AC239" i="1" a="1"/>
  <c r="AC239" i="1" s="1"/>
  <c r="AB239" i="1"/>
  <c r="AA239" i="1"/>
  <c r="Z239" i="1"/>
  <c r="Y239" i="1"/>
  <c r="AB238" i="1"/>
  <c r="AA238" i="1"/>
  <c r="AC238" i="1" s="1" a="1"/>
  <c r="AC238" i="1" s="1"/>
  <c r="Z238" i="1"/>
  <c r="Y238" i="1"/>
  <c r="AB237" i="1"/>
  <c r="AA237" i="1"/>
  <c r="AC237" i="1" s="1" a="1"/>
  <c r="AC237" i="1" s="1"/>
  <c r="Z237" i="1"/>
  <c r="Y237" i="1"/>
  <c r="AC236" i="1" a="1"/>
  <c r="AC236" i="1" s="1"/>
  <c r="AB236" i="1"/>
  <c r="AA236" i="1"/>
  <c r="Z236" i="1"/>
  <c r="Y236" i="1"/>
  <c r="AC235" i="1" a="1"/>
  <c r="AC235" i="1" s="1"/>
  <c r="AB235" i="1"/>
  <c r="AA235" i="1"/>
  <c r="Z235" i="1"/>
  <c r="Y235" i="1"/>
  <c r="AB234" i="1"/>
  <c r="AA234" i="1"/>
  <c r="AC234" i="1" s="1" a="1"/>
  <c r="AC234" i="1" s="1"/>
  <c r="Z234" i="1"/>
  <c r="Y234" i="1"/>
  <c r="AB233" i="1"/>
  <c r="AA233" i="1"/>
  <c r="AC233" i="1" s="1" a="1"/>
  <c r="AC233" i="1" s="1"/>
  <c r="Z233" i="1"/>
  <c r="Y233" i="1"/>
  <c r="AC232" i="1" a="1"/>
  <c r="AC232" i="1" s="1"/>
  <c r="AB232" i="1"/>
  <c r="AA232" i="1"/>
  <c r="Z232" i="1"/>
  <c r="Y232" i="1"/>
  <c r="AC231" i="1" a="1"/>
  <c r="AC231" i="1" s="1"/>
  <c r="AB231" i="1"/>
  <c r="AA231" i="1"/>
  <c r="Z231" i="1"/>
  <c r="Y231" i="1"/>
  <c r="AB230" i="1"/>
  <c r="AA230" i="1"/>
  <c r="AC230" i="1" s="1" a="1"/>
  <c r="AC230" i="1" s="1"/>
  <c r="Z230" i="1"/>
  <c r="Y230" i="1"/>
  <c r="AB229" i="1"/>
  <c r="AA229" i="1"/>
  <c r="AC229" i="1" s="1" a="1"/>
  <c r="AC229" i="1" s="1"/>
  <c r="Z229" i="1"/>
  <c r="Y229" i="1"/>
  <c r="AC228" i="1" a="1"/>
  <c r="AC228" i="1" s="1"/>
  <c r="AB228" i="1"/>
  <c r="AA228" i="1"/>
  <c r="Z228" i="1"/>
  <c r="Y228" i="1"/>
  <c r="AC227" i="1" a="1"/>
  <c r="AC227" i="1" s="1"/>
  <c r="AB227" i="1"/>
  <c r="AA227" i="1"/>
  <c r="Z227" i="1"/>
  <c r="Y227" i="1"/>
  <c r="AB226" i="1"/>
  <c r="AA226" i="1"/>
  <c r="AC226" i="1" s="1" a="1"/>
  <c r="AC226" i="1" s="1"/>
  <c r="Z226" i="1"/>
  <c r="Y226" i="1"/>
  <c r="AB225" i="1"/>
  <c r="AA225" i="1"/>
  <c r="AC225" i="1" s="1" a="1"/>
  <c r="AC225" i="1" s="1"/>
  <c r="Z225" i="1"/>
  <c r="Y225" i="1"/>
  <c r="AC224" i="1" a="1"/>
  <c r="AC224" i="1" s="1"/>
  <c r="AB224" i="1"/>
  <c r="AA224" i="1"/>
  <c r="Z224" i="1"/>
  <c r="Y224" i="1"/>
  <c r="AC223" i="1" a="1"/>
  <c r="AC223" i="1" s="1"/>
  <c r="AB223" i="1"/>
  <c r="AA223" i="1"/>
  <c r="Z223" i="1"/>
  <c r="Y223" i="1"/>
  <c r="AB222" i="1"/>
  <c r="AA222" i="1"/>
  <c r="AC222" i="1" s="1" a="1"/>
  <c r="AC222" i="1" s="1"/>
  <c r="Z222" i="1"/>
  <c r="Y222" i="1"/>
  <c r="AB221" i="1"/>
  <c r="AA221" i="1"/>
  <c r="AC221" i="1" s="1" a="1"/>
  <c r="AC221" i="1" s="1"/>
  <c r="Z221" i="1"/>
  <c r="Y221" i="1"/>
  <c r="AC220" i="1" a="1"/>
  <c r="AC220" i="1" s="1"/>
  <c r="AB220" i="1"/>
  <c r="AA220" i="1"/>
  <c r="Z220" i="1"/>
  <c r="Y220" i="1"/>
  <c r="AC219" i="1" a="1"/>
  <c r="AC219" i="1" s="1"/>
  <c r="AB219" i="1"/>
  <c r="AA219" i="1"/>
  <c r="Z219" i="1"/>
  <c r="Y219" i="1"/>
  <c r="AB218" i="1"/>
  <c r="AA218" i="1"/>
  <c r="AC218" i="1" s="1" a="1"/>
  <c r="AC218" i="1" s="1"/>
  <c r="Z218" i="1"/>
  <c r="Y218" i="1"/>
  <c r="AB217" i="1"/>
  <c r="AA217" i="1"/>
  <c r="AC217" i="1" s="1" a="1"/>
  <c r="AC217" i="1" s="1"/>
  <c r="Z217" i="1"/>
  <c r="Y217" i="1"/>
  <c r="AC216" i="1" a="1"/>
  <c r="AC216" i="1" s="1"/>
  <c r="AB216" i="1"/>
  <c r="AA216" i="1"/>
  <c r="Z216" i="1"/>
  <c r="Y216" i="1"/>
  <c r="AC215" i="1" a="1"/>
  <c r="AC215" i="1" s="1"/>
  <c r="AB215" i="1"/>
  <c r="AA215" i="1"/>
  <c r="Z215" i="1"/>
  <c r="Y215" i="1"/>
  <c r="AB214" i="1"/>
  <c r="AA214" i="1"/>
  <c r="AC214" i="1" s="1" a="1"/>
  <c r="AC214" i="1" s="1"/>
  <c r="Z214" i="1"/>
  <c r="Y214" i="1"/>
  <c r="AB213" i="1"/>
  <c r="AA213" i="1"/>
  <c r="Z213" i="1"/>
  <c r="Y213" i="1"/>
  <c r="AB212" i="1"/>
  <c r="AA212" i="1"/>
  <c r="Z212" i="1"/>
  <c r="Y212" i="1"/>
  <c r="AB211" i="1"/>
  <c r="AA211" i="1"/>
  <c r="Z211" i="1"/>
  <c r="Y211" i="1"/>
  <c r="AB210" i="1"/>
  <c r="AA210" i="1"/>
  <c r="Z210" i="1"/>
  <c r="Y210" i="1"/>
  <c r="AB209" i="1"/>
  <c r="AA209" i="1"/>
  <c r="AC209" i="1" s="1" a="1"/>
  <c r="AC209" i="1" s="1"/>
  <c r="Z209" i="1"/>
  <c r="Y209" i="1"/>
  <c r="AC208" i="1" a="1"/>
  <c r="AC208" i="1" s="1"/>
  <c r="AB208" i="1"/>
  <c r="AA208" i="1"/>
  <c r="Z208" i="1"/>
  <c r="Y208" i="1"/>
  <c r="AC207" i="1" a="1"/>
  <c r="AC207" i="1" s="1"/>
  <c r="AB207" i="1"/>
  <c r="AA207" i="1"/>
  <c r="Z207" i="1"/>
  <c r="Y207" i="1"/>
  <c r="AB206" i="1"/>
  <c r="AA206" i="1"/>
  <c r="AC206" i="1" s="1" a="1"/>
  <c r="AC206" i="1" s="1"/>
  <c r="Z206" i="1"/>
  <c r="Y206" i="1"/>
  <c r="AB205" i="1"/>
  <c r="AA205" i="1"/>
  <c r="AC205" i="1" s="1" a="1"/>
  <c r="AC205" i="1" s="1"/>
  <c r="Z205" i="1"/>
  <c r="Y205" i="1"/>
  <c r="AC204" i="1" a="1"/>
  <c r="AC204" i="1" s="1"/>
  <c r="AB204" i="1"/>
  <c r="AA204" i="1"/>
  <c r="Z204" i="1"/>
  <c r="Y204" i="1"/>
  <c r="AC203" i="1" a="1"/>
  <c r="AC203" i="1" s="1"/>
  <c r="AB203" i="1"/>
  <c r="AA203" i="1"/>
  <c r="Z203" i="1"/>
  <c r="Y203" i="1"/>
  <c r="AB202" i="1"/>
  <c r="AA202" i="1"/>
  <c r="AC202" i="1" s="1" a="1"/>
  <c r="AC202" i="1" s="1"/>
  <c r="Z202" i="1"/>
  <c r="Y202" i="1"/>
  <c r="AB201" i="1"/>
  <c r="AA201" i="1"/>
  <c r="AC201" i="1" s="1" a="1"/>
  <c r="AC201" i="1" s="1"/>
  <c r="Z201" i="1"/>
  <c r="Y201" i="1"/>
  <c r="AC200" i="1" a="1"/>
  <c r="AC200" i="1" s="1"/>
  <c r="AB200" i="1"/>
  <c r="AA200" i="1"/>
  <c r="Z200" i="1"/>
  <c r="Y200" i="1"/>
  <c r="AC199" i="1" a="1"/>
  <c r="AC199" i="1" s="1"/>
  <c r="AB199" i="1"/>
  <c r="AA199" i="1"/>
  <c r="Z199" i="1"/>
  <c r="Y199" i="1"/>
  <c r="AB198" i="1"/>
  <c r="AA198" i="1"/>
  <c r="AC198" i="1" s="1" a="1"/>
  <c r="AC198" i="1" s="1"/>
  <c r="Z198" i="1"/>
  <c r="Y198" i="1"/>
  <c r="AB197" i="1"/>
  <c r="AA197" i="1"/>
  <c r="AC197" i="1" s="1" a="1"/>
  <c r="AC197" i="1" s="1"/>
  <c r="Z197" i="1"/>
  <c r="Y197" i="1"/>
  <c r="AC196" i="1" a="1"/>
  <c r="AC196" i="1" s="1"/>
  <c r="AB196" i="1"/>
  <c r="AA196" i="1"/>
  <c r="Z196" i="1"/>
  <c r="Y196" i="1"/>
  <c r="AC195" i="1" a="1"/>
  <c r="AC195" i="1" s="1"/>
  <c r="AB195" i="1"/>
  <c r="AA195" i="1"/>
  <c r="Z195" i="1"/>
  <c r="Y195" i="1"/>
  <c r="AB194" i="1"/>
  <c r="AA194" i="1"/>
  <c r="AC194" i="1" s="1" a="1"/>
  <c r="AC194" i="1" s="1"/>
  <c r="Z194" i="1"/>
  <c r="Y194" i="1"/>
  <c r="AB193" i="1"/>
  <c r="AA193" i="1"/>
  <c r="AC193" i="1" s="1" a="1"/>
  <c r="AC193" i="1" s="1"/>
  <c r="Z193" i="1"/>
  <c r="Y193" i="1"/>
  <c r="AC192" i="1" a="1"/>
  <c r="AC192" i="1" s="1"/>
  <c r="AB192" i="1"/>
  <c r="AA192" i="1"/>
  <c r="Z192" i="1"/>
  <c r="Y192" i="1"/>
  <c r="AC191" i="1" a="1"/>
  <c r="AC191" i="1" s="1"/>
  <c r="AB191" i="1"/>
  <c r="AA191" i="1"/>
  <c r="Z191" i="1"/>
  <c r="Y191" i="1"/>
  <c r="AB190" i="1"/>
  <c r="AA190" i="1"/>
  <c r="AC190" i="1" s="1" a="1"/>
  <c r="AC190" i="1" s="1"/>
  <c r="Z190" i="1"/>
  <c r="Y190" i="1"/>
  <c r="AB189" i="1"/>
  <c r="AA189" i="1"/>
  <c r="AC189" i="1" s="1" a="1"/>
  <c r="AC189" i="1" s="1"/>
  <c r="Z189" i="1"/>
  <c r="Y189" i="1"/>
  <c r="AC188" i="1" a="1"/>
  <c r="AC188" i="1" s="1"/>
  <c r="AB188" i="1"/>
  <c r="AA188" i="1"/>
  <c r="Z188" i="1"/>
  <c r="Y188" i="1"/>
  <c r="AC187" i="1" a="1"/>
  <c r="AC187" i="1" s="1"/>
  <c r="AB187" i="1"/>
  <c r="AA187" i="1"/>
  <c r="Z187" i="1"/>
  <c r="Y187" i="1"/>
  <c r="AB186" i="1"/>
  <c r="AA186" i="1"/>
  <c r="AC186" i="1" s="1" a="1"/>
  <c r="AC186" i="1" s="1"/>
  <c r="Z186" i="1"/>
  <c r="Y186" i="1"/>
  <c r="AB185" i="1"/>
  <c r="AA185" i="1"/>
  <c r="AC185" i="1" s="1" a="1"/>
  <c r="AC185" i="1" s="1"/>
  <c r="Z185" i="1"/>
  <c r="Y185" i="1"/>
  <c r="AC184" i="1" a="1"/>
  <c r="AC184" i="1" s="1"/>
  <c r="AB184" i="1"/>
  <c r="AA184" i="1"/>
  <c r="Z184" i="1"/>
  <c r="Y184" i="1"/>
  <c r="AC183" i="1" a="1"/>
  <c r="AC183" i="1" s="1"/>
  <c r="AB183" i="1"/>
  <c r="AA183" i="1"/>
  <c r="Z183" i="1"/>
  <c r="Y183" i="1"/>
  <c r="AB182" i="1"/>
  <c r="AA182" i="1"/>
  <c r="AC182" i="1" s="1" a="1"/>
  <c r="AC182" i="1" s="1"/>
  <c r="Z182" i="1"/>
  <c r="Y182" i="1"/>
  <c r="AB181" i="1"/>
  <c r="AA181" i="1"/>
  <c r="AC181" i="1" s="1" a="1"/>
  <c r="AC181" i="1" s="1"/>
  <c r="Z181" i="1"/>
  <c r="Y181" i="1"/>
  <c r="AC180" i="1" a="1"/>
  <c r="AC180" i="1" s="1"/>
  <c r="AB180" i="1"/>
  <c r="AA180" i="1"/>
  <c r="Z180" i="1"/>
  <c r="Y180" i="1"/>
  <c r="AC179" i="1" a="1"/>
  <c r="AC179" i="1" s="1"/>
  <c r="AB179" i="1"/>
  <c r="AA179" i="1"/>
  <c r="Z179" i="1"/>
  <c r="Y179" i="1"/>
  <c r="AB178" i="1"/>
  <c r="AA178" i="1"/>
  <c r="AC178" i="1" s="1" a="1"/>
  <c r="AC178" i="1" s="1"/>
  <c r="Z178" i="1"/>
  <c r="Y178" i="1"/>
  <c r="AB177" i="1"/>
  <c r="AA177" i="1"/>
  <c r="AC177" i="1" s="1" a="1"/>
  <c r="AC177" i="1" s="1"/>
  <c r="Z177" i="1"/>
  <c r="Y177" i="1"/>
  <c r="AB176" i="1"/>
  <c r="AA176" i="1"/>
  <c r="AC176" i="1" s="1" a="1"/>
  <c r="AC176" i="1" s="1"/>
  <c r="Z176" i="1"/>
  <c r="Y176" i="1"/>
  <c r="AC175" i="1" a="1"/>
  <c r="AC175" i="1" s="1"/>
  <c r="AB175" i="1"/>
  <c r="AA175" i="1"/>
  <c r="Z175" i="1"/>
  <c r="Y175" i="1"/>
  <c r="AC174" i="1" a="1"/>
  <c r="AC174" i="1" s="1"/>
  <c r="AB174" i="1"/>
  <c r="AA174" i="1"/>
  <c r="Z174" i="1"/>
  <c r="Y174" i="1"/>
  <c r="AB173" i="1"/>
  <c r="AA173" i="1"/>
  <c r="AC173" i="1" s="1" a="1"/>
  <c r="AC173" i="1" s="1"/>
  <c r="Z173" i="1"/>
  <c r="Y173" i="1"/>
  <c r="AB172" i="1"/>
  <c r="AA172" i="1"/>
  <c r="AC172" i="1" s="1" a="1"/>
  <c r="AC172" i="1" s="1"/>
  <c r="Z172" i="1"/>
  <c r="Y172" i="1"/>
  <c r="AC171" i="1" a="1"/>
  <c r="AC171" i="1" s="1"/>
  <c r="AB171" i="1"/>
  <c r="AA171" i="1"/>
  <c r="Z171" i="1"/>
  <c r="Y171" i="1"/>
  <c r="AC170" i="1" a="1"/>
  <c r="AC170" i="1" s="1"/>
  <c r="AB170" i="1"/>
  <c r="AA170" i="1"/>
  <c r="Z170" i="1"/>
  <c r="Y170" i="1"/>
  <c r="AB169" i="1"/>
  <c r="AA169" i="1"/>
  <c r="AC169" i="1" s="1" a="1"/>
  <c r="AC169" i="1" s="1"/>
  <c r="Z169" i="1"/>
  <c r="Y169" i="1"/>
  <c r="AC168" i="1" a="1"/>
  <c r="AC168" i="1" s="1"/>
  <c r="AB168" i="1"/>
  <c r="AA168" i="1"/>
  <c r="Z168" i="1"/>
  <c r="Y168" i="1"/>
  <c r="AB167" i="1"/>
  <c r="AA167" i="1"/>
  <c r="AC167" i="1" s="1" a="1"/>
  <c r="AC167" i="1" s="1"/>
  <c r="Z167" i="1"/>
  <c r="Y167" i="1"/>
  <c r="AC166" i="1" a="1"/>
  <c r="AC166" i="1" s="1"/>
  <c r="AB166" i="1"/>
  <c r="AA166" i="1"/>
  <c r="Z166" i="1"/>
  <c r="Y166" i="1"/>
  <c r="AB165" i="1"/>
  <c r="AA165" i="1"/>
  <c r="Z165" i="1"/>
  <c r="Y165" i="1"/>
  <c r="AB164" i="1"/>
  <c r="AA164" i="1"/>
  <c r="AC164" i="1" s="1" a="1"/>
  <c r="AC164" i="1" s="1"/>
  <c r="Z164" i="1"/>
  <c r="Y164" i="1"/>
  <c r="AB163" i="1"/>
  <c r="AA163" i="1"/>
  <c r="AC163" i="1" s="1" a="1"/>
  <c r="AC163" i="1" s="1"/>
  <c r="Z163" i="1"/>
  <c r="Y163" i="1"/>
  <c r="AB162" i="1"/>
  <c r="AA162" i="1"/>
  <c r="Z162" i="1"/>
  <c r="AC162" i="1" s="1" a="1"/>
  <c r="AC162" i="1" s="1"/>
  <c r="Y162" i="1"/>
  <c r="AB161" i="1"/>
  <c r="AA161" i="1"/>
  <c r="AC161" i="1" s="1" a="1"/>
  <c r="AC161" i="1" s="1"/>
  <c r="Z161" i="1"/>
  <c r="Y161" i="1"/>
  <c r="AC160" i="1" a="1"/>
  <c r="AC160" i="1" s="1"/>
  <c r="AB160" i="1"/>
  <c r="AA160" i="1"/>
  <c r="Z160" i="1"/>
  <c r="Y160" i="1"/>
  <c r="AB159" i="1"/>
  <c r="AC159" i="1" s="1" a="1"/>
  <c r="AC159" i="1" s="1"/>
  <c r="AA159" i="1"/>
  <c r="Z159" i="1"/>
  <c r="Y159" i="1"/>
  <c r="AB158" i="1"/>
  <c r="AA158" i="1"/>
  <c r="AC158" i="1" s="1" a="1"/>
  <c r="AC158" i="1" s="1"/>
  <c r="Z158" i="1"/>
  <c r="Y158" i="1"/>
  <c r="AC157" i="1" a="1"/>
  <c r="AC157" i="1" s="1"/>
  <c r="AB157" i="1"/>
  <c r="AA157" i="1"/>
  <c r="Z157" i="1"/>
  <c r="Y157" i="1"/>
  <c r="AB156" i="1"/>
  <c r="AA156" i="1"/>
  <c r="AC156" i="1" s="1" a="1"/>
  <c r="AC156" i="1" s="1"/>
  <c r="Z156" i="1"/>
  <c r="Y156" i="1"/>
  <c r="AB155" i="1"/>
  <c r="AA155" i="1"/>
  <c r="AC155" i="1" s="1" a="1"/>
  <c r="AC155" i="1" s="1"/>
  <c r="Z155" i="1"/>
  <c r="Y155" i="1"/>
  <c r="AB154" i="1"/>
  <c r="AA154" i="1"/>
  <c r="Z154" i="1"/>
  <c r="AC154" i="1" s="1" a="1"/>
  <c r="AC154" i="1" s="1"/>
  <c r="Y154" i="1"/>
  <c r="AB153" i="1"/>
  <c r="AA153" i="1"/>
  <c r="AC153" i="1" s="1" a="1"/>
  <c r="AC153" i="1" s="1"/>
  <c r="Z153" i="1"/>
  <c r="Y153" i="1"/>
  <c r="AC152" i="1" a="1"/>
  <c r="AC152" i="1" s="1"/>
  <c r="AB152" i="1"/>
  <c r="AA152" i="1"/>
  <c r="Z152" i="1"/>
  <c r="Y152" i="1"/>
  <c r="AB151" i="1"/>
  <c r="AC151" i="1" s="1" a="1"/>
  <c r="AC151" i="1" s="1"/>
  <c r="AA151" i="1"/>
  <c r="Z151" i="1"/>
  <c r="Y151" i="1"/>
  <c r="AB150" i="1"/>
  <c r="AA150" i="1"/>
  <c r="AC150" i="1" s="1" a="1"/>
  <c r="AC150" i="1" s="1"/>
  <c r="Z150" i="1"/>
  <c r="Y150" i="1"/>
  <c r="AB149" i="1"/>
  <c r="AA149" i="1"/>
  <c r="Z149" i="1"/>
  <c r="Y149" i="1"/>
  <c r="AB148" i="1"/>
  <c r="AA148" i="1"/>
  <c r="Z148" i="1"/>
  <c r="Y148" i="1"/>
  <c r="AC147" i="1" a="1"/>
  <c r="AC147" i="1" s="1"/>
  <c r="AB147" i="1"/>
  <c r="AA147" i="1"/>
  <c r="Z147" i="1"/>
  <c r="Y147" i="1"/>
  <c r="AB146" i="1"/>
  <c r="AA146" i="1"/>
  <c r="AC146" i="1" s="1" a="1"/>
  <c r="AC146" i="1" s="1"/>
  <c r="Z146" i="1"/>
  <c r="Y146" i="1"/>
  <c r="AB145" i="1"/>
  <c r="AA145" i="1"/>
  <c r="AC145" i="1" s="1" a="1"/>
  <c r="AC145" i="1" s="1"/>
  <c r="Z145" i="1"/>
  <c r="Y145" i="1"/>
  <c r="AB144" i="1"/>
  <c r="AA144" i="1"/>
  <c r="Z144" i="1"/>
  <c r="AC144" i="1" s="1" a="1"/>
  <c r="AC144" i="1" s="1"/>
  <c r="Y144" i="1"/>
  <c r="AB143" i="1"/>
  <c r="AA143" i="1"/>
  <c r="AC143" i="1" s="1" a="1"/>
  <c r="AC143" i="1" s="1"/>
  <c r="Z143" i="1"/>
  <c r="Y143" i="1"/>
  <c r="AC142" i="1" a="1"/>
  <c r="AC142" i="1" s="1"/>
  <c r="AB142" i="1"/>
  <c r="AA142" i="1"/>
  <c r="Z142" i="1"/>
  <c r="Y142" i="1"/>
  <c r="AB141" i="1"/>
  <c r="AC141" i="1" s="1" a="1"/>
  <c r="AC141" i="1" s="1"/>
  <c r="AA141" i="1"/>
  <c r="Z141" i="1"/>
  <c r="Y141" i="1"/>
  <c r="AB140" i="1"/>
  <c r="AA140" i="1"/>
  <c r="AC140" i="1" s="1" a="1"/>
  <c r="AC140" i="1" s="1"/>
  <c r="Z140" i="1"/>
  <c r="Y140" i="1"/>
  <c r="AC139" i="1" a="1"/>
  <c r="AC139" i="1" s="1"/>
  <c r="AB139" i="1"/>
  <c r="AA139" i="1"/>
  <c r="Z139" i="1"/>
  <c r="Y139" i="1"/>
  <c r="AB138" i="1"/>
  <c r="AA138" i="1"/>
  <c r="AC138" i="1" s="1" a="1"/>
  <c r="AC138" i="1" s="1"/>
  <c r="Z138" i="1"/>
  <c r="Y138" i="1"/>
  <c r="AB137" i="1"/>
  <c r="AA137" i="1"/>
  <c r="AC137" i="1" s="1" a="1"/>
  <c r="AC137" i="1" s="1"/>
  <c r="Z137" i="1"/>
  <c r="Y137" i="1"/>
  <c r="AB136" i="1"/>
  <c r="AA136" i="1"/>
  <c r="Z136" i="1"/>
  <c r="AC136" i="1" s="1" a="1"/>
  <c r="AC136" i="1" s="1"/>
  <c r="Y136" i="1"/>
  <c r="AB135" i="1"/>
  <c r="AA135" i="1"/>
  <c r="AC135" i="1" s="1" a="1"/>
  <c r="AC135" i="1" s="1"/>
  <c r="Z135" i="1"/>
  <c r="Y135" i="1"/>
  <c r="AC134" i="1" a="1"/>
  <c r="AC134" i="1" s="1"/>
  <c r="AB134" i="1"/>
  <c r="AA134" i="1"/>
  <c r="Z134" i="1"/>
  <c r="Y134" i="1"/>
  <c r="AB133" i="1"/>
  <c r="AC133" i="1" s="1" a="1"/>
  <c r="AC133" i="1" s="1"/>
  <c r="AA133" i="1"/>
  <c r="Z133" i="1"/>
  <c r="Y133" i="1"/>
  <c r="AB132" i="1"/>
  <c r="AA132" i="1"/>
  <c r="AC132" i="1" s="1" a="1"/>
  <c r="AC132" i="1" s="1"/>
  <c r="Z132" i="1"/>
  <c r="Y132" i="1"/>
  <c r="AC131" i="1" a="1"/>
  <c r="AC131" i="1" s="1"/>
  <c r="AB131" i="1"/>
  <c r="AA131" i="1"/>
  <c r="Z131" i="1"/>
  <c r="Y131" i="1"/>
  <c r="AB130" i="1"/>
  <c r="AA130" i="1"/>
  <c r="AC130" i="1" s="1" a="1"/>
  <c r="AC130" i="1" s="1"/>
  <c r="Z130" i="1"/>
  <c r="Y130" i="1"/>
  <c r="AB129" i="1"/>
  <c r="AA129" i="1"/>
  <c r="AC129" i="1" s="1" a="1"/>
  <c r="AC129" i="1" s="1"/>
  <c r="Z129" i="1"/>
  <c r="Y129" i="1"/>
  <c r="AB128" i="1"/>
  <c r="AA128" i="1"/>
  <c r="Z128" i="1"/>
  <c r="AC128" i="1" s="1" a="1"/>
  <c r="AC128" i="1" s="1"/>
  <c r="Y128" i="1"/>
  <c r="AB127" i="1"/>
  <c r="AA127" i="1"/>
  <c r="AC127" i="1" s="1" a="1"/>
  <c r="AC127" i="1" s="1"/>
  <c r="Z127" i="1"/>
  <c r="Y127" i="1"/>
  <c r="AC126" i="1" a="1"/>
  <c r="AC126" i="1" s="1"/>
  <c r="AB126" i="1"/>
  <c r="AA126" i="1"/>
  <c r="Z126" i="1"/>
  <c r="Y126" i="1"/>
  <c r="AB125" i="1"/>
  <c r="AC125" i="1" s="1" a="1"/>
  <c r="AC125" i="1" s="1"/>
  <c r="AA125" i="1"/>
  <c r="Z125" i="1"/>
  <c r="Y125" i="1"/>
  <c r="AB124" i="1"/>
  <c r="AA124" i="1"/>
  <c r="AC124" i="1" s="1" a="1"/>
  <c r="AC124" i="1" s="1"/>
  <c r="Z124" i="1"/>
  <c r="Y124" i="1"/>
  <c r="AC123" i="1" a="1"/>
  <c r="AC123" i="1" s="1"/>
  <c r="AB123" i="1"/>
  <c r="AA123" i="1"/>
  <c r="Z123" i="1"/>
  <c r="Y123" i="1"/>
  <c r="AB122" i="1"/>
  <c r="AA122" i="1"/>
  <c r="AC122" i="1" s="1" a="1"/>
  <c r="AC122" i="1" s="1"/>
  <c r="Z122" i="1"/>
  <c r="Y122" i="1"/>
  <c r="AB121" i="1"/>
  <c r="AA121" i="1"/>
  <c r="AC121" i="1" s="1" a="1"/>
  <c r="AC121" i="1" s="1"/>
  <c r="Z121" i="1"/>
  <c r="Y121" i="1"/>
  <c r="AB120" i="1"/>
  <c r="AA120" i="1"/>
  <c r="Z120" i="1"/>
  <c r="AC120" i="1" s="1" a="1"/>
  <c r="AC120" i="1" s="1"/>
  <c r="Y120" i="1"/>
  <c r="AB119" i="1"/>
  <c r="AA119" i="1"/>
  <c r="AC119" i="1" s="1" a="1"/>
  <c r="AC119" i="1" s="1"/>
  <c r="Z119" i="1"/>
  <c r="Y119" i="1"/>
  <c r="AC118" i="1" a="1"/>
  <c r="AC118" i="1" s="1"/>
  <c r="AB118" i="1"/>
  <c r="AA118" i="1"/>
  <c r="Z118" i="1"/>
  <c r="Y118" i="1"/>
  <c r="AB117" i="1"/>
  <c r="AC117" i="1" s="1" a="1"/>
  <c r="AC117" i="1" s="1"/>
  <c r="AA117" i="1"/>
  <c r="Z117" i="1"/>
  <c r="Y117" i="1"/>
  <c r="AB116" i="1"/>
  <c r="AA116" i="1"/>
  <c r="AC116" i="1" s="1" a="1"/>
  <c r="AC116" i="1" s="1"/>
  <c r="Z116" i="1"/>
  <c r="Y116" i="1"/>
  <c r="AC115" i="1" a="1"/>
  <c r="AC115" i="1" s="1"/>
  <c r="AB115" i="1"/>
  <c r="AA115" i="1"/>
  <c r="Z115" i="1"/>
  <c r="Y115" i="1"/>
  <c r="AB114" i="1"/>
  <c r="AA114" i="1"/>
  <c r="AC114" i="1" s="1" a="1"/>
  <c r="AC114" i="1" s="1"/>
  <c r="Z114" i="1"/>
  <c r="Y114" i="1"/>
  <c r="AB113" i="1"/>
  <c r="AA113" i="1"/>
  <c r="AC113" i="1" s="1" a="1"/>
  <c r="AC113" i="1" s="1"/>
  <c r="Z113" i="1"/>
  <c r="Y113" i="1"/>
  <c r="AB112" i="1"/>
  <c r="AA112" i="1"/>
  <c r="Z112" i="1"/>
  <c r="AC112" i="1" s="1" a="1"/>
  <c r="AC112" i="1" s="1"/>
  <c r="Y112" i="1"/>
  <c r="AB111" i="1"/>
  <c r="AA111" i="1"/>
  <c r="AC111" i="1" s="1" a="1"/>
  <c r="AC111" i="1" s="1"/>
  <c r="Z111" i="1"/>
  <c r="Y111" i="1"/>
  <c r="AC110" i="1" a="1"/>
  <c r="AC110" i="1" s="1"/>
  <c r="AB110" i="1"/>
  <c r="AA110" i="1"/>
  <c r="Z110" i="1"/>
  <c r="Y110" i="1"/>
  <c r="AB109" i="1"/>
  <c r="AC109" i="1" s="1" a="1"/>
  <c r="AC109" i="1" s="1"/>
  <c r="AA109" i="1"/>
  <c r="Z109" i="1"/>
  <c r="Y109" i="1"/>
  <c r="AB108" i="1"/>
  <c r="AA108" i="1"/>
  <c r="AC108" i="1" s="1" a="1"/>
  <c r="AC108" i="1" s="1"/>
  <c r="Z108" i="1"/>
  <c r="Y108" i="1"/>
  <c r="AC107" i="1" a="1"/>
  <c r="AC107" i="1" s="1"/>
  <c r="AB107" i="1"/>
  <c r="AA107" i="1"/>
  <c r="Z107" i="1"/>
  <c r="Y107" i="1"/>
  <c r="AB106" i="1"/>
  <c r="AA106" i="1"/>
  <c r="AC106" i="1" s="1" a="1"/>
  <c r="AC106" i="1" s="1"/>
  <c r="Z106" i="1"/>
  <c r="Y106" i="1"/>
  <c r="AB105" i="1"/>
  <c r="AA105" i="1"/>
  <c r="AC105" i="1" s="1" a="1"/>
  <c r="AC105" i="1" s="1"/>
  <c r="Z105" i="1"/>
  <c r="Y105" i="1"/>
  <c r="AB104" i="1"/>
  <c r="AA104" i="1"/>
  <c r="Z104" i="1"/>
  <c r="AC104" i="1" s="1" a="1"/>
  <c r="AC104" i="1" s="1"/>
  <c r="Y104" i="1"/>
  <c r="AB103" i="1"/>
  <c r="AA103" i="1"/>
  <c r="AC103" i="1" s="1" a="1"/>
  <c r="AC103" i="1" s="1"/>
  <c r="Z103" i="1"/>
  <c r="Y103" i="1"/>
  <c r="AC102" i="1" a="1"/>
  <c r="AC102" i="1" s="1"/>
  <c r="AB102" i="1"/>
  <c r="AA102" i="1"/>
  <c r="Z102" i="1"/>
  <c r="Y102" i="1"/>
  <c r="AB101" i="1"/>
  <c r="AC101" i="1" s="1" a="1"/>
  <c r="AC101" i="1" s="1"/>
  <c r="AA101" i="1"/>
  <c r="Z101" i="1"/>
  <c r="Y101" i="1"/>
  <c r="AB100" i="1"/>
  <c r="AA100" i="1"/>
  <c r="AC100" i="1" s="1" a="1"/>
  <c r="AC100" i="1" s="1"/>
  <c r="Z100" i="1"/>
  <c r="Y100" i="1"/>
  <c r="AC99" i="1" a="1"/>
  <c r="AC99" i="1" s="1"/>
  <c r="AB99" i="1"/>
  <c r="AA99" i="1"/>
  <c r="Z99" i="1"/>
  <c r="Y99" i="1"/>
  <c r="AB98" i="1"/>
  <c r="AA98" i="1"/>
  <c r="AC98" i="1" s="1" a="1"/>
  <c r="AC98" i="1" s="1"/>
  <c r="Z98" i="1"/>
  <c r="Y98" i="1"/>
  <c r="AB97" i="1"/>
  <c r="AA97" i="1"/>
  <c r="AC97" i="1" s="1" a="1"/>
  <c r="AC97" i="1" s="1"/>
  <c r="Z97" i="1"/>
  <c r="Y97" i="1"/>
  <c r="AB96" i="1"/>
  <c r="AA96" i="1"/>
  <c r="Z96" i="1"/>
  <c r="AC96" i="1" s="1" a="1"/>
  <c r="AC96" i="1" s="1"/>
  <c r="Y96" i="1"/>
  <c r="AB95" i="1"/>
  <c r="AA95" i="1"/>
  <c r="AC95" i="1" s="1" a="1"/>
  <c r="AC95" i="1" s="1"/>
  <c r="Z95" i="1"/>
  <c r="Y95" i="1"/>
  <c r="AC94" i="1" a="1"/>
  <c r="AC94" i="1" s="1"/>
  <c r="AB94" i="1"/>
  <c r="AA94" i="1"/>
  <c r="Z94" i="1"/>
  <c r="Y94" i="1"/>
  <c r="AB93" i="1"/>
  <c r="AC93" i="1" s="1" a="1"/>
  <c r="AC93" i="1" s="1"/>
  <c r="AA93" i="1"/>
  <c r="Z93" i="1"/>
  <c r="Y93" i="1"/>
  <c r="AB92" i="1"/>
  <c r="AA92" i="1"/>
  <c r="AC92" i="1" s="1" a="1"/>
  <c r="AC92" i="1" s="1"/>
  <c r="Z92" i="1"/>
  <c r="Y92" i="1"/>
  <c r="AC91" i="1" a="1"/>
  <c r="AC91" i="1" s="1"/>
  <c r="AB91" i="1"/>
  <c r="AA91" i="1"/>
  <c r="Z91" i="1"/>
  <c r="Y91" i="1"/>
  <c r="AB90" i="1"/>
  <c r="AA90" i="1"/>
  <c r="AC90" i="1" s="1" a="1"/>
  <c r="AC90" i="1" s="1"/>
  <c r="Z90" i="1"/>
  <c r="Y90" i="1"/>
  <c r="AB89" i="1"/>
  <c r="AA89" i="1"/>
  <c r="AC89" i="1" s="1" a="1"/>
  <c r="AC89" i="1" s="1"/>
  <c r="Z89" i="1"/>
  <c r="Y89" i="1"/>
  <c r="AB88" i="1"/>
  <c r="AA88" i="1"/>
  <c r="Z88" i="1"/>
  <c r="AC88" i="1" s="1" a="1"/>
  <c r="AC88" i="1" s="1"/>
  <c r="Y88" i="1"/>
  <c r="AB87" i="1"/>
  <c r="AA87" i="1"/>
  <c r="AC87" i="1" s="1" a="1"/>
  <c r="AC87" i="1" s="1"/>
  <c r="Z87" i="1"/>
  <c r="Y87" i="1"/>
  <c r="AC86" i="1" a="1"/>
  <c r="AC86" i="1" s="1"/>
  <c r="AB86" i="1"/>
  <c r="AA86" i="1"/>
  <c r="Z86" i="1"/>
  <c r="Y86" i="1"/>
  <c r="AB85" i="1"/>
  <c r="AC85" i="1" s="1" a="1"/>
  <c r="AC85" i="1" s="1"/>
  <c r="AA85" i="1"/>
  <c r="Z85" i="1"/>
  <c r="Y85" i="1"/>
  <c r="AB84" i="1"/>
  <c r="AA84" i="1"/>
  <c r="AC84" i="1" s="1" a="1"/>
  <c r="AC84" i="1" s="1"/>
  <c r="Z84" i="1"/>
  <c r="Y84" i="1"/>
  <c r="AC83" i="1" a="1"/>
  <c r="AC83" i="1" s="1"/>
  <c r="AB83" i="1"/>
  <c r="AA83" i="1"/>
  <c r="Z83" i="1"/>
  <c r="Y83" i="1"/>
  <c r="AB82" i="1"/>
  <c r="AA82" i="1"/>
  <c r="AC82" i="1" s="1" a="1"/>
  <c r="AC82" i="1" s="1"/>
  <c r="Z82" i="1"/>
  <c r="Y82" i="1"/>
  <c r="AB81" i="1"/>
  <c r="AA81" i="1"/>
  <c r="AC81" i="1" s="1" a="1"/>
  <c r="AC81" i="1" s="1"/>
  <c r="Z81" i="1"/>
  <c r="Y81" i="1"/>
  <c r="AB80" i="1"/>
  <c r="AA80" i="1"/>
  <c r="Z80" i="1"/>
  <c r="AC80" i="1" s="1" a="1"/>
  <c r="AC80" i="1" s="1"/>
  <c r="Y80" i="1"/>
  <c r="AB79" i="1"/>
  <c r="AA79" i="1"/>
  <c r="AC79" i="1" s="1" a="1"/>
  <c r="AC79" i="1" s="1"/>
  <c r="Z79" i="1"/>
  <c r="Y79" i="1"/>
  <c r="AC78" i="1" a="1"/>
  <c r="AC78" i="1" s="1"/>
  <c r="AB78" i="1"/>
  <c r="AA78" i="1"/>
  <c r="Z78" i="1"/>
  <c r="Y78" i="1"/>
  <c r="AB77" i="1"/>
  <c r="AA77" i="1"/>
  <c r="AC77" i="1" s="1" a="1"/>
  <c r="AC77" i="1" s="1"/>
  <c r="Z77" i="1"/>
  <c r="Y77" i="1"/>
  <c r="AC76" i="1" a="1"/>
  <c r="AC76" i="1" s="1"/>
  <c r="AB76" i="1"/>
  <c r="AA76" i="1"/>
  <c r="Z76" i="1"/>
  <c r="Y76" i="1"/>
  <c r="AB75" i="1"/>
  <c r="AA75" i="1"/>
  <c r="AC75" i="1" s="1" a="1"/>
  <c r="AC75" i="1" s="1"/>
  <c r="Z75" i="1"/>
  <c r="Y75" i="1"/>
  <c r="AC74" i="1" a="1"/>
  <c r="AC74" i="1" s="1"/>
  <c r="AB74" i="1"/>
  <c r="AA74" i="1"/>
  <c r="Z74" i="1"/>
  <c r="Y74" i="1"/>
  <c r="AB73" i="1"/>
  <c r="AA73" i="1"/>
  <c r="AC73" i="1" s="1" a="1"/>
  <c r="AC73" i="1" s="1"/>
  <c r="Z73" i="1"/>
  <c r="Y73" i="1"/>
  <c r="AC72" i="1" a="1"/>
  <c r="AC72" i="1" s="1"/>
  <c r="AB72" i="1"/>
  <c r="AA72" i="1"/>
  <c r="Z72" i="1"/>
  <c r="Y72" i="1"/>
  <c r="AB71" i="1"/>
  <c r="AA71" i="1"/>
  <c r="AC71" i="1" s="1" a="1"/>
  <c r="AC71" i="1" s="1"/>
  <c r="Z71" i="1"/>
  <c r="Y71" i="1"/>
  <c r="AC70" i="1" a="1"/>
  <c r="AC70" i="1" s="1"/>
  <c r="AB70" i="1"/>
  <c r="AA70" i="1"/>
  <c r="Z70" i="1"/>
  <c r="Y70" i="1"/>
  <c r="AB69" i="1"/>
  <c r="AA69" i="1"/>
  <c r="AC69" i="1" s="1" a="1"/>
  <c r="AC69" i="1" s="1"/>
  <c r="Z69" i="1"/>
  <c r="Y69" i="1"/>
  <c r="AC68" i="1" a="1"/>
  <c r="AC68" i="1" s="1"/>
  <c r="AB68" i="1"/>
  <c r="AA68" i="1"/>
  <c r="Z68" i="1"/>
  <c r="Y68" i="1"/>
  <c r="AB67" i="1"/>
  <c r="AA67" i="1"/>
  <c r="AC67" i="1" s="1" a="1"/>
  <c r="AC67" i="1" s="1"/>
  <c r="Z67" i="1"/>
  <c r="Y67" i="1"/>
  <c r="AC66" i="1" a="1"/>
  <c r="AC66" i="1" s="1"/>
  <c r="AB66" i="1"/>
  <c r="AA66" i="1"/>
  <c r="Z66" i="1"/>
  <c r="Y66" i="1"/>
  <c r="AB65" i="1"/>
  <c r="AA65" i="1"/>
  <c r="AC65" i="1" s="1" a="1"/>
  <c r="AC65" i="1" s="1"/>
  <c r="Z65" i="1"/>
  <c r="Y65" i="1"/>
  <c r="AC64" i="1" a="1"/>
  <c r="AC64" i="1" s="1"/>
  <c r="AB64" i="1"/>
  <c r="AA64" i="1"/>
  <c r="Z64" i="1"/>
  <c r="Y64" i="1"/>
  <c r="AB63" i="1"/>
  <c r="AA63" i="1"/>
  <c r="AC63" i="1" s="1" a="1"/>
  <c r="AC63" i="1" s="1"/>
  <c r="Z63" i="1"/>
  <c r="Y63" i="1"/>
  <c r="AC62" i="1" a="1"/>
  <c r="AC62" i="1" s="1"/>
  <c r="AB62" i="1"/>
  <c r="AA62" i="1"/>
  <c r="Z62" i="1"/>
  <c r="Y62" i="1"/>
  <c r="AB61" i="1"/>
  <c r="AA61" i="1"/>
  <c r="AC61" i="1" s="1" a="1"/>
  <c r="AC61" i="1" s="1"/>
  <c r="Z61" i="1"/>
  <c r="Y61" i="1"/>
  <c r="AC60" i="1" a="1"/>
  <c r="AC60" i="1" s="1"/>
  <c r="AB60" i="1"/>
  <c r="AA60" i="1"/>
  <c r="Z60" i="1"/>
  <c r="Y60" i="1"/>
  <c r="AB59" i="1"/>
  <c r="AA59" i="1"/>
  <c r="AC59" i="1" s="1" a="1"/>
  <c r="AC59" i="1" s="1"/>
  <c r="Z59" i="1"/>
  <c r="Y59" i="1"/>
  <c r="AC58" i="1" a="1"/>
  <c r="AC58" i="1" s="1"/>
  <c r="AB58" i="1"/>
  <c r="AA58" i="1"/>
  <c r="Z58" i="1"/>
  <c r="Y58" i="1"/>
  <c r="AB57" i="1"/>
  <c r="AA57" i="1"/>
  <c r="AC57" i="1" s="1" a="1"/>
  <c r="AC57" i="1" s="1"/>
  <c r="Z57" i="1"/>
  <c r="Y57" i="1"/>
  <c r="AC56" i="1" a="1"/>
  <c r="AC56" i="1" s="1"/>
  <c r="AB56" i="1"/>
  <c r="AA56" i="1"/>
  <c r="Z56" i="1"/>
  <c r="Y56" i="1"/>
  <c r="AB55" i="1"/>
  <c r="AA55" i="1"/>
  <c r="AC55" i="1" s="1" a="1"/>
  <c r="AC55" i="1" s="1"/>
  <c r="Z55" i="1"/>
  <c r="Y55" i="1"/>
  <c r="AC54" i="1" a="1"/>
  <c r="AC54" i="1" s="1"/>
  <c r="AB54" i="1"/>
  <c r="AA54" i="1"/>
  <c r="Z54" i="1"/>
  <c r="Y54" i="1"/>
  <c r="AB53" i="1"/>
  <c r="AA53" i="1"/>
  <c r="AC53" i="1" s="1" a="1"/>
  <c r="AC53" i="1" s="1"/>
  <c r="Z53" i="1"/>
  <c r="Y53" i="1"/>
  <c r="AC52" i="1" a="1"/>
  <c r="AC52" i="1" s="1"/>
  <c r="AB52" i="1"/>
  <c r="AA52" i="1"/>
  <c r="Z52" i="1"/>
  <c r="Y52" i="1"/>
  <c r="AB51" i="1"/>
  <c r="AA51" i="1"/>
  <c r="AC51" i="1" s="1" a="1"/>
  <c r="AC51" i="1" s="1"/>
  <c r="Z51" i="1"/>
  <c r="Y51" i="1"/>
  <c r="AC50" i="1" a="1"/>
  <c r="AC50" i="1" s="1"/>
  <c r="AB50" i="1"/>
  <c r="AA50" i="1"/>
  <c r="Z50" i="1"/>
  <c r="Y50" i="1"/>
  <c r="AB49" i="1"/>
  <c r="AA49" i="1"/>
  <c r="AC49" i="1" s="1" a="1"/>
  <c r="AC49" i="1" s="1"/>
  <c r="Z49" i="1"/>
  <c r="Y49" i="1"/>
  <c r="AC48" i="1" a="1"/>
  <c r="AC48" i="1" s="1"/>
  <c r="AB48" i="1"/>
  <c r="AA48" i="1"/>
  <c r="Z48" i="1"/>
  <c r="Y48" i="1"/>
  <c r="AB47" i="1"/>
  <c r="AA47" i="1"/>
  <c r="Z47" i="1"/>
  <c r="Y47" i="1"/>
  <c r="AB46" i="1"/>
  <c r="AA46" i="1"/>
  <c r="AC46" i="1" s="1" a="1"/>
  <c r="AC46" i="1" s="1"/>
  <c r="Z46" i="1"/>
  <c r="Y46" i="1"/>
  <c r="AC45" i="1" a="1"/>
  <c r="AC45" i="1" s="1"/>
  <c r="AB45" i="1"/>
  <c r="AA45" i="1"/>
  <c r="Z45" i="1"/>
  <c r="Y45" i="1"/>
  <c r="AB44" i="1"/>
  <c r="AA44" i="1"/>
  <c r="AC44" i="1" s="1" a="1"/>
  <c r="AC44" i="1" s="1"/>
  <c r="Z44" i="1"/>
  <c r="Y44" i="1"/>
  <c r="AC43" i="1" a="1"/>
  <c r="AC43" i="1" s="1"/>
  <c r="AB43" i="1"/>
  <c r="AA43" i="1"/>
  <c r="Z43" i="1"/>
  <c r="Y43" i="1"/>
  <c r="AB42" i="1"/>
  <c r="AA42" i="1"/>
  <c r="AC42" i="1" s="1" a="1"/>
  <c r="AC42" i="1" s="1"/>
  <c r="Z42" i="1"/>
  <c r="Y42" i="1"/>
  <c r="AC41" i="1" a="1"/>
  <c r="AC41" i="1" s="1"/>
  <c r="AB41" i="1"/>
  <c r="AA41" i="1"/>
  <c r="Z41" i="1"/>
  <c r="Y41" i="1"/>
  <c r="AB40" i="1"/>
  <c r="AA40" i="1"/>
  <c r="AC40" i="1" s="1" a="1"/>
  <c r="AC40" i="1" s="1"/>
  <c r="Z40" i="1"/>
  <c r="Y40" i="1"/>
  <c r="AC39" i="1" a="1"/>
  <c r="AC39" i="1" s="1"/>
  <c r="AB39" i="1"/>
  <c r="AA39" i="1"/>
  <c r="Z39" i="1"/>
  <c r="Y39" i="1"/>
  <c r="AB38" i="1"/>
  <c r="AA38" i="1"/>
  <c r="Z38" i="1"/>
  <c r="Y38" i="1"/>
  <c r="AB37" i="1"/>
  <c r="AA37" i="1"/>
  <c r="AC37" i="1" s="1" a="1"/>
  <c r="AC37" i="1" s="1"/>
  <c r="Z37" i="1"/>
  <c r="Y37" i="1"/>
  <c r="AC36" i="1" a="1"/>
  <c r="AC36" i="1" s="1"/>
  <c r="AB36" i="1"/>
  <c r="AA36" i="1"/>
  <c r="Z36" i="1"/>
  <c r="Y36" i="1"/>
  <c r="AB35" i="1"/>
  <c r="AA35" i="1"/>
  <c r="AC35" i="1" s="1" a="1"/>
  <c r="AC35" i="1" s="1"/>
  <c r="Z35" i="1"/>
  <c r="Y35" i="1"/>
  <c r="AC34" i="1" a="1"/>
  <c r="AC34" i="1" s="1"/>
  <c r="AB34" i="1"/>
  <c r="AA34" i="1"/>
  <c r="Z34" i="1"/>
  <c r="Y34" i="1"/>
  <c r="AB33" i="1"/>
  <c r="AA33" i="1"/>
  <c r="AC33" i="1" s="1" a="1"/>
  <c r="AC33" i="1" s="1"/>
  <c r="Z33" i="1"/>
  <c r="Y33" i="1"/>
  <c r="AC32" i="1" a="1"/>
  <c r="AC32" i="1" s="1"/>
  <c r="AB32" i="1"/>
  <c r="AA32" i="1"/>
  <c r="Z32" i="1"/>
  <c r="Y32" i="1"/>
  <c r="AB31" i="1"/>
  <c r="AA31" i="1"/>
  <c r="AC31" i="1" s="1" a="1"/>
  <c r="AC31" i="1" s="1"/>
  <c r="Z31" i="1"/>
  <c r="Y31" i="1"/>
  <c r="AC30" i="1" a="1"/>
  <c r="AC30" i="1" s="1"/>
  <c r="AB30" i="1"/>
  <c r="AA30" i="1"/>
  <c r="Z30" i="1"/>
  <c r="Y30" i="1"/>
  <c r="AB29" i="1"/>
  <c r="AA29" i="1"/>
  <c r="AC29" i="1" s="1" a="1"/>
  <c r="AC29" i="1" s="1"/>
  <c r="Z29" i="1"/>
  <c r="Y29" i="1"/>
  <c r="AC28" i="1" a="1"/>
  <c r="AC28" i="1" s="1"/>
  <c r="AB28" i="1"/>
  <c r="AA28" i="1"/>
  <c r="Z28" i="1"/>
  <c r="Y28" i="1"/>
  <c r="AB27" i="1"/>
  <c r="AA27" i="1"/>
  <c r="AC27" i="1" s="1" a="1"/>
  <c r="AC27" i="1" s="1"/>
  <c r="Z27" i="1"/>
  <c r="Y27" i="1"/>
  <c r="AC26" i="1" a="1"/>
  <c r="AC26" i="1" s="1"/>
  <c r="AB26" i="1"/>
  <c r="AA26" i="1"/>
  <c r="Z26" i="1"/>
  <c r="Y26" i="1"/>
  <c r="AB25" i="1"/>
  <c r="AA25" i="1"/>
  <c r="AC25" i="1" s="1" a="1"/>
  <c r="AC25" i="1" s="1"/>
  <c r="Z25" i="1"/>
  <c r="Y25" i="1"/>
  <c r="AC24" i="1" a="1"/>
  <c r="AC24" i="1" s="1"/>
  <c r="AB24" i="1"/>
  <c r="AA24" i="1"/>
  <c r="Z24" i="1"/>
  <c r="Y24" i="1"/>
  <c r="AB23" i="1"/>
  <c r="AA23" i="1"/>
  <c r="AC23" i="1" s="1" a="1"/>
  <c r="AC23" i="1" s="1"/>
  <c r="Z23" i="1"/>
  <c r="Y23" i="1"/>
  <c r="AC22" i="1" a="1"/>
  <c r="AC22" i="1" s="1"/>
  <c r="AB22" i="1"/>
  <c r="AA22" i="1"/>
  <c r="Z22" i="1"/>
  <c r="Y22" i="1"/>
  <c r="AB21" i="1"/>
  <c r="AA21" i="1"/>
  <c r="AC21" i="1" s="1" a="1"/>
  <c r="AC21" i="1" s="1"/>
  <c r="Z21" i="1"/>
  <c r="Y21" i="1"/>
  <c r="AC20" i="1" a="1"/>
  <c r="AC20" i="1" s="1"/>
  <c r="AB20" i="1"/>
  <c r="AA20" i="1"/>
  <c r="Z20" i="1"/>
  <c r="Y20" i="1"/>
  <c r="AB19" i="1"/>
  <c r="AA19" i="1"/>
  <c r="AC19" i="1" s="1" a="1"/>
  <c r="AC19" i="1" s="1"/>
  <c r="Z19" i="1"/>
  <c r="Y19" i="1"/>
  <c r="AC18" i="1" a="1"/>
  <c r="AC18" i="1" s="1"/>
  <c r="AB18" i="1"/>
  <c r="AA18" i="1"/>
  <c r="Z18" i="1"/>
  <c r="Y18" i="1"/>
  <c r="AB17" i="1"/>
  <c r="AA17" i="1"/>
  <c r="AC17" i="1" s="1" a="1"/>
  <c r="AC17" i="1" s="1"/>
  <c r="Z17" i="1"/>
  <c r="Y17" i="1"/>
  <c r="AC16" i="1" a="1"/>
  <c r="AC16" i="1" s="1"/>
  <c r="AB16" i="1"/>
  <c r="AA16" i="1"/>
  <c r="Z16" i="1"/>
  <c r="Y16" i="1"/>
  <c r="AB15" i="1"/>
  <c r="AA15" i="1"/>
  <c r="AC15" i="1" s="1" a="1"/>
  <c r="AC15" i="1" s="1"/>
  <c r="Z15" i="1"/>
  <c r="Y15" i="1"/>
  <c r="AC14" i="1" a="1"/>
  <c r="AC14" i="1" s="1"/>
  <c r="AB14" i="1"/>
  <c r="AA14" i="1"/>
  <c r="Z14" i="1"/>
  <c r="Y14" i="1"/>
  <c r="AB13" i="1"/>
  <c r="AA13" i="1"/>
  <c r="AC13" i="1" s="1" a="1"/>
  <c r="AC13" i="1" s="1"/>
  <c r="Z13" i="1"/>
  <c r="Y13" i="1"/>
  <c r="AC12" i="1" a="1"/>
  <c r="AC12" i="1" s="1"/>
  <c r="AB12" i="1"/>
  <c r="AA12" i="1"/>
  <c r="Z12" i="1"/>
  <c r="Y12" i="1"/>
  <c r="AB11" i="1"/>
  <c r="AA11" i="1"/>
  <c r="AC11" i="1" s="1" a="1"/>
  <c r="AC11" i="1" s="1"/>
  <c r="Z11" i="1"/>
  <c r="Y11" i="1"/>
  <c r="AC10" i="1" a="1"/>
  <c r="AC10" i="1" s="1"/>
  <c r="AB10" i="1"/>
  <c r="AA10" i="1"/>
  <c r="Z10" i="1"/>
  <c r="Y10" i="1"/>
  <c r="AB9" i="1"/>
  <c r="AA9" i="1"/>
  <c r="AC9" i="1" s="1" a="1"/>
  <c r="AC9" i="1" s="1"/>
  <c r="Z9" i="1"/>
  <c r="Y9" i="1"/>
  <c r="AC8" i="1" a="1"/>
  <c r="AC8" i="1" s="1"/>
  <c r="AB8" i="1"/>
  <c r="AA8" i="1"/>
  <c r="Z8" i="1"/>
  <c r="Y8" i="1"/>
  <c r="AB7" i="1"/>
  <c r="AA7" i="1"/>
  <c r="AC7" i="1" s="1" a="1"/>
  <c r="AC7" i="1" s="1"/>
  <c r="Z7" i="1"/>
  <c r="Y7" i="1"/>
  <c r="M7" i="1" a="1"/>
  <c r="M7" i="1" s="1"/>
  <c r="L7" i="1" a="1"/>
  <c r="L7" i="1" s="1"/>
  <c r="K7" i="1" a="1"/>
  <c r="K7" i="1" s="1"/>
  <c r="J7" i="1" a="1"/>
  <c r="J7" i="1" s="1"/>
  <c r="I7" i="1" a="1"/>
  <c r="I7" i="1" s="1"/>
  <c r="H7" i="1" a="1"/>
  <c r="H7" i="1" s="1"/>
  <c r="G7" i="1" a="1"/>
  <c r="G7" i="1" s="1"/>
  <c r="C7" i="1" a="1"/>
  <c r="C7" i="1" s="1"/>
  <c r="B7" i="1" a="1"/>
  <c r="B7" i="1" s="1"/>
  <c r="AB6" i="1"/>
  <c r="AA6" i="1"/>
  <c r="AC6" i="1" s="1" a="1"/>
  <c r="AC6" i="1" s="1"/>
  <c r="Z6" i="1"/>
  <c r="Y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<sst xmlns="http://schemas.openxmlformats.org/spreadsheetml/2006/main" count="394" uniqueCount="35">
  <si>
    <t>Social Media Platform Analysis</t>
  </si>
  <si>
    <t>Visualize the engagement by ad spent across platform</t>
  </si>
  <si>
    <t>Advise whether to focus on 1-2 core platforms or multiplatforms</t>
  </si>
  <si>
    <t>Comparing the growth rate of followers  per Platform( Growth rate = (New followers - Unfollowers)/previous week followers)</t>
  </si>
  <si>
    <t>Platform</t>
  </si>
  <si>
    <t>Date</t>
  </si>
  <si>
    <t>Engagement(Likes+Shares+Comments)</t>
  </si>
  <si>
    <t>Month</t>
  </si>
  <si>
    <t>Week</t>
  </si>
  <si>
    <t>Year</t>
  </si>
  <si>
    <t>ad spent</t>
  </si>
  <si>
    <t>Average of Engagement(Likes+Shares+Comments)</t>
  </si>
  <si>
    <t>Highest Engagement Platform</t>
  </si>
  <si>
    <t>Facebook</t>
  </si>
  <si>
    <t>Grand Total</t>
  </si>
  <si>
    <t>Average of Engagement_Rate</t>
  </si>
  <si>
    <t>Row Labels</t>
  </si>
  <si>
    <t>Average of Growth Rate</t>
  </si>
  <si>
    <t>Average of Engagement</t>
  </si>
  <si>
    <t>Average of ad spent</t>
  </si>
  <si>
    <t>Instagram</t>
  </si>
  <si>
    <t>Twitter</t>
  </si>
  <si>
    <t>YouTube</t>
  </si>
  <si>
    <t>Engagement year wise</t>
  </si>
  <si>
    <t>Formulas Used</t>
  </si>
  <si>
    <t>To calculate net growth</t>
  </si>
  <si>
    <t>New followers - Unfollowers</t>
  </si>
  <si>
    <t>To calculate growth rate</t>
  </si>
  <si>
    <t xml:space="preserve"> Netgraowth/ Previous week followers</t>
  </si>
  <si>
    <t>To extact data from other sheet</t>
  </si>
  <si>
    <t>Used Take ()</t>
  </si>
  <si>
    <t>To extract Month year and week from dates</t>
  </si>
  <si>
    <t>Used Month(), Year(), Week()</t>
  </si>
  <si>
    <t>Opinion on to focus 1-2 core platforms or multiplatforms</t>
  </si>
  <si>
    <r>
      <t>As you see in this bar graph,there is not much difference in the engagement(likes+ shares+Comments) of different platforms .Even though there is engagement drop in 2025, but there is not much difference on engagements produced by different platforms. So,</t>
    </r>
    <r>
      <rPr>
        <b/>
        <sz val="11"/>
        <color theme="1"/>
        <rFont val="Calibri"/>
        <family val="2"/>
        <scheme val="minor"/>
      </rPr>
      <t>multi-platform strategy</t>
    </r>
    <r>
      <rPr>
        <sz val="11"/>
        <color theme="1"/>
        <rFont val="Calibri"/>
        <family val="2"/>
        <scheme val="minor"/>
      </rPr>
      <t xml:space="preserve"> should be maintained to ensure audience reach and diversity, because each platform reaches a different segment of your audience, and no single platform is outperforming others enough to justify narrowing focus.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</si>
</sst>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3" fillId="2" borderId="1" xfId="0" applyFont="1" applyFill="1" applyBorder="1" applyAlignment="1">
      <alignment horizontal="center"/>
    </xf>
    <xf numFmtId="10" fontId="0" fillId="0" borderId="0" xfId="0" applyNumberFormat="1"/>
    <xf numFmtId="14" fontId="0" fillId="0" borderId="0" xfId="0" applyNumberFormat="1"/>
    <xf numFmtId="14" fontId="2" fillId="2" borderId="1" xfId="0" applyNumberFormat="1" applyFont="1" applyFill="1" applyBorder="1" applyAlignment="1">
      <alignment horizontal="center"/>
    </xf>
    <xf numFmtId="0" fontId="2" fillId="2" borderId="1" xfId="0" applyFont="1" applyFill="1" applyBorder="1" applyAlignment="1">
      <alignment horizontal="center"/>
    </xf>
    <xf numFmtId="0" fontId="4" fillId="2" borderId="1" xfId="0" applyFont="1" applyFill="1" applyBorder="1" applyAlignment="1">
      <alignment horizontal="center" vertical="center" wrapText="1"/>
    </xf>
    <xf numFmtId="0" fontId="2" fillId="0" borderId="1" xfId="0" applyFont="1" applyBorder="1"/>
    <xf numFmtId="14" fontId="2" fillId="0" borderId="2" xfId="0" applyNumberFormat="1" applyFont="1" applyBorder="1"/>
    <xf numFmtId="0" fontId="2" fillId="0" borderId="2" xfId="0" applyFont="1" applyBorder="1" applyAlignment="1">
      <alignment wrapText="1"/>
    </xf>
    <xf numFmtId="0" fontId="2" fillId="0" borderId="2" xfId="0" applyFont="1" applyBorder="1"/>
    <xf numFmtId="0" fontId="0" fillId="0" borderId="1" xfId="0" applyBorder="1"/>
    <xf numFmtId="0" fontId="1" fillId="2" borderId="1" xfId="0" applyFont="1" applyFill="1" applyBorder="1" applyAlignment="1">
      <alignment horizontal="center"/>
    </xf>
    <xf numFmtId="0" fontId="0" fillId="2" borderId="1" xfId="0" applyFill="1" applyBorder="1" applyAlignment="1">
      <alignment horizontal="center"/>
    </xf>
    <xf numFmtId="0" fontId="2" fillId="0" borderId="0" xfId="0" applyFont="1"/>
    <xf numFmtId="14" fontId="0" fillId="0" borderId="1" xfId="0" applyNumberFormat="1" applyBorder="1"/>
    <xf numFmtId="0" fontId="2" fillId="2" borderId="1" xfId="0" applyFont="1" applyFill="1" applyBorder="1"/>
    <xf numFmtId="0" fontId="2" fillId="2" borderId="3" xfId="0" applyFont="1" applyFill="1" applyBorder="1" applyAlignment="1">
      <alignment horizontal="right"/>
    </xf>
    <xf numFmtId="0" fontId="0" fillId="0" borderId="3" xfId="0" applyBorder="1"/>
    <xf numFmtId="0" fontId="0" fillId="0" borderId="2" xfId="0" applyBorder="1"/>
    <xf numFmtId="0" fontId="0" fillId="0" borderId="4" xfId="0" applyBorder="1"/>
    <xf numFmtId="0" fontId="0" fillId="0" borderId="1" xfId="0" applyBorder="1" applyAlignment="1">
      <alignment horizontal="left"/>
    </xf>
    <xf numFmtId="0" fontId="0" fillId="0" borderId="0" xfId="0" applyAlignment="1">
      <alignment horizontal="left"/>
    </xf>
    <xf numFmtId="0" fontId="0" fillId="3" borderId="1" xfId="0" applyFill="1" applyBorder="1" applyAlignment="1">
      <alignment horizontal="left"/>
    </xf>
    <xf numFmtId="0" fontId="0" fillId="3" borderId="1" xfId="0" applyFill="1" applyBorder="1"/>
    <xf numFmtId="0" fontId="0" fillId="0" borderId="0" xfId="0" applyAlignment="1">
      <alignment horizontal="left" indent="1"/>
    </xf>
    <xf numFmtId="0" fontId="2" fillId="4" borderId="1" xfId="0" applyFont="1" applyFill="1" applyBorder="1" applyAlignment="1">
      <alignment horizontal="center"/>
    </xf>
    <xf numFmtId="0" fontId="1" fillId="4" borderId="1" xfId="0" applyFont="1" applyFill="1" applyBorder="1" applyAlignment="1">
      <alignment horizontal="center" wrapText="1"/>
    </xf>
    <xf numFmtId="10" fontId="1" fillId="4" borderId="1" xfId="0" applyNumberFormat="1" applyFont="1" applyFill="1" applyBorder="1" applyAlignment="1">
      <alignment horizontal="center" wrapText="1"/>
    </xf>
    <xf numFmtId="10" fontId="0" fillId="4" borderId="1" xfId="0" applyNumberFormat="1" applyFill="1" applyBorder="1" applyAlignment="1">
      <alignment horizontal="center" wrapText="1"/>
    </xf>
    <xf numFmtId="0" fontId="1" fillId="4" borderId="1" xfId="0" applyFont="1" applyFill="1" applyBorder="1"/>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NumberFormat="1"/>
    <xf numFmtId="0" fontId="0" fillId="0" borderId="4" xfId="0" pivotButton="1" applyBorder="1"/>
  </cellXfs>
  <cellStyles count="1">
    <cellStyle name="Normal" xfId="0" builtinId="0"/>
  </cellStyles>
  <dxfs count="22">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[Social_media_platform_analaysis.xlsx]Social_Media_Platform_Analysis!PivotTable10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Growth</a:t>
            </a:r>
            <a:r>
              <a:rPr lang="en-GB" baseline="0"/>
              <a:t> Rate per Platform</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Social_Media_Platform_Analysis!$O$7</c:f>
              <c:strCache>
                <c:ptCount val="1"/>
                <c:pt idx="0">
                  <c:v>Total</c:v>
                </c:pt>
              </c:strCache>
            </c:strRef>
          </c:tx>
          <c:spPr>
            <a:solidFill>
              <a:schemeClr val="accent1"/>
            </a:solidFill>
            <a:ln>
              <a:noFill/>
            </a:ln>
            <a:effectLst/>
          </c:spPr>
          <c:invertIfNegative val="0"/>
          <c:cat>
            <c:multiLvlStrRef>
              <c:f>Social_Media_Platform_Analysis!$N$8:$N$20</c:f>
              <c:multiLvlStrCache>
                <c:ptCount val="8"/>
                <c:lvl>
                  <c:pt idx="0">
                    <c:v>2024</c:v>
                  </c:pt>
                  <c:pt idx="1">
                    <c:v>2025</c:v>
                  </c:pt>
                  <c:pt idx="2">
                    <c:v>2024</c:v>
                  </c:pt>
                  <c:pt idx="3">
                    <c:v>2025</c:v>
                  </c:pt>
                  <c:pt idx="4">
                    <c:v>2024</c:v>
                  </c:pt>
                  <c:pt idx="5">
                    <c:v>2025</c:v>
                  </c:pt>
                  <c:pt idx="6">
                    <c:v>2024</c:v>
                  </c:pt>
                  <c:pt idx="7">
                    <c:v>2025</c:v>
                  </c:pt>
                </c:lvl>
                <c:lvl>
                  <c:pt idx="0">
                    <c:v>Facebook</c:v>
                  </c:pt>
                  <c:pt idx="2">
                    <c:v>Instagram</c:v>
                  </c:pt>
                  <c:pt idx="4">
                    <c:v>Twitter</c:v>
                  </c:pt>
                  <c:pt idx="6">
                    <c:v>YouTube</c:v>
                  </c:pt>
                </c:lvl>
              </c:multiLvlStrCache>
            </c:multiLvlStrRef>
          </c:cat>
          <c:val>
            <c:numRef>
              <c:f>Social_Media_Platform_Analysis!$O$8:$O$20</c:f>
              <c:numCache>
                <c:formatCode>General</c:formatCode>
                <c:ptCount val="8"/>
                <c:pt idx="0">
                  <c:v>1.1414989134069196</c:v>
                </c:pt>
                <c:pt idx="1">
                  <c:v>0.97446717068120103</c:v>
                </c:pt>
                <c:pt idx="2">
                  <c:v>0.98135795363998157</c:v>
                </c:pt>
                <c:pt idx="3">
                  <c:v>1.0513024986709198</c:v>
                </c:pt>
                <c:pt idx="4">
                  <c:v>2.2638365018174578</c:v>
                </c:pt>
                <c:pt idx="5">
                  <c:v>0.88548634979182383</c:v>
                </c:pt>
                <c:pt idx="6">
                  <c:v>0.47149391188280693</c:v>
                </c:pt>
                <c:pt idx="7">
                  <c:v>0.48315581574510147</c:v>
                </c:pt>
              </c:numCache>
            </c:numRef>
          </c:val>
          <c:extLst>
            <c:ext xmlns:c16="http://schemas.microsoft.com/office/drawing/2014/chart" uri="{C3380CC4-5D6E-409C-BE32-E72D297353CC}">
              <c16:uniqueId val="{00000000-ED58-4532-B0FF-33A6D7945D6B}"/>
            </c:ext>
          </c:extLst>
        </c:ser>
        <c:dLbls>
          <c:showLegendKey val="0"/>
          <c:showVal val="0"/>
          <c:showCatName val="0"/>
          <c:showSerName val="0"/>
          <c:showPercent val="0"/>
          <c:showBubbleSize val="0"/>
        </c:dLbls>
        <c:gapWidth val="219"/>
        <c:overlap val="-27"/>
        <c:axId val="1739760416"/>
        <c:axId val="1674550576"/>
      </c:barChart>
      <c:catAx>
        <c:axId val="173976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50576"/>
        <c:crosses val="autoZero"/>
        <c:auto val="1"/>
        <c:lblAlgn val="ctr"/>
        <c:lblOffset val="100"/>
        <c:noMultiLvlLbl val="0"/>
      </c:catAx>
      <c:valAx>
        <c:axId val="167455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76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[Social_media_platform_analaysis.xlsx]Social_Media_Platform_Analysis!PivotTable15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Social_Media_Platform_Analysis!$AF$8</c:f>
              <c:strCache>
                <c:ptCount val="1"/>
                <c:pt idx="0">
                  <c:v>Average of Engagement</c:v>
                </c:pt>
              </c:strCache>
            </c:strRef>
          </c:tx>
          <c:spPr>
            <a:solidFill>
              <a:schemeClr val="accent1"/>
            </a:solidFill>
            <a:ln>
              <a:noFill/>
            </a:ln>
            <a:effectLst/>
          </c:spPr>
          <c:invertIfNegative val="0"/>
          <c:cat>
            <c:multiLvlStrRef>
              <c:f>Social_Media_Platform_Analysis!$AE$9:$AE$21</c:f>
              <c:multiLvlStrCache>
                <c:ptCount val="8"/>
                <c:lvl>
                  <c:pt idx="0">
                    <c:v>2024</c:v>
                  </c:pt>
                  <c:pt idx="1">
                    <c:v>2025</c:v>
                  </c:pt>
                  <c:pt idx="2">
                    <c:v>2024</c:v>
                  </c:pt>
                  <c:pt idx="3">
                    <c:v>2025</c:v>
                  </c:pt>
                  <c:pt idx="4">
                    <c:v>2024</c:v>
                  </c:pt>
                  <c:pt idx="5">
                    <c:v>2025</c:v>
                  </c:pt>
                  <c:pt idx="6">
                    <c:v>2024</c:v>
                  </c:pt>
                  <c:pt idx="7">
                    <c:v>2025</c:v>
                  </c:pt>
                </c:lvl>
                <c:lvl>
                  <c:pt idx="0">
                    <c:v>Facebook</c:v>
                  </c:pt>
                  <c:pt idx="2">
                    <c:v>Instagram</c:v>
                  </c:pt>
                  <c:pt idx="4">
                    <c:v>Twitter</c:v>
                  </c:pt>
                  <c:pt idx="6">
                    <c:v>YouTube</c:v>
                  </c:pt>
                </c:lvl>
              </c:multiLvlStrCache>
            </c:multiLvlStrRef>
          </c:cat>
          <c:val>
            <c:numRef>
              <c:f>Social_Media_Platform_Analysis!$AF$9:$AF$21</c:f>
              <c:numCache>
                <c:formatCode>General</c:formatCode>
                <c:ptCount val="8"/>
                <c:pt idx="0">
                  <c:v>3327.2372881355932</c:v>
                </c:pt>
                <c:pt idx="1">
                  <c:v>2487.4117647058824</c:v>
                </c:pt>
                <c:pt idx="2">
                  <c:v>3659.1525423728813</c:v>
                </c:pt>
                <c:pt idx="3">
                  <c:v>3756.5172413793102</c:v>
                </c:pt>
                <c:pt idx="4">
                  <c:v>3472.2222222222222</c:v>
                </c:pt>
                <c:pt idx="5">
                  <c:v>3310.8157894736842</c:v>
                </c:pt>
                <c:pt idx="6">
                  <c:v>3931.1463414634145</c:v>
                </c:pt>
                <c:pt idx="7">
                  <c:v>3526.16</c:v>
                </c:pt>
              </c:numCache>
            </c:numRef>
          </c:val>
          <c:extLst>
            <c:ext xmlns:c16="http://schemas.microsoft.com/office/drawing/2014/chart" uri="{C3380CC4-5D6E-409C-BE32-E72D297353CC}">
              <c16:uniqueId val="{00000000-B30D-4E34-A9F8-018E61BCBE4D}"/>
            </c:ext>
          </c:extLst>
        </c:ser>
        <c:ser>
          <c:idx val="1"/>
          <c:order val="1"/>
          <c:tx>
            <c:strRef>
              <c:f>Social_Media_Platform_Analysis!$AG$8</c:f>
              <c:strCache>
                <c:ptCount val="1"/>
                <c:pt idx="0">
                  <c:v>Average of ad spent</c:v>
                </c:pt>
              </c:strCache>
            </c:strRef>
          </c:tx>
          <c:spPr>
            <a:solidFill>
              <a:schemeClr val="accent2"/>
            </a:solidFill>
            <a:ln>
              <a:noFill/>
            </a:ln>
            <a:effectLst/>
          </c:spPr>
          <c:invertIfNegative val="0"/>
          <c:cat>
            <c:multiLvlStrRef>
              <c:f>Social_Media_Platform_Analysis!$AE$9:$AE$21</c:f>
              <c:multiLvlStrCache>
                <c:ptCount val="8"/>
                <c:lvl>
                  <c:pt idx="0">
                    <c:v>2024</c:v>
                  </c:pt>
                  <c:pt idx="1">
                    <c:v>2025</c:v>
                  </c:pt>
                  <c:pt idx="2">
                    <c:v>2024</c:v>
                  </c:pt>
                  <c:pt idx="3">
                    <c:v>2025</c:v>
                  </c:pt>
                  <c:pt idx="4">
                    <c:v>2024</c:v>
                  </c:pt>
                  <c:pt idx="5">
                    <c:v>2025</c:v>
                  </c:pt>
                  <c:pt idx="6">
                    <c:v>2024</c:v>
                  </c:pt>
                  <c:pt idx="7">
                    <c:v>2025</c:v>
                  </c:pt>
                </c:lvl>
                <c:lvl>
                  <c:pt idx="0">
                    <c:v>Facebook</c:v>
                  </c:pt>
                  <c:pt idx="2">
                    <c:v>Instagram</c:v>
                  </c:pt>
                  <c:pt idx="4">
                    <c:v>Twitter</c:v>
                  </c:pt>
                  <c:pt idx="6">
                    <c:v>YouTube</c:v>
                  </c:pt>
                </c:lvl>
              </c:multiLvlStrCache>
            </c:multiLvlStrRef>
          </c:cat>
          <c:val>
            <c:numRef>
              <c:f>Social_Media_Platform_Analysis!$AG$9:$AG$21</c:f>
              <c:numCache>
                <c:formatCode>General</c:formatCode>
                <c:ptCount val="8"/>
                <c:pt idx="0">
                  <c:v>24532.576271186441</c:v>
                </c:pt>
                <c:pt idx="1">
                  <c:v>32653.911764705881</c:v>
                </c:pt>
                <c:pt idx="2">
                  <c:v>25947.033898305086</c:v>
                </c:pt>
                <c:pt idx="3">
                  <c:v>23573.758620689656</c:v>
                </c:pt>
                <c:pt idx="4">
                  <c:v>21786.870370370369</c:v>
                </c:pt>
                <c:pt idx="5">
                  <c:v>19433.342105263157</c:v>
                </c:pt>
                <c:pt idx="6">
                  <c:v>27745.829268292684</c:v>
                </c:pt>
                <c:pt idx="7">
                  <c:v>28451.279999999999</c:v>
                </c:pt>
              </c:numCache>
            </c:numRef>
          </c:val>
          <c:extLst>
            <c:ext xmlns:c16="http://schemas.microsoft.com/office/drawing/2014/chart" uri="{C3380CC4-5D6E-409C-BE32-E72D297353CC}">
              <c16:uniqueId val="{00000001-B30D-4E34-A9F8-018E61BCBE4D}"/>
            </c:ext>
          </c:extLst>
        </c:ser>
        <c:dLbls>
          <c:showLegendKey val="0"/>
          <c:showVal val="0"/>
          <c:showCatName val="0"/>
          <c:showSerName val="0"/>
          <c:showPercent val="0"/>
          <c:showBubbleSize val="0"/>
        </c:dLbls>
        <c:gapWidth val="219"/>
        <c:overlap val="-27"/>
        <c:axId val="1851356768"/>
        <c:axId val="1766930224"/>
      </c:barChart>
      <c:catAx>
        <c:axId val="185135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930224"/>
        <c:crosses val="autoZero"/>
        <c:auto val="1"/>
        <c:lblAlgn val="ctr"/>
        <c:lblOffset val="100"/>
        <c:noMultiLvlLbl val="0"/>
      </c:catAx>
      <c:valAx>
        <c:axId val="176693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5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[Social_media_platform_analaysis.xlsx]Social_Media_Platform_Analysis!PivotTable16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Social_Media_Platform_Analysis!$AN$5:$AN$6</c:f>
              <c:strCache>
                <c:ptCount val="1"/>
                <c:pt idx="0">
                  <c:v>2024</c:v>
                </c:pt>
              </c:strCache>
            </c:strRef>
          </c:tx>
          <c:spPr>
            <a:solidFill>
              <a:schemeClr val="accent1"/>
            </a:solidFill>
            <a:ln>
              <a:noFill/>
            </a:ln>
            <a:effectLst/>
          </c:spPr>
          <c:invertIfNegative val="0"/>
          <c:cat>
            <c:strRef>
              <c:f>Social_Media_Platform_Analysis!$AM$7:$AM$11</c:f>
              <c:strCache>
                <c:ptCount val="4"/>
                <c:pt idx="0">
                  <c:v>Facebook</c:v>
                </c:pt>
                <c:pt idx="1">
                  <c:v>Instagram</c:v>
                </c:pt>
                <c:pt idx="2">
                  <c:v>Twitter</c:v>
                </c:pt>
                <c:pt idx="3">
                  <c:v>YouTube</c:v>
                </c:pt>
              </c:strCache>
            </c:strRef>
          </c:cat>
          <c:val>
            <c:numRef>
              <c:f>Social_Media_Platform_Analysis!$AN$7:$AN$11</c:f>
              <c:numCache>
                <c:formatCode>General</c:formatCode>
                <c:ptCount val="4"/>
                <c:pt idx="0">
                  <c:v>3327.2372881355932</c:v>
                </c:pt>
                <c:pt idx="1">
                  <c:v>3659.1525423728813</c:v>
                </c:pt>
                <c:pt idx="2">
                  <c:v>3472.2222222222222</c:v>
                </c:pt>
                <c:pt idx="3">
                  <c:v>3931.1463414634145</c:v>
                </c:pt>
              </c:numCache>
            </c:numRef>
          </c:val>
          <c:extLst>
            <c:ext xmlns:c16="http://schemas.microsoft.com/office/drawing/2014/chart" uri="{C3380CC4-5D6E-409C-BE32-E72D297353CC}">
              <c16:uniqueId val="{00000000-A072-4F82-B0E9-695A77637911}"/>
            </c:ext>
          </c:extLst>
        </c:ser>
        <c:ser>
          <c:idx val="1"/>
          <c:order val="1"/>
          <c:tx>
            <c:strRef>
              <c:f>Social_Media_Platform_Analysis!$AO$5:$AO$6</c:f>
              <c:strCache>
                <c:ptCount val="1"/>
                <c:pt idx="0">
                  <c:v>2025</c:v>
                </c:pt>
              </c:strCache>
            </c:strRef>
          </c:tx>
          <c:spPr>
            <a:solidFill>
              <a:schemeClr val="accent2"/>
            </a:solidFill>
            <a:ln>
              <a:noFill/>
            </a:ln>
            <a:effectLst/>
          </c:spPr>
          <c:invertIfNegative val="0"/>
          <c:cat>
            <c:strRef>
              <c:f>Social_Media_Platform_Analysis!$AM$7:$AM$11</c:f>
              <c:strCache>
                <c:ptCount val="4"/>
                <c:pt idx="0">
                  <c:v>Facebook</c:v>
                </c:pt>
                <c:pt idx="1">
                  <c:v>Instagram</c:v>
                </c:pt>
                <c:pt idx="2">
                  <c:v>Twitter</c:v>
                </c:pt>
                <c:pt idx="3">
                  <c:v>YouTube</c:v>
                </c:pt>
              </c:strCache>
            </c:strRef>
          </c:cat>
          <c:val>
            <c:numRef>
              <c:f>Social_Media_Platform_Analysis!$AO$7:$AO$11</c:f>
              <c:numCache>
                <c:formatCode>General</c:formatCode>
                <c:ptCount val="4"/>
                <c:pt idx="0">
                  <c:v>2487.4117647058824</c:v>
                </c:pt>
                <c:pt idx="1">
                  <c:v>3756.5172413793102</c:v>
                </c:pt>
                <c:pt idx="2">
                  <c:v>3310.8157894736842</c:v>
                </c:pt>
                <c:pt idx="3">
                  <c:v>3526.16</c:v>
                </c:pt>
              </c:numCache>
            </c:numRef>
          </c:val>
          <c:extLst>
            <c:ext xmlns:c16="http://schemas.microsoft.com/office/drawing/2014/chart" uri="{C3380CC4-5D6E-409C-BE32-E72D297353CC}">
              <c16:uniqueId val="{00000001-A072-4F82-B0E9-695A77637911}"/>
            </c:ext>
          </c:extLst>
        </c:ser>
        <c:dLbls>
          <c:showLegendKey val="0"/>
          <c:showVal val="0"/>
          <c:showCatName val="0"/>
          <c:showSerName val="0"/>
          <c:showPercent val="0"/>
          <c:showBubbleSize val="0"/>
        </c:dLbls>
        <c:gapWidth val="219"/>
        <c:overlap val="-27"/>
        <c:axId val="1199197871"/>
        <c:axId val="1977073168"/>
      </c:barChart>
      <c:catAx>
        <c:axId val="119919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073168"/>
        <c:crosses val="autoZero"/>
        <c:auto val="1"/>
        <c:lblAlgn val="ctr"/>
        <c:lblOffset val="100"/>
        <c:noMultiLvlLbl val="0"/>
      </c:catAx>
      <c:valAx>
        <c:axId val="197707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9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165100</xdr:colOff>
      <xdr:row>20</xdr:row>
      <xdr:rowOff>165100</xdr:rowOff>
    </xdr:from>
    <xdr:to>
      <xdr:col>20</xdr:col>
      <xdr:colOff>1092200</xdr:colOff>
      <xdr:row>35</xdr:row>
      <xdr:rowOff>50800</xdr:rowOff>
    </xdr:to>
    <xdr:graphicFrame macro="">
      <xdr:nvGraphicFramePr>
        <xdr:cNvPr id="2" name="Chart 1">
          <a:extLst>
            <a:ext uri="{FF2B5EF4-FFF2-40B4-BE49-F238E27FC236}">
              <a16:creationId xmlns:a16="http://schemas.microsoft.com/office/drawing/2014/main" id="{55CC89C9-1EB6-40F2-A45A-6B14BDD9B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76200</xdr:colOff>
      <xdr:row>6</xdr:row>
      <xdr:rowOff>63500</xdr:rowOff>
    </xdr:from>
    <xdr:to>
      <xdr:col>17</xdr:col>
      <xdr:colOff>12700</xdr:colOff>
      <xdr:row>19</xdr:row>
      <xdr:rowOff>15869</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9C562864-4C6A-4D02-8EF6-E21F5BDD1A8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448925" y="1606550"/>
              <a:ext cx="159385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152400</xdr:colOff>
      <xdr:row>6</xdr:row>
      <xdr:rowOff>0</xdr:rowOff>
    </xdr:from>
    <xdr:to>
      <xdr:col>19</xdr:col>
      <xdr:colOff>50800</xdr:colOff>
      <xdr:row>18</xdr:row>
      <xdr:rowOff>142869</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C8870935-7B90-4511-86B5-8B1788CA9B0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182475" y="1543050"/>
              <a:ext cx="159385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127000</xdr:colOff>
      <xdr:row>6</xdr:row>
      <xdr:rowOff>12700</xdr:rowOff>
    </xdr:from>
    <xdr:to>
      <xdr:col>20</xdr:col>
      <xdr:colOff>990600</xdr:colOff>
      <xdr:row>18</xdr:row>
      <xdr:rowOff>155569</xdr:rowOff>
    </xdr:to>
    <mc:AlternateContent xmlns:mc="http://schemas.openxmlformats.org/markup-compatibility/2006">
      <mc:Choice xmlns:a14="http://schemas.microsoft.com/office/drawing/2010/main" Requires="a14">
        <xdr:graphicFrame macro="">
          <xdr:nvGraphicFramePr>
            <xdr:cNvPr id="5" name="Week ">
              <a:extLst>
                <a:ext uri="{FF2B5EF4-FFF2-40B4-BE49-F238E27FC236}">
                  <a16:creationId xmlns:a16="http://schemas.microsoft.com/office/drawing/2014/main" id="{826404EF-6ED3-465F-9113-669FE414A383}"/>
                </a:ext>
              </a:extLst>
            </xdr:cNvPr>
            <xdr:cNvGraphicFramePr/>
          </xdr:nvGraphicFramePr>
          <xdr:xfrm>
            <a:off x="0" y="0"/>
            <a:ext cx="0" cy="0"/>
          </xdr:xfrm>
          <a:graphic>
            <a:graphicData uri="http://schemas.microsoft.com/office/drawing/2010/slicer">
              <sle:slicer xmlns:sle="http://schemas.microsoft.com/office/drawing/2010/slicer" name="Week "/>
            </a:graphicData>
          </a:graphic>
        </xdr:graphicFrame>
      </mc:Choice>
      <mc:Fallback>
        <xdr:sp macro="" textlink="">
          <xdr:nvSpPr>
            <xdr:cNvPr id="0" name=""/>
            <xdr:cNvSpPr>
              <a:spLocks noTextEdit="1"/>
            </xdr:cNvSpPr>
          </xdr:nvSpPr>
          <xdr:spPr>
            <a:xfrm>
              <a:off x="13852525" y="1555750"/>
              <a:ext cx="1711325"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165100</xdr:colOff>
      <xdr:row>22</xdr:row>
      <xdr:rowOff>88900</xdr:rowOff>
    </xdr:from>
    <xdr:to>
      <xdr:col>36</xdr:col>
      <xdr:colOff>1079500</xdr:colOff>
      <xdr:row>38</xdr:row>
      <xdr:rowOff>76200</xdr:rowOff>
    </xdr:to>
    <xdr:graphicFrame macro="">
      <xdr:nvGraphicFramePr>
        <xdr:cNvPr id="6" name="Chart 5">
          <a:extLst>
            <a:ext uri="{FF2B5EF4-FFF2-40B4-BE49-F238E27FC236}">
              <a16:creationId xmlns:a16="http://schemas.microsoft.com/office/drawing/2014/main" id="{50AB4A72-35E9-494E-AE1C-B69678C1C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76200</xdr:colOff>
      <xdr:row>13</xdr:row>
      <xdr:rowOff>114300</xdr:rowOff>
    </xdr:from>
    <xdr:to>
      <xdr:col>41</xdr:col>
      <xdr:colOff>838200</xdr:colOff>
      <xdr:row>28</xdr:row>
      <xdr:rowOff>0</xdr:rowOff>
    </xdr:to>
    <xdr:graphicFrame macro="">
      <xdr:nvGraphicFramePr>
        <xdr:cNvPr id="7" name="Chart 6">
          <a:extLst>
            <a:ext uri="{FF2B5EF4-FFF2-40B4-BE49-F238E27FC236}">
              <a16:creationId xmlns:a16="http://schemas.microsoft.com/office/drawing/2014/main" id="{8F71F243-3FA7-4A19-A368-D9AF2BB8F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ndia\AppData\Local\Temp\9f718357-ceab-468c-bd61-2b1fe2d6d3b7_excel%20project-sanikabalaji07@gmail.com.zip.3b7\excel%20project\Social_Media_Analytics_Dataset.xlsx" TargetMode="External"/><Relationship Id="rId1" Type="http://schemas.openxmlformats.org/officeDocument/2006/relationships/externalLinkPath" Target="/Users/India/AppData/Local/Temp/9f718357-ceab-468c-bd61-2b1fe2d6d3b7_excel%20project-sanikabalaji07@gmail.com.zip.3b7/excel%20project/Social_Media_Analytics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mpaign Metadata(Task1)"/>
      <sheetName val="Engagement Summary(Task1)"/>
      <sheetName val="Posts(Task1)"/>
      <sheetName val="Task 2"/>
      <sheetName val="Task 3"/>
      <sheetName val="Task 4"/>
      <sheetName val="Task 5"/>
      <sheetName val="Task 6"/>
      <sheetName val="Insights"/>
      <sheetName val="Posts(raw)"/>
      <sheetName val="Engagement Summary(raw)"/>
      <sheetName val="Campaign Metadata(raw)"/>
    </sheetNames>
    <sheetDataSet>
      <sheetData sheetId="0"/>
      <sheetData sheetId="1">
        <row r="1">
          <cell r="B1" t="str">
            <v>Platform</v>
          </cell>
          <cell r="E1" t="str">
            <v>Total_Followers</v>
          </cell>
          <cell r="F1" t="str">
            <v>Engagement_Rate</v>
          </cell>
          <cell r="H1" t="str">
            <v>Year</v>
          </cell>
          <cell r="I1" t="str">
            <v>Month</v>
          </cell>
          <cell r="J1" t="str">
            <v xml:space="preserve">Week </v>
          </cell>
          <cell r="K1" t="str">
            <v>Netgrowth</v>
          </cell>
          <cell r="L1" t="str">
            <v>Growth Rate</v>
          </cell>
        </row>
        <row r="2">
          <cell r="B2" t="str">
            <v>Facebook</v>
          </cell>
          <cell r="E2">
            <v>42654</v>
          </cell>
          <cell r="F2">
            <v>4.9800000000000004E-2</v>
          </cell>
          <cell r="G2">
            <v>9566</v>
          </cell>
          <cell r="H2">
            <v>2024</v>
          </cell>
          <cell r="I2">
            <v>6</v>
          </cell>
          <cell r="J2">
            <v>1</v>
          </cell>
          <cell r="K2">
            <v>1002</v>
          </cell>
          <cell r="L2">
            <v>1</v>
          </cell>
        </row>
        <row r="3">
          <cell r="B3" t="str">
            <v>Facebook</v>
          </cell>
          <cell r="E3">
            <v>316555</v>
          </cell>
          <cell r="F3">
            <v>2.3700000000000002E-2</v>
          </cell>
          <cell r="G3">
            <v>7924</v>
          </cell>
          <cell r="H3">
            <v>2024</v>
          </cell>
          <cell r="I3">
            <v>6</v>
          </cell>
          <cell r="J3">
            <v>2</v>
          </cell>
          <cell r="K3">
            <v>1283</v>
          </cell>
          <cell r="L3">
            <v>1.280439121756487</v>
          </cell>
        </row>
        <row r="4">
          <cell r="B4" t="str">
            <v>Facebook</v>
          </cell>
          <cell r="E4">
            <v>169496</v>
          </cell>
          <cell r="F4">
            <v>8.1099999999999992E-2</v>
          </cell>
          <cell r="G4">
            <v>46670</v>
          </cell>
          <cell r="H4">
            <v>2024</v>
          </cell>
          <cell r="I4">
            <v>6</v>
          </cell>
          <cell r="J4">
            <v>3</v>
          </cell>
          <cell r="K4">
            <v>1382</v>
          </cell>
          <cell r="L4">
            <v>1.0771628994544038</v>
          </cell>
        </row>
        <row r="5">
          <cell r="B5" t="str">
            <v>Facebook</v>
          </cell>
          <cell r="E5">
            <v>26295</v>
          </cell>
          <cell r="F5">
            <v>9.1199999999999989E-2</v>
          </cell>
          <cell r="G5">
            <v>30635</v>
          </cell>
          <cell r="H5">
            <v>2024</v>
          </cell>
          <cell r="I5">
            <v>6</v>
          </cell>
          <cell r="J5">
            <v>4</v>
          </cell>
          <cell r="K5">
            <v>1670</v>
          </cell>
          <cell r="L5">
            <v>1.2083936324167872</v>
          </cell>
        </row>
        <row r="6">
          <cell r="B6" t="str">
            <v>Facebook</v>
          </cell>
          <cell r="E6">
            <v>220020</v>
          </cell>
          <cell r="F6">
            <v>4.4800000000000006E-2</v>
          </cell>
          <cell r="G6">
            <v>42307</v>
          </cell>
          <cell r="H6">
            <v>2024</v>
          </cell>
          <cell r="I6">
            <v>7</v>
          </cell>
          <cell r="J6">
            <v>1</v>
          </cell>
          <cell r="K6">
            <v>64</v>
          </cell>
          <cell r="L6">
            <v>3.8323353293413173E-2</v>
          </cell>
        </row>
        <row r="7">
          <cell r="B7" t="str">
            <v>Facebook</v>
          </cell>
          <cell r="E7">
            <v>251694</v>
          </cell>
          <cell r="F7">
            <v>1.9099999999999999E-2</v>
          </cell>
          <cell r="G7">
            <v>38610</v>
          </cell>
          <cell r="H7">
            <v>2024</v>
          </cell>
          <cell r="I7">
            <v>7</v>
          </cell>
          <cell r="J7">
            <v>2</v>
          </cell>
          <cell r="K7">
            <v>309</v>
          </cell>
          <cell r="L7">
            <v>4.828125</v>
          </cell>
        </row>
        <row r="8">
          <cell r="B8" t="str">
            <v>Facebook</v>
          </cell>
          <cell r="E8">
            <v>334626</v>
          </cell>
          <cell r="F8">
            <v>6.4399999999999999E-2</v>
          </cell>
          <cell r="G8">
            <v>43420</v>
          </cell>
          <cell r="H8">
            <v>2024</v>
          </cell>
          <cell r="I8">
            <v>7</v>
          </cell>
          <cell r="J8">
            <v>3</v>
          </cell>
          <cell r="K8">
            <v>-164</v>
          </cell>
          <cell r="L8">
            <v>-0.53074433656957931</v>
          </cell>
        </row>
        <row r="9">
          <cell r="B9" t="str">
            <v>Facebook</v>
          </cell>
          <cell r="E9">
            <v>295032</v>
          </cell>
          <cell r="F9">
            <v>7.8600000000000003E-2</v>
          </cell>
          <cell r="G9">
            <v>26067</v>
          </cell>
          <cell r="H9">
            <v>2024</v>
          </cell>
          <cell r="I9">
            <v>7</v>
          </cell>
          <cell r="J9">
            <v>4</v>
          </cell>
          <cell r="K9">
            <v>961</v>
          </cell>
          <cell r="L9">
            <v>-5.8597560975609753</v>
          </cell>
        </row>
        <row r="10">
          <cell r="B10" t="str">
            <v>Facebook</v>
          </cell>
          <cell r="E10">
            <v>435034</v>
          </cell>
          <cell r="F10">
            <v>7.7300000000000008E-2</v>
          </cell>
          <cell r="G10">
            <v>4839</v>
          </cell>
          <cell r="H10">
            <v>2024</v>
          </cell>
          <cell r="I10">
            <v>7</v>
          </cell>
          <cell r="J10">
            <v>5</v>
          </cell>
          <cell r="K10">
            <v>-318</v>
          </cell>
          <cell r="L10">
            <v>-0.33090530697190429</v>
          </cell>
        </row>
        <row r="11">
          <cell r="B11" t="str">
            <v>Facebook</v>
          </cell>
          <cell r="E11">
            <v>125034</v>
          </cell>
          <cell r="F11">
            <v>6.1100000000000002E-2</v>
          </cell>
          <cell r="G11">
            <v>26455</v>
          </cell>
          <cell r="H11">
            <v>2024</v>
          </cell>
          <cell r="I11">
            <v>8</v>
          </cell>
          <cell r="J11">
            <v>1</v>
          </cell>
          <cell r="K11">
            <v>-197</v>
          </cell>
          <cell r="L11">
            <v>0.61949685534591192</v>
          </cell>
        </row>
        <row r="12">
          <cell r="B12" t="str">
            <v>Facebook</v>
          </cell>
          <cell r="E12">
            <v>307612</v>
          </cell>
          <cell r="F12">
            <v>6.0100000000000001E-2</v>
          </cell>
          <cell r="G12">
            <v>37903</v>
          </cell>
          <cell r="H12">
            <v>2024</v>
          </cell>
          <cell r="I12">
            <v>8</v>
          </cell>
          <cell r="J12">
            <v>2</v>
          </cell>
          <cell r="K12">
            <v>1334</v>
          </cell>
          <cell r="L12">
            <v>-6.7715736040609134</v>
          </cell>
        </row>
        <row r="13">
          <cell r="B13" t="str">
            <v>Facebook</v>
          </cell>
          <cell r="E13">
            <v>183924</v>
          </cell>
          <cell r="F13">
            <v>8.8399999999999992E-2</v>
          </cell>
          <cell r="G13">
            <v>14203</v>
          </cell>
          <cell r="H13">
            <v>2024</v>
          </cell>
          <cell r="I13">
            <v>8</v>
          </cell>
          <cell r="J13">
            <v>3</v>
          </cell>
          <cell r="K13">
            <v>1058</v>
          </cell>
          <cell r="L13">
            <v>0.7931034482758621</v>
          </cell>
        </row>
        <row r="14">
          <cell r="B14" t="str">
            <v>Facebook</v>
          </cell>
          <cell r="E14">
            <v>379380</v>
          </cell>
          <cell r="F14">
            <v>9.0399999999999994E-2</v>
          </cell>
          <cell r="G14">
            <v>26925</v>
          </cell>
          <cell r="H14">
            <v>2024</v>
          </cell>
          <cell r="I14">
            <v>8</v>
          </cell>
          <cell r="J14">
            <v>4</v>
          </cell>
          <cell r="K14">
            <v>37</v>
          </cell>
          <cell r="L14">
            <v>3.4971644612476371E-2</v>
          </cell>
        </row>
        <row r="15">
          <cell r="B15" t="str">
            <v>Facebook</v>
          </cell>
          <cell r="E15">
            <v>496982</v>
          </cell>
          <cell r="F15">
            <v>6.4100000000000004E-2</v>
          </cell>
          <cell r="G15">
            <v>24384</v>
          </cell>
          <cell r="H15">
            <v>2024</v>
          </cell>
          <cell r="I15">
            <v>9</v>
          </cell>
          <cell r="J15">
            <v>1</v>
          </cell>
          <cell r="K15">
            <v>1045</v>
          </cell>
          <cell r="L15">
            <v>28.243243243243242</v>
          </cell>
        </row>
        <row r="16">
          <cell r="B16" t="str">
            <v>Facebook</v>
          </cell>
          <cell r="E16">
            <v>307524</v>
          </cell>
          <cell r="F16">
            <v>1.7600000000000001E-2</v>
          </cell>
          <cell r="G16">
            <v>40478</v>
          </cell>
          <cell r="H16">
            <v>2024</v>
          </cell>
          <cell r="I16">
            <v>9</v>
          </cell>
          <cell r="J16">
            <v>2</v>
          </cell>
          <cell r="K16">
            <v>1428</v>
          </cell>
          <cell r="L16">
            <v>1.3665071770334929</v>
          </cell>
        </row>
        <row r="17">
          <cell r="B17" t="str">
            <v>Facebook</v>
          </cell>
          <cell r="E17">
            <v>474162</v>
          </cell>
          <cell r="F17">
            <v>9.1999999999999998E-2</v>
          </cell>
          <cell r="G17">
            <v>47462</v>
          </cell>
          <cell r="H17">
            <v>2024</v>
          </cell>
          <cell r="I17">
            <v>9</v>
          </cell>
          <cell r="J17">
            <v>3</v>
          </cell>
          <cell r="K17">
            <v>98</v>
          </cell>
          <cell r="L17">
            <v>6.8627450980392163E-2</v>
          </cell>
        </row>
        <row r="18">
          <cell r="B18" t="str">
            <v>Facebook</v>
          </cell>
          <cell r="E18">
            <v>239753</v>
          </cell>
          <cell r="F18">
            <v>7.3599999999999999E-2</v>
          </cell>
          <cell r="G18">
            <v>11901</v>
          </cell>
          <cell r="H18">
            <v>2024</v>
          </cell>
          <cell r="I18">
            <v>9</v>
          </cell>
          <cell r="J18">
            <v>4</v>
          </cell>
          <cell r="K18">
            <v>-19</v>
          </cell>
          <cell r="L18">
            <v>-0.19387755102040816</v>
          </cell>
        </row>
        <row r="19">
          <cell r="B19" t="str">
            <v>Facebook</v>
          </cell>
          <cell r="E19">
            <v>453423</v>
          </cell>
          <cell r="F19">
            <v>1.77E-2</v>
          </cell>
          <cell r="G19">
            <v>2315</v>
          </cell>
          <cell r="H19">
            <v>2024</v>
          </cell>
          <cell r="I19">
            <v>9</v>
          </cell>
          <cell r="J19">
            <v>5</v>
          </cell>
          <cell r="K19">
            <v>-179</v>
          </cell>
          <cell r="L19">
            <v>9.4210526315789469</v>
          </cell>
        </row>
        <row r="20">
          <cell r="B20" t="str">
            <v>Facebook</v>
          </cell>
          <cell r="E20">
            <v>379363</v>
          </cell>
          <cell r="F20">
            <v>1.7500000000000002E-2</v>
          </cell>
          <cell r="G20">
            <v>43836</v>
          </cell>
          <cell r="H20">
            <v>2024</v>
          </cell>
          <cell r="I20">
            <v>10</v>
          </cell>
          <cell r="J20">
            <v>1</v>
          </cell>
          <cell r="K20">
            <v>1662</v>
          </cell>
          <cell r="L20">
            <v>-9.2849162011173192</v>
          </cell>
        </row>
        <row r="21">
          <cell r="B21" t="str">
            <v>Facebook</v>
          </cell>
          <cell r="E21">
            <v>157599</v>
          </cell>
          <cell r="F21">
            <v>3.8800000000000001E-2</v>
          </cell>
          <cell r="G21">
            <v>7285</v>
          </cell>
          <cell r="H21">
            <v>2024</v>
          </cell>
          <cell r="I21">
            <v>10</v>
          </cell>
          <cell r="J21">
            <v>2</v>
          </cell>
          <cell r="K21">
            <v>285</v>
          </cell>
          <cell r="L21">
            <v>0.17148014440433212</v>
          </cell>
        </row>
        <row r="22">
          <cell r="B22" t="str">
            <v>Facebook</v>
          </cell>
          <cell r="E22">
            <v>23492</v>
          </cell>
          <cell r="F22">
            <v>3.1600000000000003E-2</v>
          </cell>
          <cell r="G22">
            <v>42824</v>
          </cell>
          <cell r="H22">
            <v>2024</v>
          </cell>
          <cell r="I22">
            <v>10</v>
          </cell>
          <cell r="J22">
            <v>3</v>
          </cell>
          <cell r="K22">
            <v>439</v>
          </cell>
          <cell r="L22">
            <v>1.5403508771929824</v>
          </cell>
        </row>
        <row r="23">
          <cell r="B23" t="str">
            <v>Facebook</v>
          </cell>
          <cell r="E23">
            <v>209987</v>
          </cell>
          <cell r="F23">
            <v>4.4600000000000001E-2</v>
          </cell>
          <cell r="G23">
            <v>30214</v>
          </cell>
          <cell r="H23">
            <v>2024</v>
          </cell>
          <cell r="I23">
            <v>10</v>
          </cell>
          <cell r="J23">
            <v>4</v>
          </cell>
          <cell r="K23">
            <v>386</v>
          </cell>
          <cell r="L23">
            <v>0.87927107061503418</v>
          </cell>
        </row>
        <row r="24">
          <cell r="B24" t="str">
            <v>Facebook</v>
          </cell>
          <cell r="E24">
            <v>319186</v>
          </cell>
          <cell r="F24">
            <v>3.32E-2</v>
          </cell>
          <cell r="G24">
            <v>4996</v>
          </cell>
          <cell r="H24">
            <v>2024</v>
          </cell>
          <cell r="I24">
            <v>11</v>
          </cell>
          <cell r="J24">
            <v>1</v>
          </cell>
          <cell r="K24">
            <v>540</v>
          </cell>
          <cell r="L24">
            <v>1.3989637305699483</v>
          </cell>
        </row>
        <row r="25">
          <cell r="B25" t="str">
            <v>Facebook</v>
          </cell>
          <cell r="E25">
            <v>309483</v>
          </cell>
          <cell r="F25">
            <v>8.6999999999999994E-2</v>
          </cell>
          <cell r="G25">
            <v>38452</v>
          </cell>
          <cell r="H25">
            <v>2024</v>
          </cell>
          <cell r="I25">
            <v>11</v>
          </cell>
          <cell r="J25">
            <v>2</v>
          </cell>
          <cell r="K25">
            <v>-106</v>
          </cell>
          <cell r="L25">
            <v>-0.1962962962962963</v>
          </cell>
        </row>
        <row r="26">
          <cell r="B26" t="str">
            <v>Facebook</v>
          </cell>
          <cell r="E26">
            <v>338847</v>
          </cell>
          <cell r="F26">
            <v>2.6800000000000001E-2</v>
          </cell>
          <cell r="G26">
            <v>39997</v>
          </cell>
          <cell r="H26">
            <v>2024</v>
          </cell>
          <cell r="I26">
            <v>11</v>
          </cell>
          <cell r="J26">
            <v>3</v>
          </cell>
          <cell r="K26">
            <v>72</v>
          </cell>
          <cell r="L26">
            <v>-0.67924528301886788</v>
          </cell>
        </row>
        <row r="27">
          <cell r="B27" t="str">
            <v>Facebook</v>
          </cell>
          <cell r="E27">
            <v>336661</v>
          </cell>
          <cell r="F27">
            <v>6.2E-2</v>
          </cell>
          <cell r="G27">
            <v>28498</v>
          </cell>
          <cell r="H27">
            <v>2024</v>
          </cell>
          <cell r="I27">
            <v>11</v>
          </cell>
          <cell r="J27">
            <v>4</v>
          </cell>
          <cell r="K27">
            <v>1332</v>
          </cell>
          <cell r="L27">
            <v>18.5</v>
          </cell>
        </row>
        <row r="28">
          <cell r="B28" t="str">
            <v>Facebook</v>
          </cell>
          <cell r="E28">
            <v>470269</v>
          </cell>
          <cell r="F28">
            <v>4.7899999999999998E-2</v>
          </cell>
          <cell r="G28">
            <v>26103</v>
          </cell>
          <cell r="H28">
            <v>2024</v>
          </cell>
          <cell r="I28">
            <v>12</v>
          </cell>
          <cell r="J28">
            <v>1</v>
          </cell>
          <cell r="K28">
            <v>1706</v>
          </cell>
          <cell r="L28">
            <v>1.2807807807807807</v>
          </cell>
        </row>
        <row r="29">
          <cell r="B29" t="str">
            <v>Facebook</v>
          </cell>
          <cell r="E29">
            <v>35842</v>
          </cell>
          <cell r="F29">
            <v>7.4700000000000003E-2</v>
          </cell>
          <cell r="G29">
            <v>18601</v>
          </cell>
          <cell r="H29">
            <v>2024</v>
          </cell>
          <cell r="I29">
            <v>12</v>
          </cell>
          <cell r="J29">
            <v>2</v>
          </cell>
          <cell r="K29">
            <v>1373</v>
          </cell>
          <cell r="L29">
            <v>0.80480656506447834</v>
          </cell>
        </row>
        <row r="30">
          <cell r="B30" t="str">
            <v>Facebook</v>
          </cell>
          <cell r="E30">
            <v>415815</v>
          </cell>
          <cell r="F30">
            <v>8.1099999999999992E-2</v>
          </cell>
          <cell r="G30">
            <v>18656</v>
          </cell>
          <cell r="H30">
            <v>2024</v>
          </cell>
          <cell r="I30">
            <v>12</v>
          </cell>
          <cell r="J30">
            <v>3</v>
          </cell>
          <cell r="K30">
            <v>1377</v>
          </cell>
          <cell r="L30">
            <v>1.0029133284777858</v>
          </cell>
        </row>
        <row r="31">
          <cell r="B31" t="str">
            <v>Facebook</v>
          </cell>
          <cell r="E31">
            <v>93347</v>
          </cell>
          <cell r="F31">
            <v>2.0199999999999999E-2</v>
          </cell>
          <cell r="G31">
            <v>47502</v>
          </cell>
          <cell r="H31">
            <v>2024</v>
          </cell>
          <cell r="I31">
            <v>12</v>
          </cell>
          <cell r="J31">
            <v>4</v>
          </cell>
          <cell r="K31">
            <v>730</v>
          </cell>
          <cell r="L31">
            <v>0.53013798111837329</v>
          </cell>
        </row>
        <row r="32">
          <cell r="B32" t="str">
            <v>Facebook</v>
          </cell>
          <cell r="E32">
            <v>379431</v>
          </cell>
          <cell r="F32">
            <v>3.0899999999999997E-2</v>
          </cell>
          <cell r="G32">
            <v>25140</v>
          </cell>
          <cell r="H32">
            <v>2024</v>
          </cell>
          <cell r="I32">
            <v>12</v>
          </cell>
          <cell r="J32">
            <v>5</v>
          </cell>
          <cell r="K32">
            <v>1776</v>
          </cell>
          <cell r="L32">
            <v>2.4328767123287673</v>
          </cell>
        </row>
        <row r="33">
          <cell r="B33" t="str">
            <v>Facebook</v>
          </cell>
          <cell r="E33">
            <v>95728</v>
          </cell>
          <cell r="F33">
            <v>8.199999999999999E-2</v>
          </cell>
          <cell r="G33">
            <v>17951</v>
          </cell>
          <cell r="H33">
            <v>2025</v>
          </cell>
          <cell r="I33">
            <v>1</v>
          </cell>
          <cell r="J33">
            <v>1</v>
          </cell>
          <cell r="K33">
            <v>620</v>
          </cell>
          <cell r="L33">
            <v>0.34909909909909909</v>
          </cell>
        </row>
        <row r="34">
          <cell r="B34" t="str">
            <v>Facebook</v>
          </cell>
          <cell r="E34">
            <v>224699</v>
          </cell>
          <cell r="F34">
            <v>5.6100000000000004E-2</v>
          </cell>
          <cell r="G34">
            <v>45708</v>
          </cell>
          <cell r="H34">
            <v>2025</v>
          </cell>
          <cell r="I34">
            <v>1</v>
          </cell>
          <cell r="J34">
            <v>2</v>
          </cell>
          <cell r="K34">
            <v>298</v>
          </cell>
          <cell r="L34">
            <v>0.48064516129032259</v>
          </cell>
        </row>
        <row r="35">
          <cell r="B35" t="str">
            <v>Facebook</v>
          </cell>
          <cell r="E35">
            <v>479490</v>
          </cell>
          <cell r="F35">
            <v>4.5100000000000001E-2</v>
          </cell>
          <cell r="G35">
            <v>23853</v>
          </cell>
          <cell r="H35">
            <v>2025</v>
          </cell>
          <cell r="I35">
            <v>1</v>
          </cell>
          <cell r="J35">
            <v>3</v>
          </cell>
          <cell r="K35">
            <v>427</v>
          </cell>
          <cell r="L35">
            <v>1.4328859060402686</v>
          </cell>
        </row>
        <row r="36">
          <cell r="B36" t="str">
            <v>Facebook</v>
          </cell>
          <cell r="E36">
            <v>321307</v>
          </cell>
          <cell r="F36">
            <v>6.3700000000000007E-2</v>
          </cell>
          <cell r="G36">
            <v>20560</v>
          </cell>
          <cell r="H36">
            <v>2025</v>
          </cell>
          <cell r="I36">
            <v>1</v>
          </cell>
          <cell r="J36">
            <v>4</v>
          </cell>
          <cell r="K36">
            <v>898</v>
          </cell>
          <cell r="L36">
            <v>2.1030444964871196</v>
          </cell>
        </row>
        <row r="37">
          <cell r="B37" t="str">
            <v>Facebook</v>
          </cell>
          <cell r="E37">
            <v>135987</v>
          </cell>
          <cell r="F37">
            <v>8.6999999999999994E-2</v>
          </cell>
          <cell r="G37">
            <v>40323</v>
          </cell>
          <cell r="H37">
            <v>2025</v>
          </cell>
          <cell r="I37">
            <v>2</v>
          </cell>
          <cell r="J37">
            <v>1</v>
          </cell>
          <cell r="K37">
            <v>748</v>
          </cell>
          <cell r="L37">
            <v>0.83296213808463249</v>
          </cell>
        </row>
        <row r="38">
          <cell r="B38" t="str">
            <v>Facebook</v>
          </cell>
          <cell r="E38">
            <v>309914</v>
          </cell>
          <cell r="F38">
            <v>8.0299999999999996E-2</v>
          </cell>
          <cell r="G38">
            <v>23489</v>
          </cell>
          <cell r="H38">
            <v>2025</v>
          </cell>
          <cell r="I38">
            <v>2</v>
          </cell>
          <cell r="J38">
            <v>2</v>
          </cell>
          <cell r="K38">
            <v>912</v>
          </cell>
          <cell r="L38">
            <v>1.2192513368983957</v>
          </cell>
        </row>
        <row r="39">
          <cell r="B39" t="str">
            <v>Facebook</v>
          </cell>
          <cell r="E39">
            <v>104967</v>
          </cell>
          <cell r="F39">
            <v>3.85E-2</v>
          </cell>
          <cell r="G39">
            <v>31853</v>
          </cell>
          <cell r="H39">
            <v>2025</v>
          </cell>
          <cell r="I39">
            <v>2</v>
          </cell>
          <cell r="J39">
            <v>3</v>
          </cell>
          <cell r="K39">
            <v>1590</v>
          </cell>
          <cell r="L39">
            <v>1.743421052631579</v>
          </cell>
        </row>
        <row r="40">
          <cell r="B40" t="str">
            <v>Facebook</v>
          </cell>
          <cell r="E40">
            <v>230448</v>
          </cell>
          <cell r="F40">
            <v>7.8E-2</v>
          </cell>
          <cell r="G40">
            <v>22713</v>
          </cell>
          <cell r="H40">
            <v>2025</v>
          </cell>
          <cell r="I40">
            <v>2</v>
          </cell>
          <cell r="J40">
            <v>4</v>
          </cell>
          <cell r="K40">
            <v>1707</v>
          </cell>
          <cell r="L40">
            <v>1.0735849056603775</v>
          </cell>
        </row>
        <row r="41">
          <cell r="B41" t="str">
            <v>Facebook</v>
          </cell>
          <cell r="E41">
            <v>366881</v>
          </cell>
          <cell r="F41">
            <v>4.5499999999999999E-2</v>
          </cell>
          <cell r="G41">
            <v>20553</v>
          </cell>
          <cell r="H41">
            <v>2025</v>
          </cell>
          <cell r="I41">
            <v>3</v>
          </cell>
          <cell r="J41">
            <v>1</v>
          </cell>
          <cell r="K41">
            <v>-119</v>
          </cell>
          <cell r="L41">
            <v>-6.9712946690099586E-2</v>
          </cell>
        </row>
        <row r="42">
          <cell r="B42" t="str">
            <v>Facebook</v>
          </cell>
          <cell r="E42">
            <v>340842</v>
          </cell>
          <cell r="F42">
            <v>9.3900000000000011E-2</v>
          </cell>
          <cell r="G42">
            <v>21539</v>
          </cell>
          <cell r="H42">
            <v>2025</v>
          </cell>
          <cell r="I42">
            <v>3</v>
          </cell>
          <cell r="J42">
            <v>2</v>
          </cell>
          <cell r="K42">
            <v>908</v>
          </cell>
          <cell r="L42">
            <v>-7.6302521008403366</v>
          </cell>
        </row>
        <row r="43">
          <cell r="B43" t="str">
            <v>Facebook</v>
          </cell>
          <cell r="E43">
            <v>342129</v>
          </cell>
          <cell r="F43">
            <v>4.9400000000000006E-2</v>
          </cell>
          <cell r="G43">
            <v>29116</v>
          </cell>
          <cell r="H43">
            <v>2025</v>
          </cell>
          <cell r="I43">
            <v>3</v>
          </cell>
          <cell r="J43">
            <v>3</v>
          </cell>
          <cell r="K43">
            <v>1116</v>
          </cell>
          <cell r="L43">
            <v>1.2290748898678414</v>
          </cell>
        </row>
        <row r="44">
          <cell r="B44" t="str">
            <v>Facebook</v>
          </cell>
          <cell r="E44">
            <v>373606</v>
          </cell>
          <cell r="F44">
            <v>8.5199999999999998E-2</v>
          </cell>
          <cell r="G44">
            <v>21453</v>
          </cell>
          <cell r="H44">
            <v>2025</v>
          </cell>
          <cell r="I44">
            <v>3</v>
          </cell>
          <cell r="J44">
            <v>4</v>
          </cell>
          <cell r="K44">
            <v>474</v>
          </cell>
          <cell r="L44">
            <v>0.42473118279569894</v>
          </cell>
        </row>
        <row r="45">
          <cell r="B45" t="str">
            <v>Facebook</v>
          </cell>
          <cell r="E45">
            <v>370070</v>
          </cell>
          <cell r="F45">
            <v>9.4600000000000004E-2</v>
          </cell>
          <cell r="G45">
            <v>23461</v>
          </cell>
          <cell r="H45">
            <v>2025</v>
          </cell>
          <cell r="I45">
            <v>3</v>
          </cell>
          <cell r="J45">
            <v>5</v>
          </cell>
          <cell r="K45">
            <v>514</v>
          </cell>
          <cell r="L45">
            <v>1.0843881856540085</v>
          </cell>
        </row>
        <row r="46">
          <cell r="B46" t="str">
            <v>Facebook</v>
          </cell>
          <cell r="E46">
            <v>98596</v>
          </cell>
          <cell r="F46">
            <v>2.4900000000000002E-2</v>
          </cell>
          <cell r="G46">
            <v>47603</v>
          </cell>
          <cell r="H46">
            <v>2025</v>
          </cell>
          <cell r="I46">
            <v>4</v>
          </cell>
          <cell r="J46">
            <v>1</v>
          </cell>
          <cell r="K46">
            <v>1029</v>
          </cell>
          <cell r="L46">
            <v>2.0019455252918288</v>
          </cell>
        </row>
        <row r="47">
          <cell r="B47" t="str">
            <v>Facebook</v>
          </cell>
          <cell r="E47">
            <v>70707</v>
          </cell>
          <cell r="F47">
            <v>4.8300000000000003E-2</v>
          </cell>
          <cell r="G47">
            <v>25920</v>
          </cell>
          <cell r="H47">
            <v>2025</v>
          </cell>
          <cell r="I47">
            <v>4</v>
          </cell>
          <cell r="J47">
            <v>2</v>
          </cell>
          <cell r="K47">
            <v>-175</v>
          </cell>
          <cell r="L47">
            <v>-0.17006802721088435</v>
          </cell>
        </row>
        <row r="48">
          <cell r="B48" t="str">
            <v>Facebook</v>
          </cell>
          <cell r="E48">
            <v>377382</v>
          </cell>
          <cell r="F48">
            <v>2.6000000000000002E-2</v>
          </cell>
          <cell r="G48">
            <v>7875</v>
          </cell>
          <cell r="H48">
            <v>2025</v>
          </cell>
          <cell r="I48">
            <v>4</v>
          </cell>
          <cell r="J48">
            <v>3</v>
          </cell>
          <cell r="K48">
            <v>1045</v>
          </cell>
          <cell r="L48">
            <v>-5.9714285714285715</v>
          </cell>
        </row>
        <row r="49">
          <cell r="B49" t="str">
            <v>Facebook</v>
          </cell>
          <cell r="E49">
            <v>224830</v>
          </cell>
          <cell r="F49">
            <v>3.8599999999999995E-2</v>
          </cell>
          <cell r="G49">
            <v>3582</v>
          </cell>
          <cell r="H49">
            <v>2025</v>
          </cell>
          <cell r="I49">
            <v>4</v>
          </cell>
          <cell r="J49">
            <v>4</v>
          </cell>
          <cell r="K49">
            <v>453</v>
          </cell>
          <cell r="L49">
            <v>0.43349282296650715</v>
          </cell>
        </row>
        <row r="50">
          <cell r="B50" t="str">
            <v>Facebook</v>
          </cell>
          <cell r="E50">
            <v>418696</v>
          </cell>
          <cell r="F50">
            <v>5.5899999999999998E-2</v>
          </cell>
          <cell r="G50">
            <v>48419</v>
          </cell>
          <cell r="H50">
            <v>2025</v>
          </cell>
          <cell r="I50">
            <v>5</v>
          </cell>
          <cell r="J50">
            <v>1</v>
          </cell>
          <cell r="K50">
            <v>339</v>
          </cell>
          <cell r="L50">
            <v>0.7483443708609272</v>
          </cell>
        </row>
        <row r="51">
          <cell r="B51" t="str">
            <v>Facebook</v>
          </cell>
          <cell r="E51">
            <v>364820</v>
          </cell>
          <cell r="F51">
            <v>0.04</v>
          </cell>
          <cell r="G51">
            <v>49400</v>
          </cell>
          <cell r="H51">
            <v>2025</v>
          </cell>
          <cell r="I51">
            <v>5</v>
          </cell>
          <cell r="J51">
            <v>2</v>
          </cell>
          <cell r="K51">
            <v>407</v>
          </cell>
          <cell r="L51">
            <v>1.2005899705014749</v>
          </cell>
        </row>
        <row r="52">
          <cell r="B52" t="str">
            <v>Instagram</v>
          </cell>
          <cell r="E52">
            <v>344084</v>
          </cell>
          <cell r="F52">
            <v>8.0600000000000005E-2</v>
          </cell>
          <cell r="G52">
            <v>5904</v>
          </cell>
          <cell r="H52">
            <v>2024</v>
          </cell>
          <cell r="I52">
            <v>6</v>
          </cell>
          <cell r="J52">
            <v>1</v>
          </cell>
          <cell r="K52">
            <v>1047</v>
          </cell>
          <cell r="L52">
            <v>1</v>
          </cell>
        </row>
        <row r="53">
          <cell r="B53" t="str">
            <v>Instagram</v>
          </cell>
          <cell r="E53">
            <v>49157</v>
          </cell>
          <cell r="F53">
            <v>9.0500000000000011E-2</v>
          </cell>
          <cell r="G53">
            <v>9920</v>
          </cell>
          <cell r="H53">
            <v>2024</v>
          </cell>
          <cell r="I53">
            <v>6</v>
          </cell>
          <cell r="J53">
            <v>2</v>
          </cell>
          <cell r="K53">
            <v>517</v>
          </cell>
          <cell r="L53">
            <v>0.49379178605539636</v>
          </cell>
        </row>
        <row r="54">
          <cell r="B54" t="str">
            <v>Instagram</v>
          </cell>
          <cell r="E54">
            <v>456946</v>
          </cell>
          <cell r="F54">
            <v>2.46E-2</v>
          </cell>
          <cell r="G54">
            <v>11329</v>
          </cell>
          <cell r="H54">
            <v>2024</v>
          </cell>
          <cell r="I54">
            <v>6</v>
          </cell>
          <cell r="J54">
            <v>3</v>
          </cell>
          <cell r="K54">
            <v>893</v>
          </cell>
          <cell r="L54">
            <v>1.7272727272727273</v>
          </cell>
        </row>
        <row r="55">
          <cell r="B55" t="str">
            <v>Instagram</v>
          </cell>
          <cell r="E55">
            <v>35664</v>
          </cell>
          <cell r="F55">
            <v>6.9199999999999998E-2</v>
          </cell>
          <cell r="G55">
            <v>18050</v>
          </cell>
          <cell r="H55">
            <v>2024</v>
          </cell>
          <cell r="I55">
            <v>6</v>
          </cell>
          <cell r="J55">
            <v>4</v>
          </cell>
          <cell r="K55">
            <v>629</v>
          </cell>
          <cell r="L55">
            <v>0.70436730123180291</v>
          </cell>
        </row>
        <row r="56">
          <cell r="B56" t="str">
            <v>Instagram</v>
          </cell>
          <cell r="E56">
            <v>419447</v>
          </cell>
          <cell r="F56">
            <v>9.3599999999999989E-2</v>
          </cell>
          <cell r="G56">
            <v>9566</v>
          </cell>
          <cell r="H56">
            <v>2024</v>
          </cell>
          <cell r="I56">
            <v>7</v>
          </cell>
          <cell r="J56">
            <v>1</v>
          </cell>
          <cell r="K56">
            <v>-219</v>
          </cell>
          <cell r="L56">
            <v>-0.3481717011128776</v>
          </cell>
        </row>
        <row r="57">
          <cell r="B57" t="str">
            <v>Instagram</v>
          </cell>
          <cell r="E57">
            <v>58223</v>
          </cell>
          <cell r="F57">
            <v>8.7400000000000005E-2</v>
          </cell>
          <cell r="G57">
            <v>22728</v>
          </cell>
          <cell r="H57">
            <v>2024</v>
          </cell>
          <cell r="I57">
            <v>7</v>
          </cell>
          <cell r="J57">
            <v>2</v>
          </cell>
          <cell r="K57">
            <v>1672</v>
          </cell>
          <cell r="L57">
            <v>-7.634703196347032</v>
          </cell>
        </row>
        <row r="58">
          <cell r="B58" t="str">
            <v>Instagram</v>
          </cell>
          <cell r="E58">
            <v>154169</v>
          </cell>
          <cell r="F58">
            <v>3.7400000000000003E-2</v>
          </cell>
          <cell r="G58">
            <v>10740</v>
          </cell>
          <cell r="H58">
            <v>2024</v>
          </cell>
          <cell r="I58">
            <v>7</v>
          </cell>
          <cell r="J58">
            <v>3</v>
          </cell>
          <cell r="K58">
            <v>1845</v>
          </cell>
          <cell r="L58">
            <v>1.1034688995215312</v>
          </cell>
        </row>
        <row r="59">
          <cell r="B59" t="str">
            <v>Instagram</v>
          </cell>
          <cell r="E59">
            <v>473812</v>
          </cell>
          <cell r="F59">
            <v>7.8799999999999995E-2</v>
          </cell>
          <cell r="G59">
            <v>17328</v>
          </cell>
          <cell r="H59">
            <v>2024</v>
          </cell>
          <cell r="I59">
            <v>7</v>
          </cell>
          <cell r="J59">
            <v>4</v>
          </cell>
          <cell r="K59">
            <v>159</v>
          </cell>
          <cell r="L59">
            <v>8.6178861788617889E-2</v>
          </cell>
        </row>
        <row r="60">
          <cell r="B60" t="str">
            <v>Instagram</v>
          </cell>
          <cell r="E60">
            <v>23664</v>
          </cell>
          <cell r="F60">
            <v>4.0500000000000001E-2</v>
          </cell>
          <cell r="G60">
            <v>15353</v>
          </cell>
          <cell r="H60">
            <v>2024</v>
          </cell>
          <cell r="I60">
            <v>7</v>
          </cell>
          <cell r="J60">
            <v>5</v>
          </cell>
          <cell r="K60">
            <v>541</v>
          </cell>
          <cell r="L60">
            <v>3.4025157232704402</v>
          </cell>
        </row>
        <row r="61">
          <cell r="B61" t="str">
            <v>Instagram</v>
          </cell>
          <cell r="E61">
            <v>437968</v>
          </cell>
          <cell r="F61">
            <v>7.8299999999999995E-2</v>
          </cell>
          <cell r="G61">
            <v>49303</v>
          </cell>
          <cell r="H61">
            <v>2024</v>
          </cell>
          <cell r="I61">
            <v>8</v>
          </cell>
          <cell r="J61">
            <v>1</v>
          </cell>
          <cell r="K61">
            <v>352</v>
          </cell>
          <cell r="L61">
            <v>0.65064695009242146</v>
          </cell>
        </row>
        <row r="62">
          <cell r="B62" t="str">
            <v>Instagram</v>
          </cell>
          <cell r="E62">
            <v>489188</v>
          </cell>
          <cell r="F62">
            <v>6.2300000000000001E-2</v>
          </cell>
          <cell r="G62">
            <v>47101</v>
          </cell>
          <cell r="H62">
            <v>2024</v>
          </cell>
          <cell r="I62">
            <v>8</v>
          </cell>
          <cell r="J62">
            <v>2</v>
          </cell>
          <cell r="K62">
            <v>1325</v>
          </cell>
          <cell r="L62">
            <v>3.7642045454545454</v>
          </cell>
        </row>
        <row r="63">
          <cell r="B63" t="str">
            <v>Instagram</v>
          </cell>
          <cell r="E63">
            <v>325444</v>
          </cell>
          <cell r="F63">
            <v>3.2500000000000001E-2</v>
          </cell>
          <cell r="G63">
            <v>35501</v>
          </cell>
          <cell r="H63">
            <v>2024</v>
          </cell>
          <cell r="I63">
            <v>8</v>
          </cell>
          <cell r="J63">
            <v>3</v>
          </cell>
          <cell r="K63">
            <v>76</v>
          </cell>
          <cell r="L63">
            <v>5.7358490566037736E-2</v>
          </cell>
        </row>
        <row r="64">
          <cell r="B64" t="str">
            <v>Instagram</v>
          </cell>
          <cell r="E64">
            <v>453799</v>
          </cell>
          <cell r="F64">
            <v>5.7099999999999998E-2</v>
          </cell>
          <cell r="G64">
            <v>24913</v>
          </cell>
          <cell r="H64">
            <v>2024</v>
          </cell>
          <cell r="I64">
            <v>8</v>
          </cell>
          <cell r="J64">
            <v>4</v>
          </cell>
          <cell r="K64">
            <v>1609</v>
          </cell>
          <cell r="L64">
            <v>21.171052631578949</v>
          </cell>
        </row>
        <row r="65">
          <cell r="B65" t="str">
            <v>Instagram</v>
          </cell>
          <cell r="E65">
            <v>101332</v>
          </cell>
          <cell r="F65">
            <v>7.1599999999999997E-2</v>
          </cell>
          <cell r="G65">
            <v>37829</v>
          </cell>
          <cell r="H65">
            <v>2024</v>
          </cell>
          <cell r="I65">
            <v>9</v>
          </cell>
          <cell r="J65">
            <v>1</v>
          </cell>
          <cell r="K65">
            <v>1247</v>
          </cell>
          <cell r="L65">
            <v>0.7750155376009944</v>
          </cell>
        </row>
        <row r="66">
          <cell r="B66" t="str">
            <v>Instagram</v>
          </cell>
          <cell r="E66">
            <v>378054</v>
          </cell>
          <cell r="F66">
            <v>9.0899999999999995E-2</v>
          </cell>
          <cell r="G66">
            <v>26663</v>
          </cell>
          <cell r="H66">
            <v>2024</v>
          </cell>
          <cell r="I66">
            <v>9</v>
          </cell>
          <cell r="J66">
            <v>2</v>
          </cell>
          <cell r="K66">
            <v>1572</v>
          </cell>
          <cell r="L66">
            <v>1.2606255012028869</v>
          </cell>
        </row>
        <row r="67">
          <cell r="B67" t="str">
            <v>Instagram</v>
          </cell>
          <cell r="E67">
            <v>50793</v>
          </cell>
          <cell r="F67">
            <v>3.4000000000000002E-2</v>
          </cell>
          <cell r="G67">
            <v>21939</v>
          </cell>
          <cell r="H67">
            <v>2024</v>
          </cell>
          <cell r="I67">
            <v>9</v>
          </cell>
          <cell r="J67">
            <v>3</v>
          </cell>
          <cell r="K67">
            <v>377</v>
          </cell>
          <cell r="L67">
            <v>0.23982188295165394</v>
          </cell>
        </row>
        <row r="68">
          <cell r="B68" t="str">
            <v>Instagram</v>
          </cell>
          <cell r="E68">
            <v>422625</v>
          </cell>
          <cell r="F68">
            <v>2.3599999999999999E-2</v>
          </cell>
          <cell r="G68">
            <v>1083</v>
          </cell>
          <cell r="H68">
            <v>2024</v>
          </cell>
          <cell r="I68">
            <v>9</v>
          </cell>
          <cell r="J68">
            <v>4</v>
          </cell>
          <cell r="K68">
            <v>666</v>
          </cell>
          <cell r="L68">
            <v>1.76657824933687</v>
          </cell>
        </row>
        <row r="69">
          <cell r="B69" t="str">
            <v>Instagram</v>
          </cell>
          <cell r="E69">
            <v>370269</v>
          </cell>
          <cell r="F69">
            <v>3.3000000000000002E-2</v>
          </cell>
          <cell r="G69">
            <v>30575</v>
          </cell>
          <cell r="H69">
            <v>2024</v>
          </cell>
          <cell r="I69">
            <v>9</v>
          </cell>
          <cell r="J69">
            <v>5</v>
          </cell>
          <cell r="K69">
            <v>1025</v>
          </cell>
          <cell r="L69">
            <v>1.5390390390390389</v>
          </cell>
        </row>
        <row r="70">
          <cell r="B70" t="str">
            <v>Instagram</v>
          </cell>
          <cell r="E70">
            <v>187183</v>
          </cell>
          <cell r="F70">
            <v>6.25E-2</v>
          </cell>
          <cell r="G70">
            <v>41215</v>
          </cell>
          <cell r="H70">
            <v>2024</v>
          </cell>
          <cell r="I70">
            <v>10</v>
          </cell>
          <cell r="J70">
            <v>1</v>
          </cell>
          <cell r="K70">
            <v>1872</v>
          </cell>
          <cell r="L70">
            <v>1.8263414634146342</v>
          </cell>
        </row>
        <row r="71">
          <cell r="B71" t="str">
            <v>Instagram</v>
          </cell>
          <cell r="E71">
            <v>388555</v>
          </cell>
          <cell r="F71">
            <v>8.900000000000001E-2</v>
          </cell>
          <cell r="G71">
            <v>36397</v>
          </cell>
          <cell r="H71">
            <v>2024</v>
          </cell>
          <cell r="I71">
            <v>10</v>
          </cell>
          <cell r="J71">
            <v>2</v>
          </cell>
          <cell r="K71">
            <v>1224</v>
          </cell>
          <cell r="L71">
            <v>0.65384615384615385</v>
          </cell>
        </row>
        <row r="72">
          <cell r="B72" t="str">
            <v>Instagram</v>
          </cell>
          <cell r="E72">
            <v>357089</v>
          </cell>
          <cell r="F72">
            <v>6.5000000000000002E-2</v>
          </cell>
          <cell r="G72">
            <v>32478</v>
          </cell>
          <cell r="H72">
            <v>2024</v>
          </cell>
          <cell r="I72">
            <v>10</v>
          </cell>
          <cell r="J72">
            <v>3</v>
          </cell>
          <cell r="K72">
            <v>262</v>
          </cell>
          <cell r="L72">
            <v>0.21405228758169934</v>
          </cell>
        </row>
        <row r="73">
          <cell r="B73" t="str">
            <v>Instagram</v>
          </cell>
          <cell r="E73">
            <v>346522</v>
          </cell>
          <cell r="F73">
            <v>5.8499999999999996E-2</v>
          </cell>
          <cell r="G73">
            <v>13116</v>
          </cell>
          <cell r="H73">
            <v>2024</v>
          </cell>
          <cell r="I73">
            <v>10</v>
          </cell>
          <cell r="J73">
            <v>4</v>
          </cell>
          <cell r="K73">
            <v>576</v>
          </cell>
          <cell r="L73">
            <v>2.1984732824427482</v>
          </cell>
        </row>
        <row r="74">
          <cell r="B74" t="str">
            <v>Instagram</v>
          </cell>
          <cell r="E74">
            <v>54935</v>
          </cell>
          <cell r="F74">
            <v>6.8499999999999991E-2</v>
          </cell>
          <cell r="G74">
            <v>36484</v>
          </cell>
          <cell r="H74">
            <v>2024</v>
          </cell>
          <cell r="I74">
            <v>11</v>
          </cell>
          <cell r="J74">
            <v>1</v>
          </cell>
          <cell r="K74">
            <v>1397</v>
          </cell>
          <cell r="L74">
            <v>2.4253472222222223</v>
          </cell>
        </row>
        <row r="75">
          <cell r="B75" t="str">
            <v>Instagram</v>
          </cell>
          <cell r="E75">
            <v>51395</v>
          </cell>
          <cell r="F75">
            <v>4.6600000000000003E-2</v>
          </cell>
          <cell r="G75">
            <v>47812</v>
          </cell>
          <cell r="H75">
            <v>2024</v>
          </cell>
          <cell r="I75">
            <v>11</v>
          </cell>
          <cell r="J75">
            <v>2</v>
          </cell>
          <cell r="K75">
            <v>902</v>
          </cell>
          <cell r="L75">
            <v>0.64566929133858264</v>
          </cell>
        </row>
        <row r="76">
          <cell r="B76" t="str">
            <v>Instagram</v>
          </cell>
          <cell r="E76">
            <v>51087</v>
          </cell>
          <cell r="F76">
            <v>9.4100000000000003E-2</v>
          </cell>
          <cell r="G76">
            <v>29533</v>
          </cell>
          <cell r="H76">
            <v>2024</v>
          </cell>
          <cell r="I76">
            <v>11</v>
          </cell>
          <cell r="J76">
            <v>3</v>
          </cell>
          <cell r="K76">
            <v>-49</v>
          </cell>
          <cell r="L76">
            <v>-5.432372505543237E-2</v>
          </cell>
        </row>
        <row r="77">
          <cell r="B77" t="str">
            <v>Instagram</v>
          </cell>
          <cell r="E77">
            <v>282466</v>
          </cell>
          <cell r="F77">
            <v>5.1699999999999996E-2</v>
          </cell>
          <cell r="G77">
            <v>1810</v>
          </cell>
          <cell r="H77">
            <v>2024</v>
          </cell>
          <cell r="I77">
            <v>11</v>
          </cell>
          <cell r="J77">
            <v>4</v>
          </cell>
          <cell r="K77">
            <v>1693</v>
          </cell>
          <cell r="L77">
            <v>-34.551020408163268</v>
          </cell>
        </row>
        <row r="78">
          <cell r="B78" t="str">
            <v>Instagram</v>
          </cell>
          <cell r="E78">
            <v>421957</v>
          </cell>
          <cell r="F78">
            <v>3.7900000000000003E-2</v>
          </cell>
          <cell r="G78">
            <v>36103</v>
          </cell>
          <cell r="H78">
            <v>2024</v>
          </cell>
          <cell r="I78">
            <v>12</v>
          </cell>
          <cell r="J78">
            <v>1</v>
          </cell>
          <cell r="K78">
            <v>1625</v>
          </cell>
          <cell r="L78">
            <v>0.95983461311281748</v>
          </cell>
        </row>
        <row r="79">
          <cell r="B79" t="str">
            <v>Instagram</v>
          </cell>
          <cell r="E79">
            <v>220616</v>
          </cell>
          <cell r="F79">
            <v>1.8100000000000002E-2</v>
          </cell>
          <cell r="G79">
            <v>22724</v>
          </cell>
          <cell r="H79">
            <v>2024</v>
          </cell>
          <cell r="I79">
            <v>12</v>
          </cell>
          <cell r="J79">
            <v>2</v>
          </cell>
          <cell r="K79">
            <v>1119</v>
          </cell>
          <cell r="L79">
            <v>0.68861538461538463</v>
          </cell>
        </row>
        <row r="80">
          <cell r="B80" t="str">
            <v>Instagram</v>
          </cell>
          <cell r="E80">
            <v>465553</v>
          </cell>
          <cell r="F80">
            <v>3.32E-2</v>
          </cell>
          <cell r="G80">
            <v>20692</v>
          </cell>
          <cell r="H80">
            <v>2024</v>
          </cell>
          <cell r="I80">
            <v>12</v>
          </cell>
          <cell r="J80">
            <v>3</v>
          </cell>
          <cell r="K80">
            <v>1432</v>
          </cell>
          <cell r="L80">
            <v>1.2797140303842716</v>
          </cell>
        </row>
        <row r="81">
          <cell r="B81" t="str">
            <v>Instagram</v>
          </cell>
          <cell r="E81">
            <v>280795</v>
          </cell>
          <cell r="F81">
            <v>8.4399999999999989E-2</v>
          </cell>
          <cell r="G81">
            <v>4683</v>
          </cell>
          <cell r="H81">
            <v>2024</v>
          </cell>
          <cell r="I81">
            <v>12</v>
          </cell>
          <cell r="J81">
            <v>4</v>
          </cell>
          <cell r="K81">
            <v>684</v>
          </cell>
          <cell r="L81">
            <v>0.47765363128491622</v>
          </cell>
        </row>
        <row r="82">
          <cell r="B82" t="str">
            <v>Instagram</v>
          </cell>
          <cell r="E82">
            <v>140804</v>
          </cell>
          <cell r="F82">
            <v>1.7600000000000001E-2</v>
          </cell>
          <cell r="G82">
            <v>4313</v>
          </cell>
          <cell r="H82">
            <v>2024</v>
          </cell>
          <cell r="I82">
            <v>12</v>
          </cell>
          <cell r="J82">
            <v>5</v>
          </cell>
          <cell r="K82">
            <v>1765</v>
          </cell>
          <cell r="L82">
            <v>2.5804093567251463</v>
          </cell>
        </row>
        <row r="83">
          <cell r="B83" t="str">
            <v>Instagram</v>
          </cell>
          <cell r="E83">
            <v>466382</v>
          </cell>
          <cell r="F83">
            <v>5.2999999999999999E-2</v>
          </cell>
          <cell r="G83">
            <v>37132</v>
          </cell>
          <cell r="H83">
            <v>2025</v>
          </cell>
          <cell r="I83">
            <v>1</v>
          </cell>
          <cell r="J83">
            <v>1</v>
          </cell>
          <cell r="K83">
            <v>903</v>
          </cell>
          <cell r="L83">
            <v>0.51161473087818699</v>
          </cell>
        </row>
        <row r="84">
          <cell r="B84" t="str">
            <v>Instagram</v>
          </cell>
          <cell r="E84">
            <v>349413</v>
          </cell>
          <cell r="F84">
            <v>3.3000000000000002E-2</v>
          </cell>
          <cell r="G84">
            <v>14548</v>
          </cell>
          <cell r="H84">
            <v>2025</v>
          </cell>
          <cell r="I84">
            <v>1</v>
          </cell>
          <cell r="J84">
            <v>2</v>
          </cell>
          <cell r="K84">
            <v>1722</v>
          </cell>
          <cell r="L84">
            <v>1.9069767441860466</v>
          </cell>
        </row>
        <row r="85">
          <cell r="B85" t="str">
            <v>Instagram</v>
          </cell>
          <cell r="E85">
            <v>383681</v>
          </cell>
          <cell r="F85">
            <v>9.2399999999999996E-2</v>
          </cell>
          <cell r="G85">
            <v>43122</v>
          </cell>
          <cell r="H85">
            <v>2025</v>
          </cell>
          <cell r="I85">
            <v>1</v>
          </cell>
          <cell r="J85">
            <v>3</v>
          </cell>
          <cell r="K85">
            <v>1572</v>
          </cell>
          <cell r="L85">
            <v>0.91289198606271782</v>
          </cell>
        </row>
        <row r="86">
          <cell r="B86" t="str">
            <v>Instagram</v>
          </cell>
          <cell r="E86">
            <v>357265</v>
          </cell>
          <cell r="F86">
            <v>9.2300000000000007E-2</v>
          </cell>
          <cell r="G86">
            <v>25525</v>
          </cell>
          <cell r="H86">
            <v>2025</v>
          </cell>
          <cell r="I86">
            <v>1</v>
          </cell>
          <cell r="J86">
            <v>4</v>
          </cell>
          <cell r="K86">
            <v>-166</v>
          </cell>
          <cell r="L86">
            <v>-0.10559796437659033</v>
          </cell>
        </row>
        <row r="87">
          <cell r="B87" t="str">
            <v>Instagram</v>
          </cell>
          <cell r="E87">
            <v>351556</v>
          </cell>
          <cell r="F87">
            <v>3.8900000000000004E-2</v>
          </cell>
          <cell r="G87">
            <v>10825</v>
          </cell>
          <cell r="H87">
            <v>2025</v>
          </cell>
          <cell r="I87">
            <v>2</v>
          </cell>
          <cell r="J87">
            <v>1</v>
          </cell>
          <cell r="K87">
            <v>1080</v>
          </cell>
          <cell r="L87">
            <v>-6.5060240963855422</v>
          </cell>
        </row>
        <row r="88">
          <cell r="B88" t="str">
            <v>Instagram</v>
          </cell>
          <cell r="E88">
            <v>222126</v>
          </cell>
          <cell r="F88">
            <v>4.6100000000000002E-2</v>
          </cell>
          <cell r="G88">
            <v>3314</v>
          </cell>
          <cell r="H88">
            <v>2025</v>
          </cell>
          <cell r="I88">
            <v>2</v>
          </cell>
          <cell r="J88">
            <v>2</v>
          </cell>
          <cell r="K88">
            <v>1723</v>
          </cell>
          <cell r="L88">
            <v>1.5953703703703703</v>
          </cell>
        </row>
        <row r="89">
          <cell r="B89" t="str">
            <v>Instagram</v>
          </cell>
          <cell r="E89">
            <v>453243</v>
          </cell>
          <cell r="F89">
            <v>2.86E-2</v>
          </cell>
          <cell r="G89">
            <v>44097</v>
          </cell>
          <cell r="H89">
            <v>2025</v>
          </cell>
          <cell r="I89">
            <v>2</v>
          </cell>
          <cell r="J89">
            <v>3</v>
          </cell>
          <cell r="K89">
            <v>965</v>
          </cell>
          <cell r="L89">
            <v>0.56006964596633779</v>
          </cell>
        </row>
        <row r="90">
          <cell r="B90" t="str">
            <v>Instagram</v>
          </cell>
          <cell r="E90">
            <v>126524</v>
          </cell>
          <cell r="F90">
            <v>4.3400000000000001E-2</v>
          </cell>
          <cell r="G90">
            <v>49772</v>
          </cell>
          <cell r="H90">
            <v>2025</v>
          </cell>
          <cell r="I90">
            <v>2</v>
          </cell>
          <cell r="J90">
            <v>4</v>
          </cell>
          <cell r="K90">
            <v>1375</v>
          </cell>
          <cell r="L90">
            <v>1.4248704663212435</v>
          </cell>
        </row>
        <row r="91">
          <cell r="B91" t="str">
            <v>Instagram</v>
          </cell>
          <cell r="E91">
            <v>257579</v>
          </cell>
          <cell r="F91">
            <v>8.6199999999999999E-2</v>
          </cell>
          <cell r="G91">
            <v>33799</v>
          </cell>
          <cell r="H91">
            <v>2025</v>
          </cell>
          <cell r="I91">
            <v>3</v>
          </cell>
          <cell r="J91">
            <v>1</v>
          </cell>
          <cell r="K91">
            <v>1315</v>
          </cell>
          <cell r="L91">
            <v>0.95636363636363642</v>
          </cell>
        </row>
        <row r="92">
          <cell r="B92" t="str">
            <v>Instagram</v>
          </cell>
          <cell r="E92">
            <v>462142</v>
          </cell>
          <cell r="F92">
            <v>7.2300000000000003E-2</v>
          </cell>
          <cell r="G92">
            <v>6296</v>
          </cell>
          <cell r="H92">
            <v>2025</v>
          </cell>
          <cell r="I92">
            <v>3</v>
          </cell>
          <cell r="J92">
            <v>2</v>
          </cell>
          <cell r="K92">
            <v>212</v>
          </cell>
          <cell r="L92">
            <v>0.16121673003802281</v>
          </cell>
        </row>
        <row r="93">
          <cell r="B93" t="str">
            <v>Instagram</v>
          </cell>
          <cell r="E93">
            <v>410330</v>
          </cell>
          <cell r="F93">
            <v>7.7399999999999997E-2</v>
          </cell>
          <cell r="G93">
            <v>9480</v>
          </cell>
          <cell r="H93">
            <v>2025</v>
          </cell>
          <cell r="I93">
            <v>3</v>
          </cell>
          <cell r="J93">
            <v>3</v>
          </cell>
          <cell r="K93">
            <v>680</v>
          </cell>
          <cell r="L93">
            <v>3.2075471698113209</v>
          </cell>
        </row>
        <row r="94">
          <cell r="B94" t="str">
            <v>Instagram</v>
          </cell>
          <cell r="E94">
            <v>364810</v>
          </cell>
          <cell r="F94">
            <v>1.5300000000000001E-2</v>
          </cell>
          <cell r="G94">
            <v>49077</v>
          </cell>
          <cell r="H94">
            <v>2025</v>
          </cell>
          <cell r="I94">
            <v>3</v>
          </cell>
          <cell r="J94">
            <v>4</v>
          </cell>
          <cell r="K94">
            <v>461</v>
          </cell>
          <cell r="L94">
            <v>0.67794117647058827</v>
          </cell>
        </row>
        <row r="95">
          <cell r="B95" t="str">
            <v>Instagram</v>
          </cell>
          <cell r="E95">
            <v>282780</v>
          </cell>
          <cell r="F95">
            <v>6.2699999999999992E-2</v>
          </cell>
          <cell r="G95">
            <v>23140</v>
          </cell>
          <cell r="H95">
            <v>2025</v>
          </cell>
          <cell r="I95">
            <v>3</v>
          </cell>
          <cell r="J95">
            <v>5</v>
          </cell>
          <cell r="K95">
            <v>641</v>
          </cell>
          <cell r="L95">
            <v>1.3904555314533622</v>
          </cell>
        </row>
        <row r="96">
          <cell r="B96" t="str">
            <v>Instagram</v>
          </cell>
          <cell r="E96">
            <v>78789</v>
          </cell>
          <cell r="F96">
            <v>3.1899999999999998E-2</v>
          </cell>
          <cell r="G96">
            <v>2436</v>
          </cell>
          <cell r="H96">
            <v>2025</v>
          </cell>
          <cell r="I96">
            <v>4</v>
          </cell>
          <cell r="J96">
            <v>1</v>
          </cell>
          <cell r="K96">
            <v>167</v>
          </cell>
          <cell r="L96">
            <v>0.26053042121684866</v>
          </cell>
        </row>
        <row r="97">
          <cell r="B97" t="str">
            <v>Instagram</v>
          </cell>
          <cell r="E97">
            <v>66682</v>
          </cell>
          <cell r="F97">
            <v>6.7299999999999999E-2</v>
          </cell>
          <cell r="G97">
            <v>2293</v>
          </cell>
          <cell r="H97">
            <v>2025</v>
          </cell>
          <cell r="I97">
            <v>4</v>
          </cell>
          <cell r="J97">
            <v>2</v>
          </cell>
          <cell r="K97">
            <v>-160</v>
          </cell>
          <cell r="L97">
            <v>-0.95808383233532934</v>
          </cell>
        </row>
        <row r="98">
          <cell r="B98" t="str">
            <v>Instagram</v>
          </cell>
          <cell r="E98">
            <v>62942</v>
          </cell>
          <cell r="F98">
            <v>6.8000000000000005E-2</v>
          </cell>
          <cell r="G98">
            <v>18693</v>
          </cell>
          <cell r="H98">
            <v>2025</v>
          </cell>
          <cell r="I98">
            <v>4</v>
          </cell>
          <cell r="J98">
            <v>3</v>
          </cell>
          <cell r="K98">
            <v>603</v>
          </cell>
          <cell r="L98">
            <v>-3.7687499999999998</v>
          </cell>
        </row>
        <row r="99">
          <cell r="B99" t="str">
            <v>Instagram</v>
          </cell>
          <cell r="E99">
            <v>445944</v>
          </cell>
          <cell r="F99">
            <v>5.6900000000000006E-2</v>
          </cell>
          <cell r="G99">
            <v>14216</v>
          </cell>
          <cell r="H99">
            <v>2025</v>
          </cell>
          <cell r="I99">
            <v>4</v>
          </cell>
          <cell r="J99">
            <v>4</v>
          </cell>
          <cell r="K99">
            <v>1539</v>
          </cell>
          <cell r="L99">
            <v>2.5522388059701493</v>
          </cell>
        </row>
        <row r="100">
          <cell r="B100" t="str">
            <v>Instagram</v>
          </cell>
          <cell r="E100">
            <v>447902</v>
          </cell>
          <cell r="F100">
            <v>6.0899999999999996E-2</v>
          </cell>
          <cell r="G100">
            <v>33381</v>
          </cell>
          <cell r="H100">
            <v>2025</v>
          </cell>
          <cell r="I100">
            <v>5</v>
          </cell>
          <cell r="J100">
            <v>1</v>
          </cell>
          <cell r="K100">
            <v>1881</v>
          </cell>
          <cell r="L100">
            <v>1.2222222222222223</v>
          </cell>
        </row>
        <row r="101">
          <cell r="B101" t="str">
            <v>Instagram</v>
          </cell>
          <cell r="E101">
            <v>468301</v>
          </cell>
          <cell r="F101">
            <v>1.8200000000000001E-2</v>
          </cell>
          <cell r="G101">
            <v>20042</v>
          </cell>
          <cell r="H101">
            <v>2025</v>
          </cell>
          <cell r="I101">
            <v>5</v>
          </cell>
          <cell r="J101">
            <v>2</v>
          </cell>
          <cell r="K101">
            <v>1656</v>
          </cell>
          <cell r="L101">
            <v>0.88038277511961727</v>
          </cell>
        </row>
        <row r="102">
          <cell r="B102" t="str">
            <v>Twitter</v>
          </cell>
          <cell r="E102">
            <v>146834</v>
          </cell>
          <cell r="F102">
            <v>8.3100000000000007E-2</v>
          </cell>
          <cell r="G102">
            <v>26752</v>
          </cell>
          <cell r="H102">
            <v>2024</v>
          </cell>
          <cell r="I102">
            <v>6</v>
          </cell>
          <cell r="J102">
            <v>1</v>
          </cell>
          <cell r="K102">
            <v>415</v>
          </cell>
          <cell r="L102">
            <v>1</v>
          </cell>
        </row>
        <row r="103">
          <cell r="B103" t="str">
            <v>Twitter</v>
          </cell>
          <cell r="E103">
            <v>254347</v>
          </cell>
          <cell r="F103">
            <v>4.0099999999999997E-2</v>
          </cell>
          <cell r="G103">
            <v>8912</v>
          </cell>
          <cell r="H103">
            <v>2024</v>
          </cell>
          <cell r="I103">
            <v>6</v>
          </cell>
          <cell r="J103">
            <v>2</v>
          </cell>
          <cell r="K103">
            <v>186</v>
          </cell>
          <cell r="L103">
            <v>0.44819277108433736</v>
          </cell>
        </row>
        <row r="104">
          <cell r="B104" t="str">
            <v>Twitter</v>
          </cell>
          <cell r="E104">
            <v>122732</v>
          </cell>
          <cell r="F104">
            <v>8.1900000000000001E-2</v>
          </cell>
          <cell r="G104">
            <v>22482</v>
          </cell>
          <cell r="H104">
            <v>2024</v>
          </cell>
          <cell r="I104">
            <v>6</v>
          </cell>
          <cell r="J104">
            <v>3</v>
          </cell>
          <cell r="K104">
            <v>1295</v>
          </cell>
          <cell r="L104">
            <v>6.9623655913978491</v>
          </cell>
        </row>
        <row r="105">
          <cell r="B105" t="str">
            <v>Twitter</v>
          </cell>
          <cell r="E105">
            <v>298421</v>
          </cell>
          <cell r="F105">
            <v>3.5000000000000003E-2</v>
          </cell>
          <cell r="G105">
            <v>31280</v>
          </cell>
          <cell r="H105">
            <v>2024</v>
          </cell>
          <cell r="I105">
            <v>6</v>
          </cell>
          <cell r="J105">
            <v>4</v>
          </cell>
          <cell r="K105">
            <v>835</v>
          </cell>
          <cell r="L105">
            <v>0.64478764478764483</v>
          </cell>
        </row>
        <row r="106">
          <cell r="B106" t="str">
            <v>Twitter</v>
          </cell>
          <cell r="E106">
            <v>315305</v>
          </cell>
          <cell r="F106">
            <v>6.1900000000000004E-2</v>
          </cell>
          <cell r="G106">
            <v>5914</v>
          </cell>
          <cell r="H106">
            <v>2024</v>
          </cell>
          <cell r="I106">
            <v>7</v>
          </cell>
          <cell r="J106">
            <v>1</v>
          </cell>
          <cell r="K106">
            <v>1357</v>
          </cell>
          <cell r="L106">
            <v>1.6251497005988025</v>
          </cell>
        </row>
        <row r="107">
          <cell r="B107" t="str">
            <v>Twitter</v>
          </cell>
          <cell r="E107">
            <v>389810</v>
          </cell>
          <cell r="F107">
            <v>4.6600000000000003E-2</v>
          </cell>
          <cell r="G107">
            <v>2932</v>
          </cell>
          <cell r="H107">
            <v>2024</v>
          </cell>
          <cell r="I107">
            <v>7</v>
          </cell>
          <cell r="J107">
            <v>2</v>
          </cell>
          <cell r="K107">
            <v>547</v>
          </cell>
          <cell r="L107">
            <v>0.40309506263817246</v>
          </cell>
        </row>
        <row r="108">
          <cell r="B108" t="str">
            <v>Twitter</v>
          </cell>
          <cell r="E108">
            <v>226002</v>
          </cell>
          <cell r="F108">
            <v>8.5600000000000009E-2</v>
          </cell>
          <cell r="G108">
            <v>32393</v>
          </cell>
          <cell r="H108">
            <v>2024</v>
          </cell>
          <cell r="I108">
            <v>7</v>
          </cell>
          <cell r="J108">
            <v>3</v>
          </cell>
          <cell r="K108">
            <v>429</v>
          </cell>
          <cell r="L108">
            <v>0.78427787934186477</v>
          </cell>
        </row>
        <row r="109">
          <cell r="B109" t="str">
            <v>Twitter</v>
          </cell>
          <cell r="E109">
            <v>198278</v>
          </cell>
          <cell r="F109">
            <v>5.3399999999999996E-2</v>
          </cell>
          <cell r="G109">
            <v>32763</v>
          </cell>
          <cell r="H109">
            <v>2024</v>
          </cell>
          <cell r="I109">
            <v>7</v>
          </cell>
          <cell r="J109">
            <v>4</v>
          </cell>
          <cell r="K109">
            <v>1316</v>
          </cell>
          <cell r="L109">
            <v>3.0675990675990676</v>
          </cell>
        </row>
        <row r="110">
          <cell r="B110" t="str">
            <v>Twitter</v>
          </cell>
          <cell r="E110">
            <v>287574</v>
          </cell>
          <cell r="F110">
            <v>4.36E-2</v>
          </cell>
          <cell r="G110">
            <v>39272</v>
          </cell>
          <cell r="H110">
            <v>2024</v>
          </cell>
          <cell r="I110">
            <v>7</v>
          </cell>
          <cell r="J110">
            <v>5</v>
          </cell>
          <cell r="K110">
            <v>1495</v>
          </cell>
          <cell r="L110">
            <v>1.1360182370820668</v>
          </cell>
        </row>
        <row r="111">
          <cell r="B111" t="str">
            <v>Twitter</v>
          </cell>
          <cell r="E111">
            <v>449994</v>
          </cell>
          <cell r="F111">
            <v>9.4299999999999995E-2</v>
          </cell>
          <cell r="G111">
            <v>12384</v>
          </cell>
          <cell r="H111">
            <v>2024</v>
          </cell>
          <cell r="I111">
            <v>8</v>
          </cell>
          <cell r="J111">
            <v>1</v>
          </cell>
          <cell r="K111">
            <v>328</v>
          </cell>
          <cell r="L111">
            <v>0.21939799331103679</v>
          </cell>
        </row>
        <row r="112">
          <cell r="B112" t="str">
            <v>Twitter</v>
          </cell>
          <cell r="E112">
            <v>434883</v>
          </cell>
          <cell r="F112">
            <v>8.5500000000000007E-2</v>
          </cell>
          <cell r="G112">
            <v>33258</v>
          </cell>
          <cell r="H112">
            <v>2024</v>
          </cell>
          <cell r="I112">
            <v>8</v>
          </cell>
          <cell r="J112">
            <v>2</v>
          </cell>
          <cell r="K112">
            <v>37</v>
          </cell>
          <cell r="L112">
            <v>0.11280487804878049</v>
          </cell>
        </row>
        <row r="113">
          <cell r="B113" t="str">
            <v>Twitter</v>
          </cell>
          <cell r="E113">
            <v>188655</v>
          </cell>
          <cell r="F113">
            <v>7.2400000000000006E-2</v>
          </cell>
          <cell r="G113">
            <v>22206</v>
          </cell>
          <cell r="H113">
            <v>2024</v>
          </cell>
          <cell r="I113">
            <v>8</v>
          </cell>
          <cell r="J113">
            <v>3</v>
          </cell>
          <cell r="K113">
            <v>1665</v>
          </cell>
          <cell r="L113">
            <v>45</v>
          </cell>
        </row>
        <row r="114">
          <cell r="B114" t="str">
            <v>Twitter</v>
          </cell>
          <cell r="E114">
            <v>186454</v>
          </cell>
          <cell r="F114">
            <v>3.9100000000000003E-2</v>
          </cell>
          <cell r="G114">
            <v>9942</v>
          </cell>
          <cell r="H114">
            <v>2024</v>
          </cell>
          <cell r="I114">
            <v>8</v>
          </cell>
          <cell r="J114">
            <v>4</v>
          </cell>
          <cell r="K114">
            <v>1229</v>
          </cell>
          <cell r="L114">
            <v>0.73813813813813811</v>
          </cell>
        </row>
        <row r="115">
          <cell r="B115" t="str">
            <v>Twitter</v>
          </cell>
          <cell r="E115">
            <v>318779</v>
          </cell>
          <cell r="F115">
            <v>8.0199999999999994E-2</v>
          </cell>
          <cell r="G115">
            <v>25797</v>
          </cell>
          <cell r="H115">
            <v>2024</v>
          </cell>
          <cell r="I115">
            <v>9</v>
          </cell>
          <cell r="J115">
            <v>1</v>
          </cell>
          <cell r="K115">
            <v>197</v>
          </cell>
          <cell r="L115">
            <v>0.16029292107404394</v>
          </cell>
        </row>
        <row r="116">
          <cell r="B116" t="str">
            <v>Twitter</v>
          </cell>
          <cell r="E116">
            <v>434047</v>
          </cell>
          <cell r="F116">
            <v>9.2399999999999996E-2</v>
          </cell>
          <cell r="G116">
            <v>15476</v>
          </cell>
          <cell r="H116">
            <v>2024</v>
          </cell>
          <cell r="I116">
            <v>9</v>
          </cell>
          <cell r="J116">
            <v>2</v>
          </cell>
          <cell r="K116">
            <v>260</v>
          </cell>
          <cell r="L116">
            <v>1.3197969543147208</v>
          </cell>
        </row>
        <row r="117">
          <cell r="B117" t="str">
            <v>Twitter</v>
          </cell>
          <cell r="E117">
            <v>392355</v>
          </cell>
          <cell r="F117">
            <v>8.5900000000000004E-2</v>
          </cell>
          <cell r="G117">
            <v>30270</v>
          </cell>
          <cell r="H117">
            <v>2024</v>
          </cell>
          <cell r="I117">
            <v>9</v>
          </cell>
          <cell r="J117">
            <v>3</v>
          </cell>
          <cell r="K117">
            <v>1125</v>
          </cell>
          <cell r="L117">
            <v>4.3269230769230766</v>
          </cell>
        </row>
        <row r="118">
          <cell r="B118" t="str">
            <v>Twitter</v>
          </cell>
          <cell r="E118">
            <v>268516</v>
          </cell>
          <cell r="F118">
            <v>8.5500000000000007E-2</v>
          </cell>
          <cell r="G118">
            <v>24018</v>
          </cell>
          <cell r="H118">
            <v>2024</v>
          </cell>
          <cell r="I118">
            <v>9</v>
          </cell>
          <cell r="J118">
            <v>4</v>
          </cell>
          <cell r="K118">
            <v>1680</v>
          </cell>
          <cell r="L118">
            <v>1.4933333333333334</v>
          </cell>
        </row>
        <row r="119">
          <cell r="B119" t="str">
            <v>Twitter</v>
          </cell>
          <cell r="E119">
            <v>64906</v>
          </cell>
          <cell r="F119">
            <v>2.0899999999999998E-2</v>
          </cell>
          <cell r="G119">
            <v>12148</v>
          </cell>
          <cell r="H119">
            <v>2024</v>
          </cell>
          <cell r="I119">
            <v>9</v>
          </cell>
          <cell r="J119">
            <v>5</v>
          </cell>
          <cell r="K119">
            <v>599</v>
          </cell>
          <cell r="L119">
            <v>0.35654761904761906</v>
          </cell>
        </row>
        <row r="120">
          <cell r="B120" t="str">
            <v>Twitter</v>
          </cell>
          <cell r="E120">
            <v>476486</v>
          </cell>
          <cell r="F120">
            <v>4.9699999999999994E-2</v>
          </cell>
          <cell r="G120">
            <v>4509</v>
          </cell>
          <cell r="H120">
            <v>2024</v>
          </cell>
          <cell r="I120">
            <v>10</v>
          </cell>
          <cell r="J120">
            <v>1</v>
          </cell>
          <cell r="K120">
            <v>107</v>
          </cell>
          <cell r="L120">
            <v>0.17863105175292154</v>
          </cell>
        </row>
        <row r="121">
          <cell r="B121" t="str">
            <v>Twitter</v>
          </cell>
          <cell r="E121">
            <v>309772</v>
          </cell>
          <cell r="F121">
            <v>5.9000000000000004E-2</v>
          </cell>
          <cell r="G121">
            <v>33174</v>
          </cell>
          <cell r="H121">
            <v>2024</v>
          </cell>
          <cell r="I121">
            <v>10</v>
          </cell>
          <cell r="J121">
            <v>2</v>
          </cell>
          <cell r="K121">
            <v>-20</v>
          </cell>
          <cell r="L121">
            <v>-0.18691588785046728</v>
          </cell>
        </row>
        <row r="122">
          <cell r="B122" t="str">
            <v>Twitter</v>
          </cell>
          <cell r="E122">
            <v>258287</v>
          </cell>
          <cell r="F122">
            <v>8.2500000000000004E-2</v>
          </cell>
          <cell r="G122">
            <v>21208</v>
          </cell>
          <cell r="H122">
            <v>2024</v>
          </cell>
          <cell r="I122">
            <v>10</v>
          </cell>
          <cell r="J122">
            <v>3</v>
          </cell>
          <cell r="K122">
            <v>636</v>
          </cell>
          <cell r="L122">
            <v>-31.8</v>
          </cell>
        </row>
        <row r="123">
          <cell r="B123" t="str">
            <v>Twitter</v>
          </cell>
          <cell r="E123">
            <v>240550</v>
          </cell>
          <cell r="F123">
            <v>5.2199999999999996E-2</v>
          </cell>
          <cell r="G123">
            <v>15827</v>
          </cell>
          <cell r="H123">
            <v>2024</v>
          </cell>
          <cell r="I123">
            <v>10</v>
          </cell>
          <cell r="J123">
            <v>4</v>
          </cell>
          <cell r="K123">
            <v>37</v>
          </cell>
          <cell r="L123">
            <v>5.8176100628930819E-2</v>
          </cell>
        </row>
        <row r="124">
          <cell r="B124" t="str">
            <v>Twitter</v>
          </cell>
          <cell r="E124">
            <v>439080</v>
          </cell>
          <cell r="F124">
            <v>5.6799999999999996E-2</v>
          </cell>
          <cell r="G124">
            <v>36095</v>
          </cell>
          <cell r="H124">
            <v>2024</v>
          </cell>
          <cell r="I124">
            <v>11</v>
          </cell>
          <cell r="J124">
            <v>1</v>
          </cell>
          <cell r="K124">
            <v>1603</v>
          </cell>
          <cell r="L124">
            <v>43.324324324324323</v>
          </cell>
        </row>
        <row r="125">
          <cell r="B125" t="str">
            <v>Twitter</v>
          </cell>
          <cell r="E125">
            <v>87305</v>
          </cell>
          <cell r="F125">
            <v>2.46E-2</v>
          </cell>
          <cell r="G125">
            <v>30428</v>
          </cell>
          <cell r="H125">
            <v>2024</v>
          </cell>
          <cell r="I125">
            <v>11</v>
          </cell>
          <cell r="J125">
            <v>2</v>
          </cell>
          <cell r="K125">
            <v>1150</v>
          </cell>
          <cell r="L125">
            <v>0.71740486587648156</v>
          </cell>
        </row>
        <row r="126">
          <cell r="B126" t="str">
            <v>Twitter</v>
          </cell>
          <cell r="E126">
            <v>487523</v>
          </cell>
          <cell r="F126">
            <v>7.3200000000000001E-2</v>
          </cell>
          <cell r="G126">
            <v>5391</v>
          </cell>
          <cell r="H126">
            <v>2024</v>
          </cell>
          <cell r="I126">
            <v>11</v>
          </cell>
          <cell r="J126">
            <v>3</v>
          </cell>
          <cell r="K126">
            <v>445</v>
          </cell>
          <cell r="L126">
            <v>0.38695652173913042</v>
          </cell>
        </row>
        <row r="127">
          <cell r="B127" t="str">
            <v>Twitter</v>
          </cell>
          <cell r="E127">
            <v>88455</v>
          </cell>
          <cell r="F127">
            <v>2.69E-2</v>
          </cell>
          <cell r="G127">
            <v>39530</v>
          </cell>
          <cell r="H127">
            <v>2024</v>
          </cell>
          <cell r="I127">
            <v>11</v>
          </cell>
          <cell r="J127">
            <v>4</v>
          </cell>
          <cell r="K127">
            <v>98</v>
          </cell>
          <cell r="L127">
            <v>0.22022471910112359</v>
          </cell>
        </row>
        <row r="128">
          <cell r="B128" t="str">
            <v>Twitter</v>
          </cell>
          <cell r="E128">
            <v>309904</v>
          </cell>
          <cell r="F128">
            <v>6.3700000000000007E-2</v>
          </cell>
          <cell r="G128">
            <v>3455</v>
          </cell>
          <cell r="H128">
            <v>2024</v>
          </cell>
          <cell r="I128">
            <v>12</v>
          </cell>
          <cell r="J128">
            <v>1</v>
          </cell>
          <cell r="K128">
            <v>1173</v>
          </cell>
          <cell r="L128">
            <v>11.969387755102041</v>
          </cell>
        </row>
        <row r="129">
          <cell r="B129" t="str">
            <v>Twitter</v>
          </cell>
          <cell r="E129">
            <v>20607</v>
          </cell>
          <cell r="F129">
            <v>4.2000000000000003E-2</v>
          </cell>
          <cell r="G129">
            <v>20861</v>
          </cell>
          <cell r="H129">
            <v>2024</v>
          </cell>
          <cell r="I129">
            <v>12</v>
          </cell>
          <cell r="J129">
            <v>2</v>
          </cell>
          <cell r="K129">
            <v>1727</v>
          </cell>
          <cell r="L129">
            <v>1.4722932651321399</v>
          </cell>
        </row>
        <row r="130">
          <cell r="B130" t="str">
            <v>Twitter</v>
          </cell>
          <cell r="E130">
            <v>327183</v>
          </cell>
          <cell r="F130">
            <v>6.6600000000000006E-2</v>
          </cell>
          <cell r="G130">
            <v>13316</v>
          </cell>
          <cell r="H130">
            <v>2024</v>
          </cell>
          <cell r="I130">
            <v>12</v>
          </cell>
          <cell r="J130">
            <v>3</v>
          </cell>
          <cell r="K130">
            <v>1359</v>
          </cell>
          <cell r="L130">
            <v>0.78691372321945574</v>
          </cell>
        </row>
        <row r="131">
          <cell r="B131" t="str">
            <v>Twitter</v>
          </cell>
          <cell r="E131">
            <v>81119</v>
          </cell>
          <cell r="F131">
            <v>7.7399999999999997E-2</v>
          </cell>
          <cell r="G131">
            <v>35359</v>
          </cell>
          <cell r="H131">
            <v>2024</v>
          </cell>
          <cell r="I131">
            <v>12</v>
          </cell>
          <cell r="J131">
            <v>4</v>
          </cell>
          <cell r="K131">
            <v>911</v>
          </cell>
          <cell r="L131">
            <v>0.67034584253127294</v>
          </cell>
        </row>
        <row r="132">
          <cell r="B132" t="str">
            <v>Twitter</v>
          </cell>
          <cell r="E132">
            <v>274831</v>
          </cell>
          <cell r="F132">
            <v>4.6799999999999994E-2</v>
          </cell>
          <cell r="G132">
            <v>9118</v>
          </cell>
          <cell r="H132">
            <v>2024</v>
          </cell>
          <cell r="I132">
            <v>12</v>
          </cell>
          <cell r="J132">
            <v>5</v>
          </cell>
          <cell r="K132">
            <v>1529</v>
          </cell>
          <cell r="L132">
            <v>1.6783754116355654</v>
          </cell>
        </row>
        <row r="133">
          <cell r="B133" t="str">
            <v>Twitter</v>
          </cell>
          <cell r="E133">
            <v>371156</v>
          </cell>
          <cell r="F133">
            <v>2.2200000000000001E-2</v>
          </cell>
          <cell r="G133">
            <v>2798</v>
          </cell>
          <cell r="H133">
            <v>2025</v>
          </cell>
          <cell r="I133">
            <v>1</v>
          </cell>
          <cell r="J133">
            <v>1</v>
          </cell>
          <cell r="K133">
            <v>1188</v>
          </cell>
          <cell r="L133">
            <v>0.7769784172661871</v>
          </cell>
        </row>
        <row r="134">
          <cell r="B134" t="str">
            <v>Twitter</v>
          </cell>
          <cell r="E134">
            <v>487896</v>
          </cell>
          <cell r="F134">
            <v>2.5600000000000001E-2</v>
          </cell>
          <cell r="G134">
            <v>12350</v>
          </cell>
          <cell r="H134">
            <v>2025</v>
          </cell>
          <cell r="I134">
            <v>1</v>
          </cell>
          <cell r="J134">
            <v>2</v>
          </cell>
          <cell r="K134">
            <v>-144</v>
          </cell>
          <cell r="L134">
            <v>-0.12121212121212122</v>
          </cell>
        </row>
        <row r="135">
          <cell r="B135" t="str">
            <v>Twitter</v>
          </cell>
          <cell r="E135">
            <v>124404</v>
          </cell>
          <cell r="F135">
            <v>5.2300000000000006E-2</v>
          </cell>
          <cell r="G135">
            <v>45380</v>
          </cell>
          <cell r="H135">
            <v>2025</v>
          </cell>
          <cell r="I135">
            <v>1</v>
          </cell>
          <cell r="J135">
            <v>3</v>
          </cell>
          <cell r="K135">
            <v>891</v>
          </cell>
          <cell r="L135">
            <v>-6.1875</v>
          </cell>
        </row>
        <row r="136">
          <cell r="B136" t="str">
            <v>Twitter</v>
          </cell>
          <cell r="E136">
            <v>262569</v>
          </cell>
          <cell r="F136">
            <v>2.0099999999999996E-2</v>
          </cell>
          <cell r="G136">
            <v>19119</v>
          </cell>
          <cell r="H136">
            <v>2025</v>
          </cell>
          <cell r="I136">
            <v>1</v>
          </cell>
          <cell r="J136">
            <v>4</v>
          </cell>
          <cell r="K136">
            <v>1426</v>
          </cell>
          <cell r="L136">
            <v>1.6004489337822672</v>
          </cell>
        </row>
        <row r="137">
          <cell r="B137" t="str">
            <v>Twitter</v>
          </cell>
          <cell r="E137">
            <v>177554</v>
          </cell>
          <cell r="F137">
            <v>6.9500000000000006E-2</v>
          </cell>
          <cell r="G137">
            <v>48270</v>
          </cell>
          <cell r="H137">
            <v>2025</v>
          </cell>
          <cell r="I137">
            <v>2</v>
          </cell>
          <cell r="J137">
            <v>1</v>
          </cell>
          <cell r="K137">
            <v>569</v>
          </cell>
          <cell r="L137">
            <v>0.39901823281907434</v>
          </cell>
        </row>
        <row r="138">
          <cell r="B138" t="str">
            <v>Twitter</v>
          </cell>
          <cell r="E138">
            <v>126582</v>
          </cell>
          <cell r="F138">
            <v>6.9900000000000004E-2</v>
          </cell>
          <cell r="G138">
            <v>42832</v>
          </cell>
          <cell r="H138">
            <v>2025</v>
          </cell>
          <cell r="I138">
            <v>2</v>
          </cell>
          <cell r="J138">
            <v>2</v>
          </cell>
          <cell r="K138">
            <v>1202</v>
          </cell>
          <cell r="L138">
            <v>2.1124780316344465</v>
          </cell>
        </row>
        <row r="139">
          <cell r="B139" t="str">
            <v>Twitter</v>
          </cell>
          <cell r="E139">
            <v>145608</v>
          </cell>
          <cell r="F139">
            <v>7.2999999999999995E-2</v>
          </cell>
          <cell r="G139">
            <v>37636</v>
          </cell>
          <cell r="H139">
            <v>2025</v>
          </cell>
          <cell r="I139">
            <v>2</v>
          </cell>
          <cell r="J139">
            <v>3</v>
          </cell>
          <cell r="K139">
            <v>-37</v>
          </cell>
          <cell r="L139">
            <v>-3.0782029950083195E-2</v>
          </cell>
        </row>
        <row r="140">
          <cell r="B140" t="str">
            <v>Twitter</v>
          </cell>
          <cell r="E140">
            <v>317007</v>
          </cell>
          <cell r="F140">
            <v>3.85E-2</v>
          </cell>
          <cell r="G140">
            <v>8718</v>
          </cell>
          <cell r="H140">
            <v>2025</v>
          </cell>
          <cell r="I140">
            <v>2</v>
          </cell>
          <cell r="J140">
            <v>4</v>
          </cell>
          <cell r="K140">
            <v>708</v>
          </cell>
          <cell r="L140">
            <v>-19.135135135135137</v>
          </cell>
        </row>
        <row r="141">
          <cell r="B141" t="str">
            <v>Twitter</v>
          </cell>
          <cell r="E141">
            <v>466575</v>
          </cell>
          <cell r="F141">
            <v>8.3299999999999999E-2</v>
          </cell>
          <cell r="G141">
            <v>10002</v>
          </cell>
          <cell r="H141">
            <v>2025</v>
          </cell>
          <cell r="I141">
            <v>3</v>
          </cell>
          <cell r="J141">
            <v>1</v>
          </cell>
          <cell r="K141">
            <v>899</v>
          </cell>
          <cell r="L141">
            <v>1.2697740112994351</v>
          </cell>
        </row>
        <row r="142">
          <cell r="B142" t="str">
            <v>Twitter</v>
          </cell>
          <cell r="E142">
            <v>12471</v>
          </cell>
          <cell r="F142">
            <v>5.1200000000000002E-2</v>
          </cell>
          <cell r="G142">
            <v>14722</v>
          </cell>
          <cell r="H142">
            <v>2025</v>
          </cell>
          <cell r="I142">
            <v>3</v>
          </cell>
          <cell r="J142">
            <v>2</v>
          </cell>
          <cell r="K142">
            <v>1350</v>
          </cell>
          <cell r="L142">
            <v>1.5016685205784204</v>
          </cell>
        </row>
        <row r="143">
          <cell r="B143" t="str">
            <v>Twitter</v>
          </cell>
          <cell r="E143">
            <v>12447</v>
          </cell>
          <cell r="F143">
            <v>1.8000000000000002E-2</v>
          </cell>
          <cell r="G143">
            <v>14068</v>
          </cell>
          <cell r="H143">
            <v>2025</v>
          </cell>
          <cell r="I143">
            <v>3</v>
          </cell>
          <cell r="J143">
            <v>3</v>
          </cell>
          <cell r="K143">
            <v>861</v>
          </cell>
          <cell r="L143">
            <v>0.63777777777777778</v>
          </cell>
        </row>
        <row r="144">
          <cell r="B144" t="str">
            <v>Twitter</v>
          </cell>
          <cell r="E144">
            <v>211090</v>
          </cell>
          <cell r="F144">
            <v>5.5300000000000002E-2</v>
          </cell>
          <cell r="G144">
            <v>21061</v>
          </cell>
          <cell r="H144">
            <v>2025</v>
          </cell>
          <cell r="I144">
            <v>3</v>
          </cell>
          <cell r="J144">
            <v>4</v>
          </cell>
          <cell r="K144">
            <v>292</v>
          </cell>
          <cell r="L144">
            <v>0.33914053426248547</v>
          </cell>
        </row>
        <row r="145">
          <cell r="B145" t="str">
            <v>Twitter</v>
          </cell>
          <cell r="E145">
            <v>198350</v>
          </cell>
          <cell r="F145">
            <v>7.4999999999999997E-2</v>
          </cell>
          <cell r="G145">
            <v>11805</v>
          </cell>
          <cell r="H145">
            <v>2025</v>
          </cell>
          <cell r="I145">
            <v>3</v>
          </cell>
          <cell r="J145">
            <v>5</v>
          </cell>
          <cell r="K145">
            <v>1676</v>
          </cell>
          <cell r="L145">
            <v>5.7397260273972606</v>
          </cell>
        </row>
        <row r="146">
          <cell r="B146" t="str">
            <v>Twitter</v>
          </cell>
          <cell r="E146">
            <v>29589</v>
          </cell>
          <cell r="F146">
            <v>4.4999999999999998E-2</v>
          </cell>
          <cell r="G146">
            <v>42964</v>
          </cell>
          <cell r="H146">
            <v>2025</v>
          </cell>
          <cell r="I146">
            <v>4</v>
          </cell>
          <cell r="J146">
            <v>1</v>
          </cell>
          <cell r="K146">
            <v>1007</v>
          </cell>
          <cell r="L146">
            <v>0.60083532219570401</v>
          </cell>
        </row>
        <row r="147">
          <cell r="B147" t="str">
            <v>Twitter</v>
          </cell>
          <cell r="E147">
            <v>142507</v>
          </cell>
          <cell r="F147">
            <v>5.2999999999999999E-2</v>
          </cell>
          <cell r="G147">
            <v>11035</v>
          </cell>
          <cell r="H147">
            <v>2025</v>
          </cell>
          <cell r="I147">
            <v>4</v>
          </cell>
          <cell r="J147">
            <v>2</v>
          </cell>
          <cell r="K147">
            <v>53</v>
          </cell>
          <cell r="L147">
            <v>5.2631578947368418E-2</v>
          </cell>
        </row>
        <row r="148">
          <cell r="B148" t="str">
            <v>Twitter</v>
          </cell>
          <cell r="E148">
            <v>333851</v>
          </cell>
          <cell r="F148">
            <v>2.4399999999999998E-2</v>
          </cell>
          <cell r="G148">
            <v>8471</v>
          </cell>
          <cell r="H148">
            <v>2025</v>
          </cell>
          <cell r="I148">
            <v>4</v>
          </cell>
          <cell r="J148">
            <v>3</v>
          </cell>
          <cell r="K148">
            <v>759</v>
          </cell>
          <cell r="L148">
            <v>14.320754716981131</v>
          </cell>
        </row>
        <row r="149">
          <cell r="B149" t="str">
            <v>Twitter</v>
          </cell>
          <cell r="E149">
            <v>487289</v>
          </cell>
          <cell r="F149">
            <v>3.1600000000000003E-2</v>
          </cell>
          <cell r="G149">
            <v>32500</v>
          </cell>
          <cell r="H149">
            <v>2025</v>
          </cell>
          <cell r="I149">
            <v>4</v>
          </cell>
          <cell r="J149">
            <v>4</v>
          </cell>
          <cell r="K149">
            <v>948</v>
          </cell>
          <cell r="L149">
            <v>1.2490118577075098</v>
          </cell>
        </row>
        <row r="150">
          <cell r="B150" t="str">
            <v>Twitter</v>
          </cell>
          <cell r="E150">
            <v>484364</v>
          </cell>
          <cell r="F150">
            <v>3.5499999999999997E-2</v>
          </cell>
          <cell r="G150">
            <v>16149</v>
          </cell>
          <cell r="H150">
            <v>2025</v>
          </cell>
          <cell r="I150">
            <v>5</v>
          </cell>
          <cell r="J150">
            <v>1</v>
          </cell>
          <cell r="K150">
            <v>1510</v>
          </cell>
          <cell r="L150">
            <v>1.5928270042194093</v>
          </cell>
        </row>
        <row r="151">
          <cell r="B151" t="str">
            <v>Twitter</v>
          </cell>
          <cell r="E151">
            <v>456298</v>
          </cell>
          <cell r="F151">
            <v>7.5700000000000003E-2</v>
          </cell>
          <cell r="G151">
            <v>4007</v>
          </cell>
          <cell r="H151">
            <v>2025</v>
          </cell>
          <cell r="I151">
            <v>5</v>
          </cell>
          <cell r="J151">
            <v>2</v>
          </cell>
          <cell r="K151">
            <v>269</v>
          </cell>
          <cell r="L151">
            <v>0.17814569536423841</v>
          </cell>
        </row>
        <row r="152">
          <cell r="B152" t="str">
            <v>YouTube</v>
          </cell>
          <cell r="E152">
            <v>395536</v>
          </cell>
          <cell r="F152">
            <v>4.1100000000000005E-2</v>
          </cell>
          <cell r="G152">
            <v>30671</v>
          </cell>
          <cell r="H152">
            <v>2024</v>
          </cell>
          <cell r="I152">
            <v>6</v>
          </cell>
          <cell r="J152">
            <v>1</v>
          </cell>
          <cell r="K152">
            <v>1090</v>
          </cell>
          <cell r="L152">
            <v>1</v>
          </cell>
        </row>
        <row r="153">
          <cell r="B153" t="str">
            <v>YouTube</v>
          </cell>
          <cell r="E153">
            <v>413878</v>
          </cell>
          <cell r="F153">
            <v>3.1600000000000003E-2</v>
          </cell>
          <cell r="G153">
            <v>21205</v>
          </cell>
          <cell r="H153">
            <v>2024</v>
          </cell>
          <cell r="I153">
            <v>6</v>
          </cell>
          <cell r="J153">
            <v>2</v>
          </cell>
          <cell r="K153">
            <v>994</v>
          </cell>
          <cell r="L153">
            <v>0.91192660550458715</v>
          </cell>
        </row>
        <row r="154">
          <cell r="B154" t="str">
            <v>YouTube</v>
          </cell>
          <cell r="E154">
            <v>382851</v>
          </cell>
          <cell r="F154">
            <v>3.49E-2</v>
          </cell>
          <cell r="G154">
            <v>24313</v>
          </cell>
          <cell r="H154">
            <v>2024</v>
          </cell>
          <cell r="I154">
            <v>6</v>
          </cell>
          <cell r="J154">
            <v>3</v>
          </cell>
          <cell r="K154">
            <v>337</v>
          </cell>
          <cell r="L154">
            <v>0.33903420523138833</v>
          </cell>
        </row>
        <row r="155">
          <cell r="B155" t="str">
            <v>YouTube</v>
          </cell>
          <cell r="E155">
            <v>426184</v>
          </cell>
          <cell r="F155">
            <v>2.6200000000000001E-2</v>
          </cell>
          <cell r="G155">
            <v>1783</v>
          </cell>
          <cell r="H155">
            <v>2024</v>
          </cell>
          <cell r="I155">
            <v>6</v>
          </cell>
          <cell r="J155">
            <v>4</v>
          </cell>
          <cell r="K155">
            <v>-123</v>
          </cell>
          <cell r="L155">
            <v>-0.36498516320474778</v>
          </cell>
        </row>
        <row r="156">
          <cell r="B156" t="str">
            <v>YouTube</v>
          </cell>
          <cell r="E156">
            <v>113678</v>
          </cell>
          <cell r="F156">
            <v>8.72E-2</v>
          </cell>
          <cell r="G156">
            <v>30060</v>
          </cell>
          <cell r="H156">
            <v>2024</v>
          </cell>
          <cell r="I156">
            <v>7</v>
          </cell>
          <cell r="J156">
            <v>1</v>
          </cell>
          <cell r="K156">
            <v>91</v>
          </cell>
          <cell r="L156">
            <v>-0.73983739837398377</v>
          </cell>
        </row>
        <row r="157">
          <cell r="B157" t="str">
            <v>YouTube</v>
          </cell>
          <cell r="E157">
            <v>233694</v>
          </cell>
          <cell r="F157">
            <v>2.8799999999999999E-2</v>
          </cell>
          <cell r="G157">
            <v>15071</v>
          </cell>
          <cell r="H157">
            <v>2024</v>
          </cell>
          <cell r="I157">
            <v>7</v>
          </cell>
          <cell r="J157">
            <v>2</v>
          </cell>
          <cell r="K157">
            <v>514</v>
          </cell>
          <cell r="L157">
            <v>5.6483516483516487</v>
          </cell>
        </row>
        <row r="158">
          <cell r="B158" t="str">
            <v>YouTube</v>
          </cell>
          <cell r="E158">
            <v>156683</v>
          </cell>
          <cell r="F158">
            <v>4.5599999999999995E-2</v>
          </cell>
          <cell r="G158">
            <v>28474</v>
          </cell>
          <cell r="H158">
            <v>2024</v>
          </cell>
          <cell r="I158">
            <v>7</v>
          </cell>
          <cell r="J158">
            <v>3</v>
          </cell>
          <cell r="K158">
            <v>160</v>
          </cell>
          <cell r="L158">
            <v>0.31128404669260701</v>
          </cell>
        </row>
        <row r="159">
          <cell r="B159" t="str">
            <v>YouTube</v>
          </cell>
          <cell r="E159">
            <v>306564</v>
          </cell>
          <cell r="F159">
            <v>5.5199999999999999E-2</v>
          </cell>
          <cell r="G159">
            <v>26452</v>
          </cell>
          <cell r="H159">
            <v>2024</v>
          </cell>
          <cell r="I159">
            <v>7</v>
          </cell>
          <cell r="J159">
            <v>4</v>
          </cell>
          <cell r="K159">
            <v>317</v>
          </cell>
          <cell r="L159">
            <v>1.98125</v>
          </cell>
        </row>
        <row r="160">
          <cell r="B160" t="str">
            <v>YouTube</v>
          </cell>
          <cell r="E160">
            <v>62499</v>
          </cell>
          <cell r="F160">
            <v>3.4799999999999998E-2</v>
          </cell>
          <cell r="G160">
            <v>16804</v>
          </cell>
          <cell r="H160">
            <v>2024</v>
          </cell>
          <cell r="I160">
            <v>7</v>
          </cell>
          <cell r="J160">
            <v>5</v>
          </cell>
          <cell r="K160">
            <v>475</v>
          </cell>
          <cell r="L160">
            <v>1.498422712933754</v>
          </cell>
        </row>
        <row r="161">
          <cell r="B161" t="str">
            <v>YouTube</v>
          </cell>
          <cell r="E161">
            <v>320650</v>
          </cell>
          <cell r="F161">
            <v>4.0399999999999998E-2</v>
          </cell>
          <cell r="G161">
            <v>49372</v>
          </cell>
          <cell r="H161">
            <v>2024</v>
          </cell>
          <cell r="I161">
            <v>8</v>
          </cell>
          <cell r="J161">
            <v>1</v>
          </cell>
          <cell r="K161">
            <v>319</v>
          </cell>
          <cell r="L161">
            <v>0.67157894736842105</v>
          </cell>
        </row>
        <row r="162">
          <cell r="B162" t="str">
            <v>YouTube</v>
          </cell>
          <cell r="E162">
            <v>102042</v>
          </cell>
          <cell r="F162">
            <v>5.4199999999999998E-2</v>
          </cell>
          <cell r="G162">
            <v>6915</v>
          </cell>
          <cell r="H162">
            <v>2024</v>
          </cell>
          <cell r="I162">
            <v>8</v>
          </cell>
          <cell r="J162">
            <v>2</v>
          </cell>
          <cell r="K162">
            <v>1032</v>
          </cell>
          <cell r="L162">
            <v>3.2351097178683386</v>
          </cell>
        </row>
        <row r="163">
          <cell r="B163" t="str">
            <v>YouTube</v>
          </cell>
          <cell r="E163">
            <v>87443</v>
          </cell>
          <cell r="F163">
            <v>6.1900000000000004E-2</v>
          </cell>
          <cell r="G163">
            <v>10283</v>
          </cell>
          <cell r="H163">
            <v>2024</v>
          </cell>
          <cell r="I163">
            <v>8</v>
          </cell>
          <cell r="J163">
            <v>3</v>
          </cell>
          <cell r="K163">
            <v>190</v>
          </cell>
          <cell r="L163">
            <v>0.18410852713178294</v>
          </cell>
        </row>
        <row r="164">
          <cell r="B164" t="str">
            <v>YouTube</v>
          </cell>
          <cell r="E164">
            <v>239044</v>
          </cell>
          <cell r="F164">
            <v>7.8299999999999995E-2</v>
          </cell>
          <cell r="G164">
            <v>32929</v>
          </cell>
          <cell r="H164">
            <v>2024</v>
          </cell>
          <cell r="I164">
            <v>8</v>
          </cell>
          <cell r="J164">
            <v>4</v>
          </cell>
          <cell r="K164">
            <v>28</v>
          </cell>
          <cell r="L164">
            <v>0.14736842105263157</v>
          </cell>
        </row>
        <row r="165">
          <cell r="B165" t="str">
            <v>YouTube</v>
          </cell>
          <cell r="E165">
            <v>370971</v>
          </cell>
          <cell r="F165">
            <v>3.8599999999999995E-2</v>
          </cell>
          <cell r="G165">
            <v>12646</v>
          </cell>
          <cell r="H165">
            <v>2024</v>
          </cell>
          <cell r="I165">
            <v>9</v>
          </cell>
          <cell r="J165">
            <v>1</v>
          </cell>
          <cell r="K165">
            <v>333</v>
          </cell>
          <cell r="L165">
            <v>11.892857142857142</v>
          </cell>
        </row>
        <row r="166">
          <cell r="B166" t="str">
            <v>YouTube</v>
          </cell>
          <cell r="E166">
            <v>64583</v>
          </cell>
          <cell r="F166">
            <v>8.9900000000000008E-2</v>
          </cell>
          <cell r="G166">
            <v>10217</v>
          </cell>
          <cell r="H166">
            <v>2024</v>
          </cell>
          <cell r="I166">
            <v>9</v>
          </cell>
          <cell r="J166">
            <v>2</v>
          </cell>
          <cell r="K166">
            <v>1100</v>
          </cell>
          <cell r="L166">
            <v>3.3033033033033035</v>
          </cell>
        </row>
        <row r="167">
          <cell r="B167" t="str">
            <v>YouTube</v>
          </cell>
          <cell r="E167">
            <v>119934</v>
          </cell>
          <cell r="F167">
            <v>3.5000000000000003E-2</v>
          </cell>
          <cell r="G167">
            <v>5442</v>
          </cell>
          <cell r="H167">
            <v>2024</v>
          </cell>
          <cell r="I167">
            <v>9</v>
          </cell>
          <cell r="J167">
            <v>3</v>
          </cell>
          <cell r="K167">
            <v>-32</v>
          </cell>
          <cell r="L167">
            <v>-2.9090909090909091E-2</v>
          </cell>
        </row>
        <row r="168">
          <cell r="B168" t="str">
            <v>YouTube</v>
          </cell>
          <cell r="E168">
            <v>63177</v>
          </cell>
          <cell r="F168">
            <v>8.1300000000000011E-2</v>
          </cell>
          <cell r="G168">
            <v>38883</v>
          </cell>
          <cell r="H168">
            <v>2024</v>
          </cell>
          <cell r="I168">
            <v>9</v>
          </cell>
          <cell r="J168">
            <v>4</v>
          </cell>
          <cell r="K168">
            <v>1006</v>
          </cell>
          <cell r="L168">
            <v>-31.4375</v>
          </cell>
        </row>
        <row r="169">
          <cell r="B169" t="str">
            <v>YouTube</v>
          </cell>
          <cell r="E169">
            <v>94360</v>
          </cell>
          <cell r="F169">
            <v>7.3599999999999999E-2</v>
          </cell>
          <cell r="G169">
            <v>36851</v>
          </cell>
          <cell r="H169">
            <v>2024</v>
          </cell>
          <cell r="I169">
            <v>9</v>
          </cell>
          <cell r="J169">
            <v>5</v>
          </cell>
          <cell r="K169">
            <v>1706</v>
          </cell>
          <cell r="L169">
            <v>1.6958250497017893</v>
          </cell>
        </row>
        <row r="170">
          <cell r="B170" t="str">
            <v>YouTube</v>
          </cell>
          <cell r="E170">
            <v>117767</v>
          </cell>
          <cell r="F170">
            <v>9.3000000000000013E-2</v>
          </cell>
          <cell r="G170">
            <v>27822</v>
          </cell>
          <cell r="H170">
            <v>2024</v>
          </cell>
          <cell r="I170">
            <v>10</v>
          </cell>
          <cell r="J170">
            <v>1</v>
          </cell>
          <cell r="K170">
            <v>118</v>
          </cell>
          <cell r="L170">
            <v>6.9167643610785465E-2</v>
          </cell>
        </row>
        <row r="171">
          <cell r="B171" t="str">
            <v>YouTube</v>
          </cell>
          <cell r="E171">
            <v>199178</v>
          </cell>
          <cell r="F171">
            <v>1.5300000000000001E-2</v>
          </cell>
          <cell r="G171">
            <v>6742</v>
          </cell>
          <cell r="H171">
            <v>2024</v>
          </cell>
          <cell r="I171">
            <v>10</v>
          </cell>
          <cell r="J171">
            <v>2</v>
          </cell>
          <cell r="K171">
            <v>367</v>
          </cell>
          <cell r="L171">
            <v>3.1101694915254239</v>
          </cell>
        </row>
        <row r="172">
          <cell r="B172" t="str">
            <v>YouTube</v>
          </cell>
          <cell r="E172">
            <v>256910</v>
          </cell>
          <cell r="F172">
            <v>5.4100000000000002E-2</v>
          </cell>
          <cell r="G172">
            <v>44321</v>
          </cell>
          <cell r="H172">
            <v>2024</v>
          </cell>
          <cell r="I172">
            <v>10</v>
          </cell>
          <cell r="J172">
            <v>3</v>
          </cell>
          <cell r="K172">
            <v>1484</v>
          </cell>
          <cell r="L172">
            <v>4.0435967302452314</v>
          </cell>
        </row>
        <row r="173">
          <cell r="B173" t="str">
            <v>YouTube</v>
          </cell>
          <cell r="E173">
            <v>305827</v>
          </cell>
          <cell r="F173">
            <v>1.9900000000000001E-2</v>
          </cell>
          <cell r="G173">
            <v>46643</v>
          </cell>
          <cell r="H173">
            <v>2024</v>
          </cell>
          <cell r="I173">
            <v>10</v>
          </cell>
          <cell r="J173">
            <v>4</v>
          </cell>
          <cell r="K173">
            <v>1657</v>
          </cell>
          <cell r="L173">
            <v>1.116576819407008</v>
          </cell>
        </row>
        <row r="174">
          <cell r="B174" t="str">
            <v>YouTube</v>
          </cell>
          <cell r="E174">
            <v>258944</v>
          </cell>
          <cell r="F174">
            <v>6.08E-2</v>
          </cell>
          <cell r="G174">
            <v>16443</v>
          </cell>
          <cell r="H174">
            <v>2024</v>
          </cell>
          <cell r="I174">
            <v>11</v>
          </cell>
          <cell r="J174">
            <v>1</v>
          </cell>
          <cell r="K174">
            <v>1044</v>
          </cell>
          <cell r="L174">
            <v>0.63005431502715747</v>
          </cell>
        </row>
        <row r="175">
          <cell r="B175" t="str">
            <v>YouTube</v>
          </cell>
          <cell r="E175">
            <v>121091</v>
          </cell>
          <cell r="F175">
            <v>7.9699999999999993E-2</v>
          </cell>
          <cell r="G175">
            <v>9269</v>
          </cell>
          <cell r="H175">
            <v>2024</v>
          </cell>
          <cell r="I175">
            <v>11</v>
          </cell>
          <cell r="J175">
            <v>2</v>
          </cell>
          <cell r="K175">
            <v>349</v>
          </cell>
          <cell r="L175">
            <v>0.33429118773946359</v>
          </cell>
        </row>
        <row r="176">
          <cell r="B176" t="str">
            <v>YouTube</v>
          </cell>
          <cell r="E176">
            <v>301695</v>
          </cell>
          <cell r="F176">
            <v>4.6799999999999994E-2</v>
          </cell>
          <cell r="G176">
            <v>22373</v>
          </cell>
          <cell r="H176">
            <v>2024</v>
          </cell>
          <cell r="I176">
            <v>11</v>
          </cell>
          <cell r="J176">
            <v>3</v>
          </cell>
          <cell r="K176">
            <v>60</v>
          </cell>
          <cell r="L176">
            <v>0.17191977077363896</v>
          </cell>
        </row>
        <row r="177">
          <cell r="B177" t="str">
            <v>YouTube</v>
          </cell>
          <cell r="E177">
            <v>62535</v>
          </cell>
          <cell r="F177">
            <v>8.900000000000001E-2</v>
          </cell>
          <cell r="G177">
            <v>37876</v>
          </cell>
          <cell r="H177">
            <v>2024</v>
          </cell>
          <cell r="I177">
            <v>11</v>
          </cell>
          <cell r="J177">
            <v>4</v>
          </cell>
          <cell r="K177">
            <v>885</v>
          </cell>
          <cell r="L177">
            <v>14.75</v>
          </cell>
        </row>
        <row r="178">
          <cell r="B178" t="str">
            <v>YouTube</v>
          </cell>
          <cell r="E178">
            <v>221274</v>
          </cell>
          <cell r="F178">
            <v>2.6499999999999999E-2</v>
          </cell>
          <cell r="G178">
            <v>40888</v>
          </cell>
          <cell r="H178">
            <v>2024</v>
          </cell>
          <cell r="I178">
            <v>12</v>
          </cell>
          <cell r="J178">
            <v>1</v>
          </cell>
          <cell r="K178">
            <v>291</v>
          </cell>
          <cell r="L178">
            <v>0.32881355932203388</v>
          </cell>
        </row>
        <row r="179">
          <cell r="B179" t="str">
            <v>YouTube</v>
          </cell>
          <cell r="E179">
            <v>451894</v>
          </cell>
          <cell r="F179">
            <v>5.4299999999999994E-2</v>
          </cell>
          <cell r="G179">
            <v>46625</v>
          </cell>
          <cell r="H179">
            <v>2024</v>
          </cell>
          <cell r="I179">
            <v>12</v>
          </cell>
          <cell r="J179">
            <v>2</v>
          </cell>
          <cell r="K179">
            <v>573</v>
          </cell>
          <cell r="L179">
            <v>1.9690721649484537</v>
          </cell>
        </row>
        <row r="180">
          <cell r="B180" t="str">
            <v>YouTube</v>
          </cell>
          <cell r="E180">
            <v>488901</v>
          </cell>
          <cell r="F180">
            <v>8.09E-2</v>
          </cell>
          <cell r="G180">
            <v>49558</v>
          </cell>
          <cell r="H180">
            <v>2024</v>
          </cell>
          <cell r="I180">
            <v>12</v>
          </cell>
          <cell r="J180">
            <v>3</v>
          </cell>
          <cell r="K180">
            <v>876</v>
          </cell>
          <cell r="L180">
            <v>1.5287958115183247</v>
          </cell>
        </row>
        <row r="181">
          <cell r="B181" t="str">
            <v>YouTube</v>
          </cell>
          <cell r="E181">
            <v>25177</v>
          </cell>
          <cell r="F181">
            <v>2.8900000000000002E-2</v>
          </cell>
          <cell r="G181">
            <v>14154</v>
          </cell>
          <cell r="H181">
            <v>2024</v>
          </cell>
          <cell r="I181">
            <v>12</v>
          </cell>
          <cell r="J181">
            <v>4</v>
          </cell>
          <cell r="K181">
            <v>1589</v>
          </cell>
          <cell r="L181">
            <v>1.8139269406392695</v>
          </cell>
        </row>
        <row r="182">
          <cell r="B182" t="str">
            <v>YouTube</v>
          </cell>
          <cell r="E182">
            <v>136845</v>
          </cell>
          <cell r="F182">
            <v>4.4800000000000006E-2</v>
          </cell>
          <cell r="G182">
            <v>39931</v>
          </cell>
          <cell r="H182">
            <v>2024</v>
          </cell>
          <cell r="I182">
            <v>12</v>
          </cell>
          <cell r="J182">
            <v>5</v>
          </cell>
          <cell r="K182">
            <v>1460</v>
          </cell>
          <cell r="L182">
            <v>0.91881686595342982</v>
          </cell>
        </row>
        <row r="183">
          <cell r="B183" t="str">
            <v>YouTube</v>
          </cell>
          <cell r="E183">
            <v>95410</v>
          </cell>
          <cell r="F183">
            <v>8.3299999999999999E-2</v>
          </cell>
          <cell r="G183">
            <v>15045</v>
          </cell>
          <cell r="H183">
            <v>2025</v>
          </cell>
          <cell r="I183">
            <v>1</v>
          </cell>
          <cell r="J183">
            <v>1</v>
          </cell>
          <cell r="K183">
            <v>846</v>
          </cell>
          <cell r="L183">
            <v>0.57945205479452055</v>
          </cell>
        </row>
        <row r="184">
          <cell r="B184" t="str">
            <v>YouTube</v>
          </cell>
          <cell r="E184">
            <v>14437</v>
          </cell>
          <cell r="F184">
            <v>3.2899999999999999E-2</v>
          </cell>
          <cell r="G184">
            <v>40868</v>
          </cell>
          <cell r="H184">
            <v>2025</v>
          </cell>
          <cell r="I184">
            <v>1</v>
          </cell>
          <cell r="J184">
            <v>2</v>
          </cell>
          <cell r="K184">
            <v>901</v>
          </cell>
          <cell r="L184">
            <v>1.0650118203309693</v>
          </cell>
        </row>
        <row r="185">
          <cell r="B185" t="str">
            <v>YouTube</v>
          </cell>
          <cell r="E185">
            <v>336949</v>
          </cell>
          <cell r="F185">
            <v>4.6799999999999994E-2</v>
          </cell>
          <cell r="G185">
            <v>7705</v>
          </cell>
          <cell r="H185">
            <v>2025</v>
          </cell>
          <cell r="I185">
            <v>1</v>
          </cell>
          <cell r="J185">
            <v>3</v>
          </cell>
          <cell r="K185">
            <v>724</v>
          </cell>
          <cell r="L185">
            <v>0.80355160932297442</v>
          </cell>
        </row>
        <row r="186">
          <cell r="B186" t="str">
            <v>YouTube</v>
          </cell>
          <cell r="E186">
            <v>461669</v>
          </cell>
          <cell r="F186">
            <v>3.7200000000000004E-2</v>
          </cell>
          <cell r="G186">
            <v>43999</v>
          </cell>
          <cell r="H186">
            <v>2025</v>
          </cell>
          <cell r="I186">
            <v>1</v>
          </cell>
          <cell r="J186">
            <v>4</v>
          </cell>
          <cell r="K186">
            <v>1225</v>
          </cell>
          <cell r="L186">
            <v>1.6919889502762431</v>
          </cell>
        </row>
        <row r="187">
          <cell r="B187" t="str">
            <v>YouTube</v>
          </cell>
          <cell r="E187">
            <v>270766</v>
          </cell>
          <cell r="F187">
            <v>9.4800000000000009E-2</v>
          </cell>
          <cell r="G187">
            <v>18001</v>
          </cell>
          <cell r="H187">
            <v>2025</v>
          </cell>
          <cell r="I187">
            <v>2</v>
          </cell>
          <cell r="J187">
            <v>1</v>
          </cell>
          <cell r="K187">
            <v>-203</v>
          </cell>
          <cell r="L187">
            <v>-0.1657142857142857</v>
          </cell>
        </row>
        <row r="188">
          <cell r="B188" t="str">
            <v>YouTube</v>
          </cell>
          <cell r="E188">
            <v>485280</v>
          </cell>
          <cell r="F188">
            <v>9.0299999999999991E-2</v>
          </cell>
          <cell r="G188">
            <v>24494</v>
          </cell>
          <cell r="H188">
            <v>2025</v>
          </cell>
          <cell r="I188">
            <v>2</v>
          </cell>
          <cell r="J188">
            <v>2</v>
          </cell>
          <cell r="K188">
            <v>1444</v>
          </cell>
          <cell r="L188">
            <v>-7.1133004926108372</v>
          </cell>
        </row>
        <row r="189">
          <cell r="B189" t="str">
            <v>YouTube</v>
          </cell>
          <cell r="E189">
            <v>105980</v>
          </cell>
          <cell r="F189">
            <v>9.0800000000000006E-2</v>
          </cell>
          <cell r="G189">
            <v>22996</v>
          </cell>
          <cell r="H189">
            <v>2025</v>
          </cell>
          <cell r="I189">
            <v>2</v>
          </cell>
          <cell r="J189">
            <v>3</v>
          </cell>
          <cell r="K189">
            <v>1175</v>
          </cell>
          <cell r="L189">
            <v>0.81371191135734067</v>
          </cell>
        </row>
        <row r="190">
          <cell r="B190" t="str">
            <v>YouTube</v>
          </cell>
          <cell r="E190">
            <v>464239</v>
          </cell>
          <cell r="F190">
            <v>6.5799999999999997E-2</v>
          </cell>
          <cell r="G190">
            <v>39031</v>
          </cell>
          <cell r="H190">
            <v>2025</v>
          </cell>
          <cell r="I190">
            <v>2</v>
          </cell>
          <cell r="J190">
            <v>4</v>
          </cell>
          <cell r="K190">
            <v>1016</v>
          </cell>
          <cell r="L190">
            <v>0.86468085106382975</v>
          </cell>
        </row>
        <row r="191">
          <cell r="B191" t="str">
            <v>YouTube</v>
          </cell>
          <cell r="E191">
            <v>224534</v>
          </cell>
          <cell r="F191">
            <v>9.4E-2</v>
          </cell>
          <cell r="G191">
            <v>30987</v>
          </cell>
          <cell r="H191">
            <v>2025</v>
          </cell>
          <cell r="I191">
            <v>3</v>
          </cell>
          <cell r="J191">
            <v>1</v>
          </cell>
          <cell r="K191">
            <v>315</v>
          </cell>
          <cell r="L191">
            <v>0.31003937007874016</v>
          </cell>
        </row>
        <row r="192">
          <cell r="B192" t="str">
            <v>YouTube</v>
          </cell>
          <cell r="E192">
            <v>98397</v>
          </cell>
          <cell r="F192">
            <v>6.1100000000000002E-2</v>
          </cell>
          <cell r="G192">
            <v>11383</v>
          </cell>
          <cell r="H192">
            <v>2025</v>
          </cell>
          <cell r="I192">
            <v>3</v>
          </cell>
          <cell r="J192">
            <v>2</v>
          </cell>
          <cell r="K192">
            <v>1242</v>
          </cell>
          <cell r="L192">
            <v>3.9428571428571431</v>
          </cell>
        </row>
        <row r="193">
          <cell r="B193" t="str">
            <v>YouTube</v>
          </cell>
          <cell r="E193">
            <v>17380</v>
          </cell>
          <cell r="F193">
            <v>8.6400000000000005E-2</v>
          </cell>
          <cell r="G193">
            <v>35801</v>
          </cell>
          <cell r="H193">
            <v>2025</v>
          </cell>
          <cell r="I193">
            <v>3</v>
          </cell>
          <cell r="J193">
            <v>3</v>
          </cell>
          <cell r="K193">
            <v>1385</v>
          </cell>
          <cell r="L193">
            <v>1.1151368760064413</v>
          </cell>
        </row>
        <row r="194">
          <cell r="B194" t="str">
            <v>YouTube</v>
          </cell>
          <cell r="E194">
            <v>441931</v>
          </cell>
          <cell r="F194">
            <v>1.8700000000000001E-2</v>
          </cell>
          <cell r="G194">
            <v>20059</v>
          </cell>
          <cell r="H194">
            <v>2025</v>
          </cell>
          <cell r="I194">
            <v>3</v>
          </cell>
          <cell r="J194">
            <v>4</v>
          </cell>
          <cell r="K194">
            <v>389</v>
          </cell>
          <cell r="L194">
            <v>0.28086642599277978</v>
          </cell>
        </row>
        <row r="195">
          <cell r="B195" t="str">
            <v>YouTube</v>
          </cell>
          <cell r="E195">
            <v>435726</v>
          </cell>
          <cell r="F195">
            <v>4.7300000000000002E-2</v>
          </cell>
          <cell r="G195">
            <v>15969</v>
          </cell>
          <cell r="H195">
            <v>2025</v>
          </cell>
          <cell r="I195">
            <v>3</v>
          </cell>
          <cell r="J195">
            <v>5</v>
          </cell>
          <cell r="K195">
            <v>1467</v>
          </cell>
          <cell r="L195">
            <v>3.7712082262210798</v>
          </cell>
        </row>
        <row r="196">
          <cell r="B196" t="str">
            <v>YouTube</v>
          </cell>
          <cell r="E196">
            <v>290354</v>
          </cell>
          <cell r="F196">
            <v>6.4899999999999999E-2</v>
          </cell>
          <cell r="G196">
            <v>39923</v>
          </cell>
          <cell r="H196">
            <v>2025</v>
          </cell>
          <cell r="I196">
            <v>4</v>
          </cell>
          <cell r="J196">
            <v>1</v>
          </cell>
          <cell r="K196">
            <v>209</v>
          </cell>
          <cell r="L196">
            <v>0.14246762099522836</v>
          </cell>
        </row>
        <row r="197">
          <cell r="B197" t="str">
            <v>YouTube</v>
          </cell>
          <cell r="E197">
            <v>369525</v>
          </cell>
          <cell r="F197">
            <v>6.54E-2</v>
          </cell>
          <cell r="G197">
            <v>20733</v>
          </cell>
          <cell r="H197">
            <v>2025</v>
          </cell>
          <cell r="I197">
            <v>4</v>
          </cell>
          <cell r="J197">
            <v>2</v>
          </cell>
          <cell r="K197">
            <v>145</v>
          </cell>
          <cell r="L197">
            <v>0.69377990430622005</v>
          </cell>
        </row>
        <row r="198">
          <cell r="B198" t="str">
            <v>YouTube</v>
          </cell>
          <cell r="E198">
            <v>270958</v>
          </cell>
          <cell r="F198">
            <v>3.0899999999999997E-2</v>
          </cell>
          <cell r="G198">
            <v>14090</v>
          </cell>
          <cell r="H198">
            <v>2025</v>
          </cell>
          <cell r="I198">
            <v>4</v>
          </cell>
          <cell r="J198">
            <v>3</v>
          </cell>
          <cell r="K198">
            <v>1633</v>
          </cell>
          <cell r="L198">
            <v>11.262068965517241</v>
          </cell>
        </row>
        <row r="199">
          <cell r="B199" t="str">
            <v>YouTube</v>
          </cell>
          <cell r="E199">
            <v>11435</v>
          </cell>
          <cell r="F199">
            <v>1.6E-2</v>
          </cell>
          <cell r="G199">
            <v>6832</v>
          </cell>
          <cell r="H199">
            <v>2025</v>
          </cell>
          <cell r="I199">
            <v>4</v>
          </cell>
          <cell r="J199">
            <v>4</v>
          </cell>
          <cell r="K199">
            <v>637</v>
          </cell>
          <cell r="L199">
            <v>0.39007960808328229</v>
          </cell>
        </row>
        <row r="200">
          <cell r="B200" t="str">
            <v>YouTube</v>
          </cell>
          <cell r="E200">
            <v>148477</v>
          </cell>
          <cell r="F200">
            <v>5.21E-2</v>
          </cell>
          <cell r="G200">
            <v>7541</v>
          </cell>
          <cell r="H200">
            <v>2025</v>
          </cell>
          <cell r="I200">
            <v>5</v>
          </cell>
          <cell r="J200">
            <v>1</v>
          </cell>
          <cell r="K200">
            <v>864</v>
          </cell>
          <cell r="L200">
            <v>1.3563579277864992</v>
          </cell>
        </row>
        <row r="201">
          <cell r="B201" t="str">
            <v>YouTube</v>
          </cell>
          <cell r="E201">
            <v>82558</v>
          </cell>
          <cell r="F201">
            <v>6.8099999999999994E-2</v>
          </cell>
          <cell r="G201">
            <v>12174</v>
          </cell>
          <cell r="H201">
            <v>2025</v>
          </cell>
          <cell r="I201">
            <v>5</v>
          </cell>
          <cell r="J201">
            <v>2</v>
          </cell>
          <cell r="K201">
            <v>-337</v>
          </cell>
          <cell r="L201">
            <v>-0.39004629629629628</v>
          </cell>
        </row>
      </sheetData>
      <sheetData sheetId="2"/>
      <sheetData sheetId="3"/>
      <sheetData sheetId="4"/>
      <sheetData sheetId="5"/>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4.648986111111" createdVersion="8" refreshedVersion="8" minRefreshableVersion="3" recordCount="200" xr:uid="{6D8CAD94-D2F8-4E5B-AB3A-7A8D7144F18E}">
  <cacheSource type="worksheet">
    <worksheetSource ref="G7:M207" sheet="Task 3" r:id="rId2"/>
  </cacheSource>
  <cacheFields count="7">
    <cacheField name="Platform" numFmtId="0">
      <sharedItems count="4">
        <s v="Facebook"/>
        <s v="Instagram"/>
        <s v="Twitter"/>
        <s v="YouTube"/>
      </sharedItems>
    </cacheField>
    <cacheField name="Total_Followers" numFmtId="0">
      <sharedItems containsSemiMixedTypes="0" containsString="0" containsNumber="1" containsInteger="1" minValue="11435" maxValue="496982"/>
    </cacheField>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6"/>
        <n v="7"/>
        <n v="8"/>
        <n v="9"/>
        <n v="10"/>
        <n v="11"/>
        <n v="12"/>
        <n v="1"/>
        <n v="2"/>
        <n v="3"/>
        <n v="4"/>
        <n v="5"/>
      </sharedItems>
    </cacheField>
    <cacheField name="Week " numFmtId="0">
      <sharedItems containsSemiMixedTypes="0" containsString="0" containsNumber="1" containsInteger="1" minValue="1" maxValue="5" count="5">
        <n v="1"/>
        <n v="2"/>
        <n v="3"/>
        <n v="4"/>
        <n v="5"/>
      </sharedItems>
    </cacheField>
    <cacheField name="Netgrowth" numFmtId="0">
      <sharedItems containsSemiMixedTypes="0" containsString="0" containsNumber="1" containsInteger="1" minValue="-337" maxValue="1881"/>
    </cacheField>
    <cacheField name="Growth Rate" numFmtId="0">
      <sharedItems containsSemiMixedTypes="0" containsString="0" containsNumber="1" minValue="-34.551020408163268" maxValue="45"/>
    </cacheField>
  </cacheFields>
  <extLst>
    <ext xmlns:x14="http://schemas.microsoft.com/office/spreadsheetml/2009/9/main" uri="{725AE2AE-9491-48be-B2B4-4EB974FC3084}">
      <x14:pivotCacheDefinition pivotCacheId="857418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4.973886921296" createdVersion="8" refreshedVersion="8" minRefreshableVersion="3" recordCount="339" xr:uid="{077BF49F-54BA-4E70-8994-BAF6AF88325B}">
  <cacheSource type="worksheet">
    <worksheetSource ref="W5:AC344" sheet="Task 3" r:id="rId2"/>
  </cacheSource>
  <cacheFields count="7">
    <cacheField name="Platform" numFmtId="0">
      <sharedItems count="4">
        <s v="Facebook"/>
        <s v="Instagram"/>
        <s v="Twitter"/>
        <s v="YouTube"/>
      </sharedItems>
    </cacheField>
    <cacheField name="Date" numFmtId="14">
      <sharedItems containsSemiMixedTypes="0" containsNonDate="0" containsDate="1" containsString="0" minDate="2024-06-01T00:00:00" maxDate="2025-05-15T00:00:00"/>
    </cacheField>
    <cacheField name="Engagement(Likes+Shares+Comments)" numFmtId="0">
      <sharedItems containsSemiMixedTypes="0" containsString="0" containsNumber="1" containsInteger="1" minValue="315" maxValue="6278"/>
    </cacheField>
    <cacheField name="Month" numFmtId="0">
      <sharedItems containsSemiMixedTypes="0" containsString="0" containsNumber="1" containsInteger="1" minValue="1" maxValue="12"/>
    </cacheField>
    <cacheField name="Week" numFmtId="0">
      <sharedItems containsSemiMixedTypes="0" containsString="0" containsNumber="1" containsInteger="1" minValue="1" maxValue="5"/>
    </cacheField>
    <cacheField name="Year" numFmtId="0">
      <sharedItems containsSemiMixedTypes="0" containsString="0" containsNumber="1" containsInteger="1" minValue="2024" maxValue="2025" count="2">
        <n v="2024"/>
        <n v="2025"/>
      </sharedItems>
    </cacheField>
    <cacheField name="ad spent" numFmtId="0">
      <sharedItems containsSemiMixedTypes="0" containsString="0" containsNumber="1" containsInteger="1" minValue="0" maxValue="4977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3.971759143518" createdVersion="8" refreshedVersion="8" minRefreshableVersion="3" recordCount="200" xr:uid="{DE016AA0-DEB6-4BB9-AEEA-D5130BBF8A3D}">
  <cacheSource type="worksheet">
    <worksheetSource ref="B7:C207" sheet="Task 3" r:id="rId2"/>
  </cacheSource>
  <cacheFields count="2">
    <cacheField name="Platform" numFmtId="0">
      <sharedItems count="4">
        <s v="Instagram"/>
        <s v="Facebook"/>
        <s v="Twitter"/>
        <s v="YouTube"/>
      </sharedItems>
    </cacheField>
    <cacheField name="Engagement_Rate" numFmtId="0">
      <sharedItems containsSemiMixedTypes="0" containsString="0" containsNumber="1" minValue="1.5300000000000001E-2" maxValue="9.4800000000000009E-2" count="172">
        <n v="8.0600000000000005E-2"/>
        <n v="4.9800000000000004E-2"/>
        <n v="8.3100000000000007E-2"/>
        <n v="4.1100000000000005E-2"/>
        <n v="9.0500000000000011E-2"/>
        <n v="2.3700000000000002E-2"/>
        <n v="4.0099999999999997E-2"/>
        <n v="3.1600000000000003E-2"/>
        <n v="2.46E-2"/>
        <n v="8.1099999999999992E-2"/>
        <n v="8.1900000000000001E-2"/>
        <n v="3.49E-2"/>
        <n v="6.9199999999999998E-2"/>
        <n v="9.1199999999999989E-2"/>
        <n v="3.5000000000000003E-2"/>
        <n v="2.6200000000000001E-2"/>
        <n v="9.3599999999999989E-2"/>
        <n v="4.4800000000000006E-2"/>
        <n v="6.1900000000000004E-2"/>
        <n v="8.72E-2"/>
        <n v="8.7400000000000005E-2"/>
        <n v="1.9099999999999999E-2"/>
        <n v="4.6600000000000003E-2"/>
        <n v="2.8799999999999999E-2"/>
        <n v="3.7400000000000003E-2"/>
        <n v="6.4399999999999999E-2"/>
        <n v="8.5600000000000009E-2"/>
        <n v="4.5599999999999995E-2"/>
        <n v="7.8799999999999995E-2"/>
        <n v="7.8600000000000003E-2"/>
        <n v="5.3399999999999996E-2"/>
        <n v="5.5199999999999999E-2"/>
        <n v="4.0500000000000001E-2"/>
        <n v="7.7300000000000008E-2"/>
        <n v="4.36E-2"/>
        <n v="3.4799999999999998E-2"/>
        <n v="7.8299999999999995E-2"/>
        <n v="6.1100000000000002E-2"/>
        <n v="9.4299999999999995E-2"/>
        <n v="4.0399999999999998E-2"/>
        <n v="6.2300000000000001E-2"/>
        <n v="6.0100000000000001E-2"/>
        <n v="8.5500000000000007E-2"/>
        <n v="5.4199999999999998E-2"/>
        <n v="3.2500000000000001E-2"/>
        <n v="8.8399999999999992E-2"/>
        <n v="7.2400000000000006E-2"/>
        <n v="5.7099999999999998E-2"/>
        <n v="9.0399999999999994E-2"/>
        <n v="3.9100000000000003E-2"/>
        <n v="7.1599999999999997E-2"/>
        <n v="6.4100000000000004E-2"/>
        <n v="8.0199999999999994E-2"/>
        <n v="3.8599999999999995E-2"/>
        <n v="9.0899999999999995E-2"/>
        <n v="1.7600000000000001E-2"/>
        <n v="9.2399999999999996E-2"/>
        <n v="8.9900000000000008E-2"/>
        <n v="3.4000000000000002E-2"/>
        <n v="9.1999999999999998E-2"/>
        <n v="8.5900000000000004E-2"/>
        <n v="2.3599999999999999E-2"/>
        <n v="7.3599999999999999E-2"/>
        <n v="8.1300000000000011E-2"/>
        <n v="3.3000000000000002E-2"/>
        <n v="1.77E-2"/>
        <n v="2.0899999999999998E-2"/>
        <n v="6.25E-2"/>
        <n v="1.7500000000000002E-2"/>
        <n v="4.9699999999999994E-2"/>
        <n v="9.3000000000000013E-2"/>
        <n v="8.900000000000001E-2"/>
        <n v="3.8800000000000001E-2"/>
        <n v="5.9000000000000004E-2"/>
        <n v="1.5300000000000001E-2"/>
        <n v="6.5000000000000002E-2"/>
        <n v="8.2500000000000004E-2"/>
        <n v="5.4100000000000002E-2"/>
        <n v="5.8499999999999996E-2"/>
        <n v="4.4600000000000001E-2"/>
        <n v="5.2199999999999996E-2"/>
        <n v="1.9900000000000001E-2"/>
        <n v="6.8499999999999991E-2"/>
        <n v="3.32E-2"/>
        <n v="5.6799999999999996E-2"/>
        <n v="6.08E-2"/>
        <n v="8.6999999999999994E-2"/>
        <n v="7.9699999999999993E-2"/>
        <n v="9.4100000000000003E-2"/>
        <n v="2.6800000000000001E-2"/>
        <n v="7.3200000000000001E-2"/>
        <n v="4.6799999999999994E-2"/>
        <n v="5.1699999999999996E-2"/>
        <n v="6.2E-2"/>
        <n v="2.69E-2"/>
        <n v="3.7900000000000003E-2"/>
        <n v="4.7899999999999998E-2"/>
        <n v="6.3700000000000007E-2"/>
        <n v="2.6499999999999999E-2"/>
        <n v="1.8100000000000002E-2"/>
        <n v="7.4700000000000003E-2"/>
        <n v="4.2000000000000003E-2"/>
        <n v="5.4299999999999994E-2"/>
        <n v="6.6600000000000006E-2"/>
        <n v="8.09E-2"/>
        <n v="8.4399999999999989E-2"/>
        <n v="2.0199999999999999E-2"/>
        <n v="7.7399999999999997E-2"/>
        <n v="2.8900000000000002E-2"/>
        <n v="3.0899999999999997E-2"/>
        <n v="5.2999999999999999E-2"/>
        <n v="8.199999999999999E-2"/>
        <n v="2.2200000000000001E-2"/>
        <n v="8.3299999999999999E-2"/>
        <n v="5.6100000000000004E-2"/>
        <n v="2.5600000000000001E-2"/>
        <n v="3.2899999999999999E-2"/>
        <n v="4.5100000000000001E-2"/>
        <n v="5.2300000000000006E-2"/>
        <n v="9.2300000000000007E-2"/>
        <n v="2.0099999999999996E-2"/>
        <n v="3.7200000000000004E-2"/>
        <n v="3.8900000000000004E-2"/>
        <n v="6.9500000000000006E-2"/>
        <n v="9.4800000000000009E-2"/>
        <n v="4.6100000000000002E-2"/>
        <n v="8.0299999999999996E-2"/>
        <n v="6.9900000000000004E-2"/>
        <n v="9.0299999999999991E-2"/>
        <n v="2.86E-2"/>
        <n v="3.85E-2"/>
        <n v="7.2999999999999995E-2"/>
        <n v="9.0800000000000006E-2"/>
        <n v="4.3400000000000001E-2"/>
        <n v="7.8E-2"/>
        <n v="6.5799999999999997E-2"/>
        <n v="8.6199999999999999E-2"/>
        <n v="4.5499999999999999E-2"/>
        <n v="9.4E-2"/>
        <n v="7.2300000000000003E-2"/>
        <n v="9.3900000000000011E-2"/>
        <n v="5.1200000000000002E-2"/>
        <n v="4.9400000000000006E-2"/>
        <n v="1.8000000000000002E-2"/>
        <n v="8.6400000000000005E-2"/>
        <n v="8.5199999999999998E-2"/>
        <n v="5.5300000000000002E-2"/>
        <n v="1.8700000000000001E-2"/>
        <n v="6.2699999999999992E-2"/>
        <n v="9.4600000000000004E-2"/>
        <n v="7.4999999999999997E-2"/>
        <n v="4.7300000000000002E-2"/>
        <n v="3.1899999999999998E-2"/>
        <n v="2.4900000000000002E-2"/>
        <n v="4.4999999999999998E-2"/>
        <n v="6.4899999999999999E-2"/>
        <n v="6.7299999999999999E-2"/>
        <n v="4.8300000000000003E-2"/>
        <n v="6.54E-2"/>
        <n v="6.8000000000000005E-2"/>
        <n v="2.6000000000000002E-2"/>
        <n v="2.4399999999999998E-2"/>
        <n v="5.6900000000000006E-2"/>
        <n v="1.6E-2"/>
        <n v="6.0899999999999996E-2"/>
        <n v="5.5899999999999998E-2"/>
        <n v="3.5499999999999997E-2"/>
        <n v="5.21E-2"/>
        <n v="1.8200000000000001E-2"/>
        <n v="0.04"/>
        <n v="7.5700000000000003E-2"/>
        <n v="6.8099999999999994E-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n v="42654"/>
    <x v="0"/>
    <x v="0"/>
    <x v="0"/>
    <n v="1002"/>
    <n v="1"/>
  </r>
  <r>
    <x v="0"/>
    <n v="316555"/>
    <x v="0"/>
    <x v="0"/>
    <x v="1"/>
    <n v="1283"/>
    <n v="1.280439121756487"/>
  </r>
  <r>
    <x v="0"/>
    <n v="169496"/>
    <x v="0"/>
    <x v="0"/>
    <x v="2"/>
    <n v="1382"/>
    <n v="1.0771628994544038"/>
  </r>
  <r>
    <x v="0"/>
    <n v="26295"/>
    <x v="0"/>
    <x v="0"/>
    <x v="3"/>
    <n v="1670"/>
    <n v="1.2083936324167872"/>
  </r>
  <r>
    <x v="0"/>
    <n v="220020"/>
    <x v="0"/>
    <x v="1"/>
    <x v="0"/>
    <n v="64"/>
    <n v="3.8323353293413173E-2"/>
  </r>
  <r>
    <x v="0"/>
    <n v="251694"/>
    <x v="0"/>
    <x v="1"/>
    <x v="1"/>
    <n v="309"/>
    <n v="4.828125"/>
  </r>
  <r>
    <x v="0"/>
    <n v="334626"/>
    <x v="0"/>
    <x v="1"/>
    <x v="2"/>
    <n v="-164"/>
    <n v="-0.53074433656957931"/>
  </r>
  <r>
    <x v="0"/>
    <n v="295032"/>
    <x v="0"/>
    <x v="1"/>
    <x v="3"/>
    <n v="961"/>
    <n v="-5.8597560975609753"/>
  </r>
  <r>
    <x v="0"/>
    <n v="435034"/>
    <x v="0"/>
    <x v="1"/>
    <x v="4"/>
    <n v="-318"/>
    <n v="-0.33090530697190429"/>
  </r>
  <r>
    <x v="0"/>
    <n v="125034"/>
    <x v="0"/>
    <x v="2"/>
    <x v="0"/>
    <n v="-197"/>
    <n v="0.61949685534591192"/>
  </r>
  <r>
    <x v="0"/>
    <n v="307612"/>
    <x v="0"/>
    <x v="2"/>
    <x v="1"/>
    <n v="1334"/>
    <n v="-6.7715736040609134"/>
  </r>
  <r>
    <x v="0"/>
    <n v="183924"/>
    <x v="0"/>
    <x v="2"/>
    <x v="2"/>
    <n v="1058"/>
    <n v="0.7931034482758621"/>
  </r>
  <r>
    <x v="0"/>
    <n v="379380"/>
    <x v="0"/>
    <x v="2"/>
    <x v="3"/>
    <n v="37"/>
    <n v="3.4971644612476371E-2"/>
  </r>
  <r>
    <x v="0"/>
    <n v="496982"/>
    <x v="0"/>
    <x v="3"/>
    <x v="0"/>
    <n v="1045"/>
    <n v="28.243243243243242"/>
  </r>
  <r>
    <x v="0"/>
    <n v="307524"/>
    <x v="0"/>
    <x v="3"/>
    <x v="1"/>
    <n v="1428"/>
    <n v="1.3665071770334929"/>
  </r>
  <r>
    <x v="0"/>
    <n v="474162"/>
    <x v="0"/>
    <x v="3"/>
    <x v="2"/>
    <n v="98"/>
    <n v="6.8627450980392163E-2"/>
  </r>
  <r>
    <x v="0"/>
    <n v="239753"/>
    <x v="0"/>
    <x v="3"/>
    <x v="3"/>
    <n v="-19"/>
    <n v="-0.19387755102040816"/>
  </r>
  <r>
    <x v="0"/>
    <n v="453423"/>
    <x v="0"/>
    <x v="3"/>
    <x v="4"/>
    <n v="-179"/>
    <n v="9.4210526315789469"/>
  </r>
  <r>
    <x v="0"/>
    <n v="379363"/>
    <x v="0"/>
    <x v="4"/>
    <x v="0"/>
    <n v="1662"/>
    <n v="-9.2849162011173192"/>
  </r>
  <r>
    <x v="0"/>
    <n v="157599"/>
    <x v="0"/>
    <x v="4"/>
    <x v="1"/>
    <n v="285"/>
    <n v="0.17148014440433212"/>
  </r>
  <r>
    <x v="0"/>
    <n v="23492"/>
    <x v="0"/>
    <x v="4"/>
    <x v="2"/>
    <n v="439"/>
    <n v="1.5403508771929824"/>
  </r>
  <r>
    <x v="0"/>
    <n v="209987"/>
    <x v="0"/>
    <x v="4"/>
    <x v="3"/>
    <n v="386"/>
    <n v="0.87927107061503418"/>
  </r>
  <r>
    <x v="0"/>
    <n v="319186"/>
    <x v="0"/>
    <x v="5"/>
    <x v="0"/>
    <n v="540"/>
    <n v="1.3989637305699483"/>
  </r>
  <r>
    <x v="0"/>
    <n v="309483"/>
    <x v="0"/>
    <x v="5"/>
    <x v="1"/>
    <n v="-106"/>
    <n v="-0.1962962962962963"/>
  </r>
  <r>
    <x v="0"/>
    <n v="338847"/>
    <x v="0"/>
    <x v="5"/>
    <x v="2"/>
    <n v="72"/>
    <n v="-0.67924528301886788"/>
  </r>
  <r>
    <x v="0"/>
    <n v="336661"/>
    <x v="0"/>
    <x v="5"/>
    <x v="3"/>
    <n v="1332"/>
    <n v="18.5"/>
  </r>
  <r>
    <x v="0"/>
    <n v="470269"/>
    <x v="0"/>
    <x v="6"/>
    <x v="0"/>
    <n v="1706"/>
    <n v="1.2807807807807807"/>
  </r>
  <r>
    <x v="0"/>
    <n v="35842"/>
    <x v="0"/>
    <x v="6"/>
    <x v="1"/>
    <n v="1373"/>
    <n v="0.80480656506447834"/>
  </r>
  <r>
    <x v="0"/>
    <n v="415815"/>
    <x v="0"/>
    <x v="6"/>
    <x v="2"/>
    <n v="1377"/>
    <n v="1.0029133284777858"/>
  </r>
  <r>
    <x v="0"/>
    <n v="93347"/>
    <x v="0"/>
    <x v="6"/>
    <x v="3"/>
    <n v="730"/>
    <n v="0.53013798111837329"/>
  </r>
  <r>
    <x v="0"/>
    <n v="379431"/>
    <x v="0"/>
    <x v="6"/>
    <x v="4"/>
    <n v="1776"/>
    <n v="2.4328767123287673"/>
  </r>
  <r>
    <x v="0"/>
    <n v="95728"/>
    <x v="1"/>
    <x v="7"/>
    <x v="0"/>
    <n v="620"/>
    <n v="0.34909909909909909"/>
  </r>
  <r>
    <x v="0"/>
    <n v="224699"/>
    <x v="1"/>
    <x v="7"/>
    <x v="1"/>
    <n v="298"/>
    <n v="0.48064516129032259"/>
  </r>
  <r>
    <x v="0"/>
    <n v="479490"/>
    <x v="1"/>
    <x v="7"/>
    <x v="2"/>
    <n v="427"/>
    <n v="1.4328859060402686"/>
  </r>
  <r>
    <x v="0"/>
    <n v="321307"/>
    <x v="1"/>
    <x v="7"/>
    <x v="3"/>
    <n v="898"/>
    <n v="2.1030444964871196"/>
  </r>
  <r>
    <x v="0"/>
    <n v="135987"/>
    <x v="1"/>
    <x v="8"/>
    <x v="0"/>
    <n v="748"/>
    <n v="0.83296213808463249"/>
  </r>
  <r>
    <x v="0"/>
    <n v="309914"/>
    <x v="1"/>
    <x v="8"/>
    <x v="1"/>
    <n v="912"/>
    <n v="1.2192513368983957"/>
  </r>
  <r>
    <x v="0"/>
    <n v="104967"/>
    <x v="1"/>
    <x v="8"/>
    <x v="2"/>
    <n v="1590"/>
    <n v="1.743421052631579"/>
  </r>
  <r>
    <x v="0"/>
    <n v="230448"/>
    <x v="1"/>
    <x v="8"/>
    <x v="3"/>
    <n v="1707"/>
    <n v="1.0735849056603775"/>
  </r>
  <r>
    <x v="0"/>
    <n v="366881"/>
    <x v="1"/>
    <x v="9"/>
    <x v="0"/>
    <n v="-119"/>
    <n v="-6.9712946690099586E-2"/>
  </r>
  <r>
    <x v="0"/>
    <n v="340842"/>
    <x v="1"/>
    <x v="9"/>
    <x v="1"/>
    <n v="908"/>
    <n v="-7.6302521008403366"/>
  </r>
  <r>
    <x v="0"/>
    <n v="342129"/>
    <x v="1"/>
    <x v="9"/>
    <x v="2"/>
    <n v="1116"/>
    <n v="1.2290748898678414"/>
  </r>
  <r>
    <x v="0"/>
    <n v="373606"/>
    <x v="1"/>
    <x v="9"/>
    <x v="3"/>
    <n v="474"/>
    <n v="0.42473118279569894"/>
  </r>
  <r>
    <x v="0"/>
    <n v="370070"/>
    <x v="1"/>
    <x v="9"/>
    <x v="4"/>
    <n v="514"/>
    <n v="1.0843881856540085"/>
  </r>
  <r>
    <x v="0"/>
    <n v="98596"/>
    <x v="1"/>
    <x v="10"/>
    <x v="0"/>
    <n v="1029"/>
    <n v="2.0019455252918288"/>
  </r>
  <r>
    <x v="0"/>
    <n v="70707"/>
    <x v="1"/>
    <x v="10"/>
    <x v="1"/>
    <n v="-175"/>
    <n v="-0.17006802721088435"/>
  </r>
  <r>
    <x v="0"/>
    <n v="377382"/>
    <x v="1"/>
    <x v="10"/>
    <x v="2"/>
    <n v="1045"/>
    <n v="-5.9714285714285715"/>
  </r>
  <r>
    <x v="0"/>
    <n v="224830"/>
    <x v="1"/>
    <x v="10"/>
    <x v="3"/>
    <n v="453"/>
    <n v="0.43349282296650715"/>
  </r>
  <r>
    <x v="0"/>
    <n v="418696"/>
    <x v="1"/>
    <x v="11"/>
    <x v="0"/>
    <n v="339"/>
    <n v="0.7483443708609272"/>
  </r>
  <r>
    <x v="0"/>
    <n v="364820"/>
    <x v="1"/>
    <x v="11"/>
    <x v="1"/>
    <n v="407"/>
    <n v="1.2005899705014749"/>
  </r>
  <r>
    <x v="1"/>
    <n v="344084"/>
    <x v="0"/>
    <x v="0"/>
    <x v="0"/>
    <n v="1047"/>
    <n v="1"/>
  </r>
  <r>
    <x v="1"/>
    <n v="49157"/>
    <x v="0"/>
    <x v="0"/>
    <x v="1"/>
    <n v="517"/>
    <n v="0.49379178605539636"/>
  </r>
  <r>
    <x v="1"/>
    <n v="456946"/>
    <x v="0"/>
    <x v="0"/>
    <x v="2"/>
    <n v="893"/>
    <n v="1.7272727272727273"/>
  </r>
  <r>
    <x v="1"/>
    <n v="35664"/>
    <x v="0"/>
    <x v="0"/>
    <x v="3"/>
    <n v="629"/>
    <n v="0.70436730123180291"/>
  </r>
  <r>
    <x v="1"/>
    <n v="419447"/>
    <x v="0"/>
    <x v="1"/>
    <x v="0"/>
    <n v="-219"/>
    <n v="-0.3481717011128776"/>
  </r>
  <r>
    <x v="1"/>
    <n v="58223"/>
    <x v="0"/>
    <x v="1"/>
    <x v="1"/>
    <n v="1672"/>
    <n v="-7.634703196347032"/>
  </r>
  <r>
    <x v="1"/>
    <n v="154169"/>
    <x v="0"/>
    <x v="1"/>
    <x v="2"/>
    <n v="1845"/>
    <n v="1.1034688995215312"/>
  </r>
  <r>
    <x v="1"/>
    <n v="473812"/>
    <x v="0"/>
    <x v="1"/>
    <x v="3"/>
    <n v="159"/>
    <n v="8.6178861788617889E-2"/>
  </r>
  <r>
    <x v="1"/>
    <n v="23664"/>
    <x v="0"/>
    <x v="1"/>
    <x v="4"/>
    <n v="541"/>
    <n v="3.4025157232704402"/>
  </r>
  <r>
    <x v="1"/>
    <n v="437968"/>
    <x v="0"/>
    <x v="2"/>
    <x v="0"/>
    <n v="352"/>
    <n v="0.65064695009242146"/>
  </r>
  <r>
    <x v="1"/>
    <n v="489188"/>
    <x v="0"/>
    <x v="2"/>
    <x v="1"/>
    <n v="1325"/>
    <n v="3.7642045454545454"/>
  </r>
  <r>
    <x v="1"/>
    <n v="325444"/>
    <x v="0"/>
    <x v="2"/>
    <x v="2"/>
    <n v="76"/>
    <n v="5.7358490566037736E-2"/>
  </r>
  <r>
    <x v="1"/>
    <n v="453799"/>
    <x v="0"/>
    <x v="2"/>
    <x v="3"/>
    <n v="1609"/>
    <n v="21.171052631578949"/>
  </r>
  <r>
    <x v="1"/>
    <n v="101332"/>
    <x v="0"/>
    <x v="3"/>
    <x v="0"/>
    <n v="1247"/>
    <n v="0.7750155376009944"/>
  </r>
  <r>
    <x v="1"/>
    <n v="378054"/>
    <x v="0"/>
    <x v="3"/>
    <x v="1"/>
    <n v="1572"/>
    <n v="1.2606255012028869"/>
  </r>
  <r>
    <x v="1"/>
    <n v="50793"/>
    <x v="0"/>
    <x v="3"/>
    <x v="2"/>
    <n v="377"/>
    <n v="0.23982188295165394"/>
  </r>
  <r>
    <x v="1"/>
    <n v="422625"/>
    <x v="0"/>
    <x v="3"/>
    <x v="3"/>
    <n v="666"/>
    <n v="1.76657824933687"/>
  </r>
  <r>
    <x v="1"/>
    <n v="370269"/>
    <x v="0"/>
    <x v="3"/>
    <x v="4"/>
    <n v="1025"/>
    <n v="1.5390390390390389"/>
  </r>
  <r>
    <x v="1"/>
    <n v="187183"/>
    <x v="0"/>
    <x v="4"/>
    <x v="0"/>
    <n v="1872"/>
    <n v="1.8263414634146342"/>
  </r>
  <r>
    <x v="1"/>
    <n v="388555"/>
    <x v="0"/>
    <x v="4"/>
    <x v="1"/>
    <n v="1224"/>
    <n v="0.65384615384615385"/>
  </r>
  <r>
    <x v="1"/>
    <n v="357089"/>
    <x v="0"/>
    <x v="4"/>
    <x v="2"/>
    <n v="262"/>
    <n v="0.21405228758169934"/>
  </r>
  <r>
    <x v="1"/>
    <n v="346522"/>
    <x v="0"/>
    <x v="4"/>
    <x v="3"/>
    <n v="576"/>
    <n v="2.1984732824427482"/>
  </r>
  <r>
    <x v="1"/>
    <n v="54935"/>
    <x v="0"/>
    <x v="5"/>
    <x v="0"/>
    <n v="1397"/>
    <n v="2.4253472222222223"/>
  </r>
  <r>
    <x v="1"/>
    <n v="51395"/>
    <x v="0"/>
    <x v="5"/>
    <x v="1"/>
    <n v="902"/>
    <n v="0.64566929133858264"/>
  </r>
  <r>
    <x v="1"/>
    <n v="51087"/>
    <x v="0"/>
    <x v="5"/>
    <x v="2"/>
    <n v="-49"/>
    <n v="-5.432372505543237E-2"/>
  </r>
  <r>
    <x v="1"/>
    <n v="282466"/>
    <x v="0"/>
    <x v="5"/>
    <x v="3"/>
    <n v="1693"/>
    <n v="-34.551020408163268"/>
  </r>
  <r>
    <x v="1"/>
    <n v="421957"/>
    <x v="0"/>
    <x v="6"/>
    <x v="0"/>
    <n v="1625"/>
    <n v="0.95983461311281748"/>
  </r>
  <r>
    <x v="1"/>
    <n v="220616"/>
    <x v="0"/>
    <x v="6"/>
    <x v="1"/>
    <n v="1119"/>
    <n v="0.68861538461538463"/>
  </r>
  <r>
    <x v="1"/>
    <n v="465553"/>
    <x v="0"/>
    <x v="6"/>
    <x v="2"/>
    <n v="1432"/>
    <n v="1.2797140303842716"/>
  </r>
  <r>
    <x v="1"/>
    <n v="280795"/>
    <x v="0"/>
    <x v="6"/>
    <x v="3"/>
    <n v="684"/>
    <n v="0.47765363128491622"/>
  </r>
  <r>
    <x v="1"/>
    <n v="140804"/>
    <x v="0"/>
    <x v="6"/>
    <x v="4"/>
    <n v="1765"/>
    <n v="2.5804093567251463"/>
  </r>
  <r>
    <x v="1"/>
    <n v="466382"/>
    <x v="1"/>
    <x v="7"/>
    <x v="0"/>
    <n v="903"/>
    <n v="0.51161473087818699"/>
  </r>
  <r>
    <x v="1"/>
    <n v="349413"/>
    <x v="1"/>
    <x v="7"/>
    <x v="1"/>
    <n v="1722"/>
    <n v="1.9069767441860466"/>
  </r>
  <r>
    <x v="1"/>
    <n v="383681"/>
    <x v="1"/>
    <x v="7"/>
    <x v="2"/>
    <n v="1572"/>
    <n v="0.91289198606271782"/>
  </r>
  <r>
    <x v="1"/>
    <n v="357265"/>
    <x v="1"/>
    <x v="7"/>
    <x v="3"/>
    <n v="-166"/>
    <n v="-0.10559796437659033"/>
  </r>
  <r>
    <x v="1"/>
    <n v="351556"/>
    <x v="1"/>
    <x v="8"/>
    <x v="0"/>
    <n v="1080"/>
    <n v="-6.5060240963855422"/>
  </r>
  <r>
    <x v="1"/>
    <n v="222126"/>
    <x v="1"/>
    <x v="8"/>
    <x v="1"/>
    <n v="1723"/>
    <n v="1.5953703703703703"/>
  </r>
  <r>
    <x v="1"/>
    <n v="453243"/>
    <x v="1"/>
    <x v="8"/>
    <x v="2"/>
    <n v="965"/>
    <n v="0.56006964596633779"/>
  </r>
  <r>
    <x v="1"/>
    <n v="126524"/>
    <x v="1"/>
    <x v="8"/>
    <x v="3"/>
    <n v="1375"/>
    <n v="1.4248704663212435"/>
  </r>
  <r>
    <x v="1"/>
    <n v="257579"/>
    <x v="1"/>
    <x v="9"/>
    <x v="0"/>
    <n v="1315"/>
    <n v="0.95636363636363642"/>
  </r>
  <r>
    <x v="1"/>
    <n v="462142"/>
    <x v="1"/>
    <x v="9"/>
    <x v="1"/>
    <n v="212"/>
    <n v="0.16121673003802281"/>
  </r>
  <r>
    <x v="1"/>
    <n v="410330"/>
    <x v="1"/>
    <x v="9"/>
    <x v="2"/>
    <n v="680"/>
    <n v="3.2075471698113209"/>
  </r>
  <r>
    <x v="1"/>
    <n v="364810"/>
    <x v="1"/>
    <x v="9"/>
    <x v="3"/>
    <n v="461"/>
    <n v="0.67794117647058827"/>
  </r>
  <r>
    <x v="1"/>
    <n v="282780"/>
    <x v="1"/>
    <x v="9"/>
    <x v="4"/>
    <n v="641"/>
    <n v="1.3904555314533622"/>
  </r>
  <r>
    <x v="1"/>
    <n v="78789"/>
    <x v="1"/>
    <x v="10"/>
    <x v="0"/>
    <n v="167"/>
    <n v="0.26053042121684866"/>
  </r>
  <r>
    <x v="1"/>
    <n v="66682"/>
    <x v="1"/>
    <x v="10"/>
    <x v="1"/>
    <n v="-160"/>
    <n v="-0.95808383233532934"/>
  </r>
  <r>
    <x v="1"/>
    <n v="62942"/>
    <x v="1"/>
    <x v="10"/>
    <x v="2"/>
    <n v="603"/>
    <n v="-3.7687499999999998"/>
  </r>
  <r>
    <x v="1"/>
    <n v="445944"/>
    <x v="1"/>
    <x v="10"/>
    <x v="3"/>
    <n v="1539"/>
    <n v="2.5522388059701493"/>
  </r>
  <r>
    <x v="1"/>
    <n v="447902"/>
    <x v="1"/>
    <x v="11"/>
    <x v="0"/>
    <n v="1881"/>
    <n v="1.2222222222222223"/>
  </r>
  <r>
    <x v="1"/>
    <n v="468301"/>
    <x v="1"/>
    <x v="11"/>
    <x v="1"/>
    <n v="1656"/>
    <n v="0.88038277511961727"/>
  </r>
  <r>
    <x v="2"/>
    <n v="146834"/>
    <x v="0"/>
    <x v="0"/>
    <x v="0"/>
    <n v="415"/>
    <n v="1"/>
  </r>
  <r>
    <x v="2"/>
    <n v="254347"/>
    <x v="0"/>
    <x v="0"/>
    <x v="1"/>
    <n v="186"/>
    <n v="0.44819277108433736"/>
  </r>
  <r>
    <x v="2"/>
    <n v="122732"/>
    <x v="0"/>
    <x v="0"/>
    <x v="2"/>
    <n v="1295"/>
    <n v="6.9623655913978491"/>
  </r>
  <r>
    <x v="2"/>
    <n v="298421"/>
    <x v="0"/>
    <x v="0"/>
    <x v="3"/>
    <n v="835"/>
    <n v="0.64478764478764483"/>
  </r>
  <r>
    <x v="2"/>
    <n v="315305"/>
    <x v="0"/>
    <x v="1"/>
    <x v="0"/>
    <n v="1357"/>
    <n v="1.6251497005988025"/>
  </r>
  <r>
    <x v="2"/>
    <n v="389810"/>
    <x v="0"/>
    <x v="1"/>
    <x v="1"/>
    <n v="547"/>
    <n v="0.40309506263817246"/>
  </r>
  <r>
    <x v="2"/>
    <n v="226002"/>
    <x v="0"/>
    <x v="1"/>
    <x v="2"/>
    <n v="429"/>
    <n v="0.78427787934186477"/>
  </r>
  <r>
    <x v="2"/>
    <n v="198278"/>
    <x v="0"/>
    <x v="1"/>
    <x v="3"/>
    <n v="1316"/>
    <n v="3.0675990675990676"/>
  </r>
  <r>
    <x v="2"/>
    <n v="287574"/>
    <x v="0"/>
    <x v="1"/>
    <x v="4"/>
    <n v="1495"/>
    <n v="1.1360182370820668"/>
  </r>
  <r>
    <x v="2"/>
    <n v="449994"/>
    <x v="0"/>
    <x v="2"/>
    <x v="0"/>
    <n v="328"/>
    <n v="0.21939799331103679"/>
  </r>
  <r>
    <x v="2"/>
    <n v="434883"/>
    <x v="0"/>
    <x v="2"/>
    <x v="1"/>
    <n v="37"/>
    <n v="0.11280487804878049"/>
  </r>
  <r>
    <x v="2"/>
    <n v="188655"/>
    <x v="0"/>
    <x v="2"/>
    <x v="2"/>
    <n v="1665"/>
    <n v="45"/>
  </r>
  <r>
    <x v="2"/>
    <n v="186454"/>
    <x v="0"/>
    <x v="2"/>
    <x v="3"/>
    <n v="1229"/>
    <n v="0.73813813813813811"/>
  </r>
  <r>
    <x v="2"/>
    <n v="318779"/>
    <x v="0"/>
    <x v="3"/>
    <x v="0"/>
    <n v="197"/>
    <n v="0.16029292107404394"/>
  </r>
  <r>
    <x v="2"/>
    <n v="434047"/>
    <x v="0"/>
    <x v="3"/>
    <x v="1"/>
    <n v="260"/>
    <n v="1.3197969543147208"/>
  </r>
  <r>
    <x v="2"/>
    <n v="392355"/>
    <x v="0"/>
    <x v="3"/>
    <x v="2"/>
    <n v="1125"/>
    <n v="4.3269230769230766"/>
  </r>
  <r>
    <x v="2"/>
    <n v="268516"/>
    <x v="0"/>
    <x v="3"/>
    <x v="3"/>
    <n v="1680"/>
    <n v="1.4933333333333334"/>
  </r>
  <r>
    <x v="2"/>
    <n v="64906"/>
    <x v="0"/>
    <x v="3"/>
    <x v="4"/>
    <n v="599"/>
    <n v="0.35654761904761906"/>
  </r>
  <r>
    <x v="2"/>
    <n v="476486"/>
    <x v="0"/>
    <x v="4"/>
    <x v="0"/>
    <n v="107"/>
    <n v="0.17863105175292154"/>
  </r>
  <r>
    <x v="2"/>
    <n v="309772"/>
    <x v="0"/>
    <x v="4"/>
    <x v="1"/>
    <n v="-20"/>
    <n v="-0.18691588785046728"/>
  </r>
  <r>
    <x v="2"/>
    <n v="258287"/>
    <x v="0"/>
    <x v="4"/>
    <x v="2"/>
    <n v="636"/>
    <n v="-31.8"/>
  </r>
  <r>
    <x v="2"/>
    <n v="240550"/>
    <x v="0"/>
    <x v="4"/>
    <x v="3"/>
    <n v="37"/>
    <n v="5.8176100628930819E-2"/>
  </r>
  <r>
    <x v="2"/>
    <n v="439080"/>
    <x v="0"/>
    <x v="5"/>
    <x v="0"/>
    <n v="1603"/>
    <n v="43.324324324324323"/>
  </r>
  <r>
    <x v="2"/>
    <n v="87305"/>
    <x v="0"/>
    <x v="5"/>
    <x v="1"/>
    <n v="1150"/>
    <n v="0.71740486587648156"/>
  </r>
  <r>
    <x v="2"/>
    <n v="487523"/>
    <x v="0"/>
    <x v="5"/>
    <x v="2"/>
    <n v="445"/>
    <n v="0.38695652173913042"/>
  </r>
  <r>
    <x v="2"/>
    <n v="88455"/>
    <x v="0"/>
    <x v="5"/>
    <x v="3"/>
    <n v="98"/>
    <n v="0.22022471910112359"/>
  </r>
  <r>
    <x v="2"/>
    <n v="309904"/>
    <x v="0"/>
    <x v="6"/>
    <x v="0"/>
    <n v="1173"/>
    <n v="11.969387755102041"/>
  </r>
  <r>
    <x v="2"/>
    <n v="20607"/>
    <x v="0"/>
    <x v="6"/>
    <x v="1"/>
    <n v="1727"/>
    <n v="1.4722932651321399"/>
  </r>
  <r>
    <x v="2"/>
    <n v="327183"/>
    <x v="0"/>
    <x v="6"/>
    <x v="2"/>
    <n v="1359"/>
    <n v="0.78691372321945574"/>
  </r>
  <r>
    <x v="2"/>
    <n v="81119"/>
    <x v="0"/>
    <x v="6"/>
    <x v="3"/>
    <n v="911"/>
    <n v="0.67034584253127294"/>
  </r>
  <r>
    <x v="2"/>
    <n v="274831"/>
    <x v="0"/>
    <x v="6"/>
    <x v="4"/>
    <n v="1529"/>
    <n v="1.6783754116355654"/>
  </r>
  <r>
    <x v="2"/>
    <n v="371156"/>
    <x v="1"/>
    <x v="7"/>
    <x v="0"/>
    <n v="1188"/>
    <n v="0.7769784172661871"/>
  </r>
  <r>
    <x v="2"/>
    <n v="487896"/>
    <x v="1"/>
    <x v="7"/>
    <x v="1"/>
    <n v="-144"/>
    <n v="-0.12121212121212122"/>
  </r>
  <r>
    <x v="2"/>
    <n v="124404"/>
    <x v="1"/>
    <x v="7"/>
    <x v="2"/>
    <n v="891"/>
    <n v="-6.1875"/>
  </r>
  <r>
    <x v="2"/>
    <n v="262569"/>
    <x v="1"/>
    <x v="7"/>
    <x v="3"/>
    <n v="1426"/>
    <n v="1.6004489337822672"/>
  </r>
  <r>
    <x v="2"/>
    <n v="177554"/>
    <x v="1"/>
    <x v="8"/>
    <x v="0"/>
    <n v="569"/>
    <n v="0.39901823281907434"/>
  </r>
  <r>
    <x v="2"/>
    <n v="126582"/>
    <x v="1"/>
    <x v="8"/>
    <x v="1"/>
    <n v="1202"/>
    <n v="2.1124780316344465"/>
  </r>
  <r>
    <x v="2"/>
    <n v="145608"/>
    <x v="1"/>
    <x v="8"/>
    <x v="2"/>
    <n v="-37"/>
    <n v="-3.0782029950083195E-2"/>
  </r>
  <r>
    <x v="2"/>
    <n v="317007"/>
    <x v="1"/>
    <x v="8"/>
    <x v="3"/>
    <n v="708"/>
    <n v="-19.135135135135137"/>
  </r>
  <r>
    <x v="2"/>
    <n v="466575"/>
    <x v="1"/>
    <x v="9"/>
    <x v="0"/>
    <n v="899"/>
    <n v="1.2697740112994351"/>
  </r>
  <r>
    <x v="2"/>
    <n v="12471"/>
    <x v="1"/>
    <x v="9"/>
    <x v="1"/>
    <n v="1350"/>
    <n v="1.5016685205784204"/>
  </r>
  <r>
    <x v="2"/>
    <n v="12447"/>
    <x v="1"/>
    <x v="9"/>
    <x v="2"/>
    <n v="861"/>
    <n v="0.63777777777777778"/>
  </r>
  <r>
    <x v="2"/>
    <n v="211090"/>
    <x v="1"/>
    <x v="9"/>
    <x v="3"/>
    <n v="292"/>
    <n v="0.33914053426248547"/>
  </r>
  <r>
    <x v="2"/>
    <n v="198350"/>
    <x v="1"/>
    <x v="9"/>
    <x v="4"/>
    <n v="1676"/>
    <n v="5.7397260273972606"/>
  </r>
  <r>
    <x v="2"/>
    <n v="29589"/>
    <x v="1"/>
    <x v="10"/>
    <x v="0"/>
    <n v="1007"/>
    <n v="0.60083532219570401"/>
  </r>
  <r>
    <x v="2"/>
    <n v="142507"/>
    <x v="1"/>
    <x v="10"/>
    <x v="1"/>
    <n v="53"/>
    <n v="5.2631578947368418E-2"/>
  </r>
  <r>
    <x v="2"/>
    <n v="333851"/>
    <x v="1"/>
    <x v="10"/>
    <x v="2"/>
    <n v="759"/>
    <n v="14.320754716981131"/>
  </r>
  <r>
    <x v="2"/>
    <n v="487289"/>
    <x v="1"/>
    <x v="10"/>
    <x v="3"/>
    <n v="948"/>
    <n v="1.2490118577075098"/>
  </r>
  <r>
    <x v="2"/>
    <n v="484364"/>
    <x v="1"/>
    <x v="11"/>
    <x v="0"/>
    <n v="1510"/>
    <n v="1.5928270042194093"/>
  </r>
  <r>
    <x v="2"/>
    <n v="456298"/>
    <x v="1"/>
    <x v="11"/>
    <x v="1"/>
    <n v="269"/>
    <n v="0.17814569536423841"/>
  </r>
  <r>
    <x v="3"/>
    <n v="395536"/>
    <x v="0"/>
    <x v="0"/>
    <x v="0"/>
    <n v="1090"/>
    <n v="1"/>
  </r>
  <r>
    <x v="3"/>
    <n v="413878"/>
    <x v="0"/>
    <x v="0"/>
    <x v="1"/>
    <n v="994"/>
    <n v="0.91192660550458715"/>
  </r>
  <r>
    <x v="3"/>
    <n v="382851"/>
    <x v="0"/>
    <x v="0"/>
    <x v="2"/>
    <n v="337"/>
    <n v="0.33903420523138833"/>
  </r>
  <r>
    <x v="3"/>
    <n v="426184"/>
    <x v="0"/>
    <x v="0"/>
    <x v="3"/>
    <n v="-123"/>
    <n v="-0.36498516320474778"/>
  </r>
  <r>
    <x v="3"/>
    <n v="113678"/>
    <x v="0"/>
    <x v="1"/>
    <x v="0"/>
    <n v="91"/>
    <n v="-0.73983739837398377"/>
  </r>
  <r>
    <x v="3"/>
    <n v="233694"/>
    <x v="0"/>
    <x v="1"/>
    <x v="1"/>
    <n v="514"/>
    <n v="5.6483516483516487"/>
  </r>
  <r>
    <x v="3"/>
    <n v="156683"/>
    <x v="0"/>
    <x v="1"/>
    <x v="2"/>
    <n v="160"/>
    <n v="0.31128404669260701"/>
  </r>
  <r>
    <x v="3"/>
    <n v="306564"/>
    <x v="0"/>
    <x v="1"/>
    <x v="3"/>
    <n v="317"/>
    <n v="1.98125"/>
  </r>
  <r>
    <x v="3"/>
    <n v="62499"/>
    <x v="0"/>
    <x v="1"/>
    <x v="4"/>
    <n v="475"/>
    <n v="1.498422712933754"/>
  </r>
  <r>
    <x v="3"/>
    <n v="320650"/>
    <x v="0"/>
    <x v="2"/>
    <x v="0"/>
    <n v="319"/>
    <n v="0.67157894736842105"/>
  </r>
  <r>
    <x v="3"/>
    <n v="102042"/>
    <x v="0"/>
    <x v="2"/>
    <x v="1"/>
    <n v="1032"/>
    <n v="3.2351097178683386"/>
  </r>
  <r>
    <x v="3"/>
    <n v="87443"/>
    <x v="0"/>
    <x v="2"/>
    <x v="2"/>
    <n v="190"/>
    <n v="0.18410852713178294"/>
  </r>
  <r>
    <x v="3"/>
    <n v="239044"/>
    <x v="0"/>
    <x v="2"/>
    <x v="3"/>
    <n v="28"/>
    <n v="0.14736842105263157"/>
  </r>
  <r>
    <x v="3"/>
    <n v="370971"/>
    <x v="0"/>
    <x v="3"/>
    <x v="0"/>
    <n v="333"/>
    <n v="11.892857142857142"/>
  </r>
  <r>
    <x v="3"/>
    <n v="64583"/>
    <x v="0"/>
    <x v="3"/>
    <x v="1"/>
    <n v="1100"/>
    <n v="3.3033033033033035"/>
  </r>
  <r>
    <x v="3"/>
    <n v="119934"/>
    <x v="0"/>
    <x v="3"/>
    <x v="2"/>
    <n v="-32"/>
    <n v="-2.9090909090909091E-2"/>
  </r>
  <r>
    <x v="3"/>
    <n v="63177"/>
    <x v="0"/>
    <x v="3"/>
    <x v="3"/>
    <n v="1006"/>
    <n v="-31.4375"/>
  </r>
  <r>
    <x v="3"/>
    <n v="94360"/>
    <x v="0"/>
    <x v="3"/>
    <x v="4"/>
    <n v="1706"/>
    <n v="1.6958250497017893"/>
  </r>
  <r>
    <x v="3"/>
    <n v="117767"/>
    <x v="0"/>
    <x v="4"/>
    <x v="0"/>
    <n v="118"/>
    <n v="6.9167643610785465E-2"/>
  </r>
  <r>
    <x v="3"/>
    <n v="199178"/>
    <x v="0"/>
    <x v="4"/>
    <x v="1"/>
    <n v="367"/>
    <n v="3.1101694915254239"/>
  </r>
  <r>
    <x v="3"/>
    <n v="256910"/>
    <x v="0"/>
    <x v="4"/>
    <x v="2"/>
    <n v="1484"/>
    <n v="4.0435967302452314"/>
  </r>
  <r>
    <x v="3"/>
    <n v="305827"/>
    <x v="0"/>
    <x v="4"/>
    <x v="3"/>
    <n v="1657"/>
    <n v="1.116576819407008"/>
  </r>
  <r>
    <x v="3"/>
    <n v="258944"/>
    <x v="0"/>
    <x v="5"/>
    <x v="0"/>
    <n v="1044"/>
    <n v="0.63005431502715747"/>
  </r>
  <r>
    <x v="3"/>
    <n v="121091"/>
    <x v="0"/>
    <x v="5"/>
    <x v="1"/>
    <n v="349"/>
    <n v="0.33429118773946359"/>
  </r>
  <r>
    <x v="3"/>
    <n v="301695"/>
    <x v="0"/>
    <x v="5"/>
    <x v="2"/>
    <n v="60"/>
    <n v="0.17191977077363896"/>
  </r>
  <r>
    <x v="3"/>
    <n v="62535"/>
    <x v="0"/>
    <x v="5"/>
    <x v="3"/>
    <n v="885"/>
    <n v="14.75"/>
  </r>
  <r>
    <x v="3"/>
    <n v="221274"/>
    <x v="0"/>
    <x v="6"/>
    <x v="0"/>
    <n v="291"/>
    <n v="0.32881355932203388"/>
  </r>
  <r>
    <x v="3"/>
    <n v="451894"/>
    <x v="0"/>
    <x v="6"/>
    <x v="1"/>
    <n v="573"/>
    <n v="1.9690721649484537"/>
  </r>
  <r>
    <x v="3"/>
    <n v="488901"/>
    <x v="0"/>
    <x v="6"/>
    <x v="2"/>
    <n v="876"/>
    <n v="1.5287958115183247"/>
  </r>
  <r>
    <x v="3"/>
    <n v="25177"/>
    <x v="0"/>
    <x v="6"/>
    <x v="3"/>
    <n v="1589"/>
    <n v="1.8139269406392695"/>
  </r>
  <r>
    <x v="3"/>
    <n v="136845"/>
    <x v="0"/>
    <x v="6"/>
    <x v="4"/>
    <n v="1460"/>
    <n v="0.91881686595342982"/>
  </r>
  <r>
    <x v="3"/>
    <n v="95410"/>
    <x v="1"/>
    <x v="7"/>
    <x v="0"/>
    <n v="846"/>
    <n v="0.57945205479452055"/>
  </r>
  <r>
    <x v="3"/>
    <n v="14437"/>
    <x v="1"/>
    <x v="7"/>
    <x v="1"/>
    <n v="901"/>
    <n v="1.0650118203309693"/>
  </r>
  <r>
    <x v="3"/>
    <n v="336949"/>
    <x v="1"/>
    <x v="7"/>
    <x v="2"/>
    <n v="724"/>
    <n v="0.80355160932297442"/>
  </r>
  <r>
    <x v="3"/>
    <n v="461669"/>
    <x v="1"/>
    <x v="7"/>
    <x v="3"/>
    <n v="1225"/>
    <n v="1.6919889502762431"/>
  </r>
  <r>
    <x v="3"/>
    <n v="270766"/>
    <x v="1"/>
    <x v="8"/>
    <x v="0"/>
    <n v="-203"/>
    <n v="-0.1657142857142857"/>
  </r>
  <r>
    <x v="3"/>
    <n v="485280"/>
    <x v="1"/>
    <x v="8"/>
    <x v="1"/>
    <n v="1444"/>
    <n v="-7.1133004926108372"/>
  </r>
  <r>
    <x v="3"/>
    <n v="105980"/>
    <x v="1"/>
    <x v="8"/>
    <x v="2"/>
    <n v="1175"/>
    <n v="0.81371191135734067"/>
  </r>
  <r>
    <x v="3"/>
    <n v="464239"/>
    <x v="1"/>
    <x v="8"/>
    <x v="3"/>
    <n v="1016"/>
    <n v="0.86468085106382975"/>
  </r>
  <r>
    <x v="3"/>
    <n v="224534"/>
    <x v="1"/>
    <x v="9"/>
    <x v="0"/>
    <n v="315"/>
    <n v="0.31003937007874016"/>
  </r>
  <r>
    <x v="3"/>
    <n v="98397"/>
    <x v="1"/>
    <x v="9"/>
    <x v="1"/>
    <n v="1242"/>
    <n v="3.9428571428571431"/>
  </r>
  <r>
    <x v="3"/>
    <n v="17380"/>
    <x v="1"/>
    <x v="9"/>
    <x v="2"/>
    <n v="1385"/>
    <n v="1.1151368760064413"/>
  </r>
  <r>
    <x v="3"/>
    <n v="441931"/>
    <x v="1"/>
    <x v="9"/>
    <x v="3"/>
    <n v="389"/>
    <n v="0.28086642599277978"/>
  </r>
  <r>
    <x v="3"/>
    <n v="435726"/>
    <x v="1"/>
    <x v="9"/>
    <x v="4"/>
    <n v="1467"/>
    <n v="3.7712082262210798"/>
  </r>
  <r>
    <x v="3"/>
    <n v="290354"/>
    <x v="1"/>
    <x v="10"/>
    <x v="0"/>
    <n v="209"/>
    <n v="0.14246762099522836"/>
  </r>
  <r>
    <x v="3"/>
    <n v="369525"/>
    <x v="1"/>
    <x v="10"/>
    <x v="1"/>
    <n v="145"/>
    <n v="0.69377990430622005"/>
  </r>
  <r>
    <x v="3"/>
    <n v="270958"/>
    <x v="1"/>
    <x v="10"/>
    <x v="2"/>
    <n v="1633"/>
    <n v="11.262068965517241"/>
  </r>
  <r>
    <x v="3"/>
    <n v="11435"/>
    <x v="1"/>
    <x v="10"/>
    <x v="3"/>
    <n v="637"/>
    <n v="0.39007960808328229"/>
  </r>
  <r>
    <x v="3"/>
    <n v="148477"/>
    <x v="1"/>
    <x v="11"/>
    <x v="0"/>
    <n v="864"/>
    <n v="1.3563579277864992"/>
  </r>
  <r>
    <x v="3"/>
    <n v="82558"/>
    <x v="1"/>
    <x v="11"/>
    <x v="1"/>
    <n v="-337"/>
    <n v="-0.3900462962962962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x v="0"/>
    <d v="2024-06-01T00:00:00"/>
    <n v="1989"/>
    <n v="6"/>
    <n v="1"/>
    <x v="0"/>
    <n v="9566"/>
  </r>
  <r>
    <x v="0"/>
    <d v="2024-06-02T00:00:00"/>
    <n v="1989"/>
    <n v="6"/>
    <n v="1"/>
    <x v="0"/>
    <n v="9566"/>
  </r>
  <r>
    <x v="0"/>
    <d v="2024-06-11T00:00:00"/>
    <n v="4936"/>
    <n v="6"/>
    <n v="2"/>
    <x v="0"/>
    <n v="7924"/>
  </r>
  <r>
    <x v="0"/>
    <d v="2024-06-11T00:00:00"/>
    <n v="4936"/>
    <n v="6"/>
    <n v="2"/>
    <x v="0"/>
    <n v="7924"/>
  </r>
  <r>
    <x v="0"/>
    <d v="2024-06-13T00:00:00"/>
    <n v="2949"/>
    <n v="6"/>
    <n v="2"/>
    <x v="0"/>
    <n v="7924"/>
  </r>
  <r>
    <x v="0"/>
    <d v="2024-06-17T00:00:00"/>
    <n v="2905"/>
    <n v="6"/>
    <n v="3"/>
    <x v="0"/>
    <n v="46670"/>
  </r>
  <r>
    <x v="0"/>
    <d v="2024-06-19T00:00:00"/>
    <n v="4668"/>
    <n v="6"/>
    <n v="3"/>
    <x v="0"/>
    <n v="46670"/>
  </r>
  <r>
    <x v="0"/>
    <d v="2024-06-20T00:00:00"/>
    <n v="4668"/>
    <n v="6"/>
    <n v="3"/>
    <x v="0"/>
    <n v="46670"/>
  </r>
  <r>
    <x v="0"/>
    <d v="2024-06-22T00:00:00"/>
    <n v="4230"/>
    <n v="6"/>
    <n v="4"/>
    <x v="0"/>
    <n v="30635"/>
  </r>
  <r>
    <x v="0"/>
    <d v="2024-06-22T00:00:00"/>
    <n v="4340"/>
    <n v="6"/>
    <n v="4"/>
    <x v="0"/>
    <n v="30635"/>
  </r>
  <r>
    <x v="0"/>
    <d v="2024-07-07T00:00:00"/>
    <n v="4469"/>
    <n v="7"/>
    <n v="1"/>
    <x v="0"/>
    <n v="42307"/>
  </r>
  <r>
    <x v="0"/>
    <d v="2024-07-07T00:00:00"/>
    <n v="4996"/>
    <n v="7"/>
    <n v="1"/>
    <x v="0"/>
    <n v="42307"/>
  </r>
  <r>
    <x v="0"/>
    <d v="2024-07-15T00:00:00"/>
    <n v="5190"/>
    <n v="7"/>
    <n v="3"/>
    <x v="0"/>
    <n v="43420"/>
  </r>
  <r>
    <x v="0"/>
    <d v="2024-07-15T00:00:00"/>
    <n v="2903"/>
    <n v="7"/>
    <n v="3"/>
    <x v="0"/>
    <n v="43420"/>
  </r>
  <r>
    <x v="0"/>
    <d v="2024-07-15T00:00:00"/>
    <n v="3009"/>
    <n v="7"/>
    <n v="3"/>
    <x v="0"/>
    <n v="43420"/>
  </r>
  <r>
    <x v="0"/>
    <d v="2024-07-15T00:00:00"/>
    <n v="1688"/>
    <n v="7"/>
    <n v="3"/>
    <x v="0"/>
    <n v="43420"/>
  </r>
  <r>
    <x v="0"/>
    <d v="2024-07-21T00:00:00"/>
    <n v="4928"/>
    <n v="7"/>
    <n v="3"/>
    <x v="0"/>
    <n v="43420"/>
  </r>
  <r>
    <x v="0"/>
    <d v="2024-07-31T00:00:00"/>
    <n v="4620"/>
    <n v="7"/>
    <n v="5"/>
    <x v="0"/>
    <n v="4839"/>
  </r>
  <r>
    <x v="0"/>
    <d v="2024-07-31T00:00:00"/>
    <n v="4189"/>
    <n v="7"/>
    <n v="5"/>
    <x v="0"/>
    <n v="4839"/>
  </r>
  <r>
    <x v="0"/>
    <d v="2024-08-05T00:00:00"/>
    <n v="5022"/>
    <n v="8"/>
    <n v="1"/>
    <x v="0"/>
    <n v="26455"/>
  </r>
  <r>
    <x v="0"/>
    <d v="2024-08-14T00:00:00"/>
    <n v="3707"/>
    <n v="8"/>
    <n v="2"/>
    <x v="0"/>
    <n v="37903"/>
  </r>
  <r>
    <x v="0"/>
    <d v="2024-08-17T00:00:00"/>
    <n v="1612"/>
    <n v="8"/>
    <n v="3"/>
    <x v="0"/>
    <n v="14203"/>
  </r>
  <r>
    <x v="0"/>
    <d v="2024-08-19T00:00:00"/>
    <n v="4915"/>
    <n v="8"/>
    <n v="3"/>
    <x v="0"/>
    <n v="14203"/>
  </r>
  <r>
    <x v="0"/>
    <d v="2024-08-19T00:00:00"/>
    <n v="5606"/>
    <n v="8"/>
    <n v="3"/>
    <x v="0"/>
    <n v="14203"/>
  </r>
  <r>
    <x v="0"/>
    <d v="2024-08-19T00:00:00"/>
    <n v="2017"/>
    <n v="8"/>
    <n v="3"/>
    <x v="0"/>
    <n v="14203"/>
  </r>
  <r>
    <x v="0"/>
    <d v="2024-08-21T00:00:00"/>
    <n v="2469"/>
    <n v="8"/>
    <n v="3"/>
    <x v="0"/>
    <n v="14203"/>
  </r>
  <r>
    <x v="0"/>
    <d v="2024-08-24T00:00:00"/>
    <n v="2469"/>
    <n v="8"/>
    <n v="4"/>
    <x v="0"/>
    <n v="26925"/>
  </r>
  <r>
    <x v="0"/>
    <d v="2024-08-26T00:00:00"/>
    <n v="4853"/>
    <n v="8"/>
    <n v="4"/>
    <x v="0"/>
    <n v="26925"/>
  </r>
  <r>
    <x v="0"/>
    <d v="2024-08-26T00:00:00"/>
    <n v="3536"/>
    <n v="8"/>
    <n v="4"/>
    <x v="0"/>
    <n v="26925"/>
  </r>
  <r>
    <x v="0"/>
    <d v="2024-08-27T00:00:00"/>
    <n v="3780"/>
    <n v="8"/>
    <n v="4"/>
    <x v="0"/>
    <n v="26925"/>
  </r>
  <r>
    <x v="0"/>
    <d v="2024-08-27T00:00:00"/>
    <n v="2375"/>
    <n v="8"/>
    <n v="4"/>
    <x v="0"/>
    <n v="26925"/>
  </r>
  <r>
    <x v="0"/>
    <d v="2024-08-27T00:00:00"/>
    <n v="1179"/>
    <n v="8"/>
    <n v="4"/>
    <x v="0"/>
    <n v="26925"/>
  </r>
  <r>
    <x v="0"/>
    <d v="2024-08-30T00:00:00"/>
    <n v="2721"/>
    <n v="8"/>
    <n v="5"/>
    <x v="0"/>
    <n v="0"/>
  </r>
  <r>
    <x v="0"/>
    <d v="2024-10-08T00:00:00"/>
    <n v="3212"/>
    <n v="10"/>
    <n v="2"/>
    <x v="0"/>
    <n v="7285"/>
  </r>
  <r>
    <x v="0"/>
    <d v="2024-10-08T00:00:00"/>
    <n v="866"/>
    <n v="10"/>
    <n v="2"/>
    <x v="0"/>
    <n v="7285"/>
  </r>
  <r>
    <x v="0"/>
    <d v="2024-10-11T00:00:00"/>
    <n v="2609"/>
    <n v="10"/>
    <n v="2"/>
    <x v="0"/>
    <n v="7285"/>
  </r>
  <r>
    <x v="0"/>
    <d v="2024-10-18T00:00:00"/>
    <n v="2158"/>
    <n v="10"/>
    <n v="3"/>
    <x v="0"/>
    <n v="42824"/>
  </r>
  <r>
    <x v="0"/>
    <d v="2024-10-21T00:00:00"/>
    <n v="2098"/>
    <n v="10"/>
    <n v="3"/>
    <x v="0"/>
    <n v="42824"/>
  </r>
  <r>
    <x v="0"/>
    <d v="2024-10-22T00:00:00"/>
    <n v="4030"/>
    <n v="10"/>
    <n v="4"/>
    <x v="0"/>
    <n v="30214"/>
  </r>
  <r>
    <x v="0"/>
    <d v="2024-10-24T00:00:00"/>
    <n v="5186"/>
    <n v="10"/>
    <n v="4"/>
    <x v="0"/>
    <n v="30214"/>
  </r>
  <r>
    <x v="0"/>
    <d v="2024-10-24T00:00:00"/>
    <n v="4299"/>
    <n v="10"/>
    <n v="4"/>
    <x v="0"/>
    <n v="30214"/>
  </r>
  <r>
    <x v="0"/>
    <d v="2024-10-31T00:00:00"/>
    <n v="3552"/>
    <n v="10"/>
    <n v="5"/>
    <x v="0"/>
    <n v="0"/>
  </r>
  <r>
    <x v="0"/>
    <d v="2024-11-01T00:00:00"/>
    <n v="4370"/>
    <n v="11"/>
    <n v="1"/>
    <x v="0"/>
    <n v="4996"/>
  </r>
  <r>
    <x v="0"/>
    <d v="2024-11-04T00:00:00"/>
    <n v="5316"/>
    <n v="11"/>
    <n v="1"/>
    <x v="0"/>
    <n v="4996"/>
  </r>
  <r>
    <x v="0"/>
    <d v="2024-11-06T00:00:00"/>
    <n v="1513"/>
    <n v="11"/>
    <n v="1"/>
    <x v="0"/>
    <n v="4996"/>
  </r>
  <r>
    <x v="0"/>
    <d v="2024-11-06T00:00:00"/>
    <n v="2696"/>
    <n v="11"/>
    <n v="1"/>
    <x v="0"/>
    <n v="4996"/>
  </r>
  <r>
    <x v="0"/>
    <d v="2024-11-06T00:00:00"/>
    <n v="2847"/>
    <n v="11"/>
    <n v="1"/>
    <x v="0"/>
    <n v="4996"/>
  </r>
  <r>
    <x v="0"/>
    <d v="2024-11-12T00:00:00"/>
    <n v="3486"/>
    <n v="11"/>
    <n v="2"/>
    <x v="0"/>
    <n v="38452"/>
  </r>
  <r>
    <x v="0"/>
    <d v="2024-11-17T00:00:00"/>
    <n v="3804"/>
    <n v="11"/>
    <n v="3"/>
    <x v="0"/>
    <n v="39997"/>
  </r>
  <r>
    <x v="0"/>
    <d v="2024-11-17T00:00:00"/>
    <n v="1497"/>
    <n v="11"/>
    <n v="3"/>
    <x v="0"/>
    <n v="39997"/>
  </r>
  <r>
    <x v="0"/>
    <d v="2024-11-25T00:00:00"/>
    <n v="3609"/>
    <n v="11"/>
    <n v="4"/>
    <x v="0"/>
    <n v="28498"/>
  </r>
  <r>
    <x v="0"/>
    <d v="2024-11-25T00:00:00"/>
    <n v="2723"/>
    <n v="11"/>
    <n v="4"/>
    <x v="0"/>
    <n v="28498"/>
  </r>
  <r>
    <x v="0"/>
    <d v="2024-11-25T00:00:00"/>
    <n v="2987"/>
    <n v="11"/>
    <n v="4"/>
    <x v="0"/>
    <n v="28498"/>
  </r>
  <r>
    <x v="0"/>
    <d v="2024-11-28T00:00:00"/>
    <n v="2974"/>
    <n v="11"/>
    <n v="4"/>
    <x v="0"/>
    <n v="28498"/>
  </r>
  <r>
    <x v="0"/>
    <d v="2024-11-28T00:00:00"/>
    <n v="2943"/>
    <n v="11"/>
    <n v="4"/>
    <x v="0"/>
    <n v="28498"/>
  </r>
  <r>
    <x v="0"/>
    <d v="2024-12-03T00:00:00"/>
    <n v="1635"/>
    <n v="12"/>
    <n v="1"/>
    <x v="0"/>
    <n v="26103"/>
  </r>
  <r>
    <x v="0"/>
    <d v="2024-12-09T00:00:00"/>
    <n v="1486"/>
    <n v="12"/>
    <n v="2"/>
    <x v="0"/>
    <n v="18601"/>
  </r>
  <r>
    <x v="0"/>
    <d v="2024-12-18T00:00:00"/>
    <n v="1486"/>
    <n v="12"/>
    <n v="3"/>
    <x v="0"/>
    <n v="18656"/>
  </r>
  <r>
    <x v="0"/>
    <d v="2024-12-22T00:00:00"/>
    <n v="3062"/>
    <n v="12"/>
    <n v="4"/>
    <x v="0"/>
    <n v="47502"/>
  </r>
  <r>
    <x v="0"/>
    <d v="2025-01-03T00:00:00"/>
    <n v="1352"/>
    <n v="1"/>
    <n v="1"/>
    <x v="1"/>
    <n v="17951"/>
  </r>
  <r>
    <x v="0"/>
    <d v="2025-01-06T00:00:00"/>
    <n v="3811"/>
    <n v="1"/>
    <n v="1"/>
    <x v="1"/>
    <n v="17951"/>
  </r>
  <r>
    <x v="0"/>
    <d v="2025-01-12T00:00:00"/>
    <n v="3655"/>
    <n v="1"/>
    <n v="2"/>
    <x v="1"/>
    <n v="45708"/>
  </r>
  <r>
    <x v="0"/>
    <d v="2025-01-18T00:00:00"/>
    <n v="892"/>
    <n v="1"/>
    <n v="3"/>
    <x v="1"/>
    <n v="23853"/>
  </r>
  <r>
    <x v="0"/>
    <d v="2025-01-23T00:00:00"/>
    <n v="2830"/>
    <n v="1"/>
    <n v="4"/>
    <x v="1"/>
    <n v="20560"/>
  </r>
  <r>
    <x v="0"/>
    <d v="2025-01-27T00:00:00"/>
    <n v="1940"/>
    <n v="1"/>
    <n v="4"/>
    <x v="1"/>
    <n v="20560"/>
  </r>
  <r>
    <x v="0"/>
    <d v="2025-02-02T00:00:00"/>
    <n v="1940"/>
    <n v="2"/>
    <n v="1"/>
    <x v="1"/>
    <n v="40323"/>
  </r>
  <r>
    <x v="0"/>
    <d v="2025-02-06T00:00:00"/>
    <n v="1940"/>
    <n v="2"/>
    <n v="1"/>
    <x v="1"/>
    <n v="40323"/>
  </r>
  <r>
    <x v="0"/>
    <d v="2025-02-10T00:00:00"/>
    <n v="6278"/>
    <n v="2"/>
    <n v="2"/>
    <x v="1"/>
    <n v="23489"/>
  </r>
  <r>
    <x v="0"/>
    <d v="2025-02-16T00:00:00"/>
    <n v="513"/>
    <n v="2"/>
    <n v="3"/>
    <x v="1"/>
    <n v="31853"/>
  </r>
  <r>
    <x v="0"/>
    <d v="2025-02-27T00:00:00"/>
    <n v="4737"/>
    <n v="2"/>
    <n v="4"/>
    <x v="1"/>
    <n v="22713"/>
  </r>
  <r>
    <x v="0"/>
    <d v="2025-03-04T00:00:00"/>
    <n v="3542"/>
    <n v="3"/>
    <n v="1"/>
    <x v="1"/>
    <n v="20553"/>
  </r>
  <r>
    <x v="0"/>
    <d v="2025-03-08T00:00:00"/>
    <n v="2481"/>
    <n v="3"/>
    <n v="2"/>
    <x v="1"/>
    <n v="21539"/>
  </r>
  <r>
    <x v="0"/>
    <d v="2025-03-11T00:00:00"/>
    <n v="883"/>
    <n v="3"/>
    <n v="2"/>
    <x v="1"/>
    <n v="21539"/>
  </r>
  <r>
    <x v="0"/>
    <d v="2025-03-23T00:00:00"/>
    <n v="5407"/>
    <n v="3"/>
    <n v="4"/>
    <x v="1"/>
    <n v="21453"/>
  </r>
  <r>
    <x v="0"/>
    <d v="2025-03-24T00:00:00"/>
    <n v="3024"/>
    <n v="3"/>
    <n v="4"/>
    <x v="1"/>
    <n v="21453"/>
  </r>
  <r>
    <x v="0"/>
    <d v="2025-03-24T00:00:00"/>
    <n v="2414"/>
    <n v="3"/>
    <n v="4"/>
    <x v="1"/>
    <n v="21453"/>
  </r>
  <r>
    <x v="0"/>
    <d v="2025-03-26T00:00:00"/>
    <n v="1371"/>
    <n v="3"/>
    <n v="4"/>
    <x v="1"/>
    <n v="21453"/>
  </r>
  <r>
    <x v="0"/>
    <d v="2025-03-29T00:00:00"/>
    <n v="3671"/>
    <n v="3"/>
    <n v="5"/>
    <x v="1"/>
    <n v="23461"/>
  </r>
  <r>
    <x v="0"/>
    <d v="2025-04-01T00:00:00"/>
    <n v="497"/>
    <n v="4"/>
    <n v="1"/>
    <x v="1"/>
    <n v="47603"/>
  </r>
  <r>
    <x v="0"/>
    <d v="2025-04-02T00:00:00"/>
    <n v="5038"/>
    <n v="4"/>
    <n v="1"/>
    <x v="1"/>
    <n v="47603"/>
  </r>
  <r>
    <x v="0"/>
    <d v="2025-04-03T00:00:00"/>
    <n v="2229"/>
    <n v="4"/>
    <n v="1"/>
    <x v="1"/>
    <n v="47603"/>
  </r>
  <r>
    <x v="0"/>
    <d v="2025-04-06T00:00:00"/>
    <n v="2640"/>
    <n v="4"/>
    <n v="1"/>
    <x v="1"/>
    <n v="47603"/>
  </r>
  <r>
    <x v="0"/>
    <d v="2025-04-06T00:00:00"/>
    <n v="1274"/>
    <n v="4"/>
    <n v="1"/>
    <x v="1"/>
    <n v="47603"/>
  </r>
  <r>
    <x v="0"/>
    <d v="2025-04-06T00:00:00"/>
    <n v="1785"/>
    <n v="4"/>
    <n v="1"/>
    <x v="1"/>
    <n v="47603"/>
  </r>
  <r>
    <x v="0"/>
    <d v="2025-04-06T00:00:00"/>
    <n v="1566"/>
    <n v="4"/>
    <n v="1"/>
    <x v="1"/>
    <n v="47603"/>
  </r>
  <r>
    <x v="0"/>
    <d v="2025-04-07T00:00:00"/>
    <n v="3534"/>
    <n v="4"/>
    <n v="1"/>
    <x v="1"/>
    <n v="47603"/>
  </r>
  <r>
    <x v="0"/>
    <d v="2025-04-22T00:00:00"/>
    <n v="3098"/>
    <n v="4"/>
    <n v="4"/>
    <x v="1"/>
    <n v="3582"/>
  </r>
  <r>
    <x v="0"/>
    <d v="2025-04-28T00:00:00"/>
    <n v="1886"/>
    <n v="4"/>
    <n v="4"/>
    <x v="1"/>
    <n v="3582"/>
  </r>
  <r>
    <x v="0"/>
    <d v="2025-05-01T00:00:00"/>
    <n v="1241"/>
    <n v="5"/>
    <n v="1"/>
    <x v="1"/>
    <n v="48419"/>
  </r>
  <r>
    <x v="0"/>
    <d v="2025-05-05T00:00:00"/>
    <n v="1241"/>
    <n v="5"/>
    <n v="1"/>
    <x v="1"/>
    <n v="48419"/>
  </r>
  <r>
    <x v="0"/>
    <d v="2025-05-06T00:00:00"/>
    <n v="1241"/>
    <n v="5"/>
    <n v="1"/>
    <x v="1"/>
    <n v="48419"/>
  </r>
  <r>
    <x v="0"/>
    <d v="2025-05-13T00:00:00"/>
    <n v="1587"/>
    <n v="5"/>
    <n v="2"/>
    <x v="1"/>
    <n v="49400"/>
  </r>
  <r>
    <x v="0"/>
    <d v="2025-05-14T00:00:00"/>
    <n v="3034"/>
    <n v="5"/>
    <n v="2"/>
    <x v="1"/>
    <n v="49400"/>
  </r>
  <r>
    <x v="1"/>
    <d v="2024-06-02T00:00:00"/>
    <n v="4801"/>
    <n v="6"/>
    <n v="1"/>
    <x v="0"/>
    <n v="5904"/>
  </r>
  <r>
    <x v="1"/>
    <d v="2024-06-03T00:00:00"/>
    <n v="3818"/>
    <n v="6"/>
    <n v="1"/>
    <x v="0"/>
    <n v="5904"/>
  </r>
  <r>
    <x v="1"/>
    <d v="2024-06-12T00:00:00"/>
    <n v="3818"/>
    <n v="6"/>
    <n v="2"/>
    <x v="0"/>
    <n v="9920"/>
  </r>
  <r>
    <x v="1"/>
    <d v="2024-06-13T00:00:00"/>
    <n v="2697"/>
    <n v="6"/>
    <n v="2"/>
    <x v="0"/>
    <n v="9920"/>
  </r>
  <r>
    <x v="1"/>
    <d v="2024-06-14T00:00:00"/>
    <n v="779"/>
    <n v="6"/>
    <n v="2"/>
    <x v="0"/>
    <n v="9920"/>
  </r>
  <r>
    <x v="1"/>
    <d v="2024-06-14T00:00:00"/>
    <n v="2615"/>
    <n v="6"/>
    <n v="2"/>
    <x v="0"/>
    <n v="9920"/>
  </r>
  <r>
    <x v="1"/>
    <d v="2024-06-22T00:00:00"/>
    <n v="4922"/>
    <n v="6"/>
    <n v="4"/>
    <x v="0"/>
    <n v="18050"/>
  </r>
  <r>
    <x v="1"/>
    <d v="2024-06-23T00:00:00"/>
    <n v="2017"/>
    <n v="6"/>
    <n v="4"/>
    <x v="0"/>
    <n v="18050"/>
  </r>
  <r>
    <x v="1"/>
    <d v="2024-07-01T00:00:00"/>
    <n v="5169"/>
    <n v="7"/>
    <n v="1"/>
    <x v="0"/>
    <n v="9566"/>
  </r>
  <r>
    <x v="1"/>
    <d v="2024-07-03T00:00:00"/>
    <n v="2408"/>
    <n v="7"/>
    <n v="1"/>
    <x v="0"/>
    <n v="9566"/>
  </r>
  <r>
    <x v="1"/>
    <d v="2024-07-10T00:00:00"/>
    <n v="3121"/>
    <n v="7"/>
    <n v="2"/>
    <x v="0"/>
    <n v="22728"/>
  </r>
  <r>
    <x v="1"/>
    <d v="2024-07-11T00:00:00"/>
    <n v="3901"/>
    <n v="7"/>
    <n v="2"/>
    <x v="0"/>
    <n v="22728"/>
  </r>
  <r>
    <x v="1"/>
    <d v="2024-07-24T00:00:00"/>
    <n v="2048"/>
    <n v="7"/>
    <n v="4"/>
    <x v="0"/>
    <n v="17328"/>
  </r>
  <r>
    <x v="1"/>
    <d v="2024-07-24T00:00:00"/>
    <n v="5401"/>
    <n v="7"/>
    <n v="4"/>
    <x v="0"/>
    <n v="17328"/>
  </r>
  <r>
    <x v="1"/>
    <d v="2024-07-24T00:00:00"/>
    <n v="5401"/>
    <n v="7"/>
    <n v="4"/>
    <x v="0"/>
    <n v="17328"/>
  </r>
  <r>
    <x v="1"/>
    <d v="2024-07-26T00:00:00"/>
    <n v="2832"/>
    <n v="7"/>
    <n v="4"/>
    <x v="0"/>
    <n v="17328"/>
  </r>
  <r>
    <x v="1"/>
    <d v="2024-07-29T00:00:00"/>
    <n v="4805"/>
    <n v="7"/>
    <n v="5"/>
    <x v="0"/>
    <n v="15353"/>
  </r>
  <r>
    <x v="1"/>
    <d v="2024-07-29T00:00:00"/>
    <n v="2282"/>
    <n v="7"/>
    <n v="5"/>
    <x v="0"/>
    <n v="15353"/>
  </r>
  <r>
    <x v="1"/>
    <d v="2024-08-01T00:00:00"/>
    <n v="5576"/>
    <n v="8"/>
    <n v="1"/>
    <x v="0"/>
    <n v="49303"/>
  </r>
  <r>
    <x v="1"/>
    <d v="2024-08-05T00:00:00"/>
    <n v="2140"/>
    <n v="8"/>
    <n v="1"/>
    <x v="0"/>
    <n v="49303"/>
  </r>
  <r>
    <x v="1"/>
    <d v="2024-08-07T00:00:00"/>
    <n v="4043"/>
    <n v="8"/>
    <n v="1"/>
    <x v="0"/>
    <n v="49303"/>
  </r>
  <r>
    <x v="1"/>
    <d v="2024-08-11T00:00:00"/>
    <n v="4509"/>
    <n v="8"/>
    <n v="2"/>
    <x v="0"/>
    <n v="47101"/>
  </r>
  <r>
    <x v="1"/>
    <d v="2024-08-12T00:00:00"/>
    <n v="578"/>
    <n v="8"/>
    <n v="2"/>
    <x v="0"/>
    <n v="47101"/>
  </r>
  <r>
    <x v="1"/>
    <d v="2024-08-12T00:00:00"/>
    <n v="5939"/>
    <n v="8"/>
    <n v="2"/>
    <x v="0"/>
    <n v="47101"/>
  </r>
  <r>
    <x v="1"/>
    <d v="2024-08-13T00:00:00"/>
    <n v="5735"/>
    <n v="8"/>
    <n v="2"/>
    <x v="0"/>
    <n v="47101"/>
  </r>
  <r>
    <x v="1"/>
    <d v="2024-08-13T00:00:00"/>
    <n v="5268"/>
    <n v="8"/>
    <n v="2"/>
    <x v="0"/>
    <n v="47101"/>
  </r>
  <r>
    <x v="1"/>
    <d v="2024-08-15T00:00:00"/>
    <n v="4277"/>
    <n v="8"/>
    <n v="3"/>
    <x v="0"/>
    <n v="35501"/>
  </r>
  <r>
    <x v="1"/>
    <d v="2024-08-15T00:00:00"/>
    <n v="4758"/>
    <n v="8"/>
    <n v="3"/>
    <x v="0"/>
    <n v="35501"/>
  </r>
  <r>
    <x v="1"/>
    <d v="2024-08-15T00:00:00"/>
    <n v="3021"/>
    <n v="8"/>
    <n v="3"/>
    <x v="0"/>
    <n v="35501"/>
  </r>
  <r>
    <x v="1"/>
    <d v="2024-08-15T00:00:00"/>
    <n v="3072"/>
    <n v="8"/>
    <n v="3"/>
    <x v="0"/>
    <n v="35501"/>
  </r>
  <r>
    <x v="1"/>
    <d v="2024-08-19T00:00:00"/>
    <n v="5024"/>
    <n v="8"/>
    <n v="3"/>
    <x v="0"/>
    <n v="35501"/>
  </r>
  <r>
    <x v="1"/>
    <d v="2024-08-20T00:00:00"/>
    <n v="5177"/>
    <n v="8"/>
    <n v="3"/>
    <x v="0"/>
    <n v="35501"/>
  </r>
  <r>
    <x v="1"/>
    <d v="2024-09-09T00:00:00"/>
    <n v="2634"/>
    <n v="9"/>
    <n v="2"/>
    <x v="0"/>
    <n v="26663"/>
  </r>
  <r>
    <x v="1"/>
    <d v="2024-10-02T00:00:00"/>
    <n v="2634"/>
    <n v="10"/>
    <n v="1"/>
    <x v="0"/>
    <n v="41215"/>
  </r>
  <r>
    <x v="1"/>
    <d v="2024-10-03T00:00:00"/>
    <n v="4348"/>
    <n v="10"/>
    <n v="1"/>
    <x v="0"/>
    <n v="41215"/>
  </r>
  <r>
    <x v="1"/>
    <d v="2024-10-09T00:00:00"/>
    <n v="2462"/>
    <n v="10"/>
    <n v="2"/>
    <x v="0"/>
    <n v="36397"/>
  </r>
  <r>
    <x v="1"/>
    <d v="2024-10-09T00:00:00"/>
    <n v="5472"/>
    <n v="10"/>
    <n v="2"/>
    <x v="0"/>
    <n v="36397"/>
  </r>
  <r>
    <x v="1"/>
    <d v="2024-10-17T00:00:00"/>
    <n v="3123"/>
    <n v="10"/>
    <n v="3"/>
    <x v="0"/>
    <n v="32478"/>
  </r>
  <r>
    <x v="1"/>
    <d v="2024-10-19T00:00:00"/>
    <n v="2009"/>
    <n v="10"/>
    <n v="3"/>
    <x v="0"/>
    <n v="32478"/>
  </r>
  <r>
    <x v="1"/>
    <d v="2024-10-21T00:00:00"/>
    <n v="1611"/>
    <n v="10"/>
    <n v="3"/>
    <x v="0"/>
    <n v="32478"/>
  </r>
  <r>
    <x v="1"/>
    <d v="2024-10-21T00:00:00"/>
    <n v="4424"/>
    <n v="10"/>
    <n v="3"/>
    <x v="0"/>
    <n v="32478"/>
  </r>
  <r>
    <x v="1"/>
    <d v="2024-10-22T00:00:00"/>
    <n v="5152"/>
    <n v="10"/>
    <n v="4"/>
    <x v="0"/>
    <n v="13116"/>
  </r>
  <r>
    <x v="1"/>
    <d v="2024-10-27T00:00:00"/>
    <n v="1732"/>
    <n v="10"/>
    <n v="4"/>
    <x v="0"/>
    <n v="13116"/>
  </r>
  <r>
    <x v="1"/>
    <d v="2024-11-05T00:00:00"/>
    <n v="4893"/>
    <n v="11"/>
    <n v="1"/>
    <x v="0"/>
    <n v="36484"/>
  </r>
  <r>
    <x v="1"/>
    <d v="2024-11-07T00:00:00"/>
    <n v="4566"/>
    <n v="11"/>
    <n v="1"/>
    <x v="0"/>
    <n v="36484"/>
  </r>
  <r>
    <x v="1"/>
    <d v="2024-11-07T00:00:00"/>
    <n v="4546"/>
    <n v="11"/>
    <n v="1"/>
    <x v="0"/>
    <n v="36484"/>
  </r>
  <r>
    <x v="1"/>
    <d v="2024-11-08T00:00:00"/>
    <n v="3489"/>
    <n v="11"/>
    <n v="2"/>
    <x v="0"/>
    <n v="47812"/>
  </r>
  <r>
    <x v="1"/>
    <d v="2024-11-21T00:00:00"/>
    <n v="2970"/>
    <n v="11"/>
    <n v="3"/>
    <x v="0"/>
    <n v="29533"/>
  </r>
  <r>
    <x v="1"/>
    <d v="2024-11-28T00:00:00"/>
    <n v="3419"/>
    <n v="11"/>
    <n v="4"/>
    <x v="0"/>
    <n v="1810"/>
  </r>
  <r>
    <x v="1"/>
    <d v="2024-11-29T00:00:00"/>
    <n v="5709"/>
    <n v="11"/>
    <n v="5"/>
    <x v="0"/>
    <n v="0"/>
  </r>
  <r>
    <x v="1"/>
    <d v="2024-11-30T00:00:00"/>
    <n v="2890"/>
    <n v="11"/>
    <n v="5"/>
    <x v="0"/>
    <n v="0"/>
  </r>
  <r>
    <x v="1"/>
    <d v="2024-12-08T00:00:00"/>
    <n v="2675"/>
    <n v="12"/>
    <n v="2"/>
    <x v="0"/>
    <n v="22724"/>
  </r>
  <r>
    <x v="1"/>
    <d v="2024-12-11T00:00:00"/>
    <n v="3981"/>
    <n v="12"/>
    <n v="2"/>
    <x v="0"/>
    <n v="22724"/>
  </r>
  <r>
    <x v="1"/>
    <d v="2024-12-14T00:00:00"/>
    <n v="4900"/>
    <n v="12"/>
    <n v="2"/>
    <x v="0"/>
    <n v="22724"/>
  </r>
  <r>
    <x v="1"/>
    <d v="2024-12-16T00:00:00"/>
    <n v="4466"/>
    <n v="12"/>
    <n v="3"/>
    <x v="0"/>
    <n v="20692"/>
  </r>
  <r>
    <x v="1"/>
    <d v="2024-12-17T00:00:00"/>
    <n v="3139"/>
    <n v="12"/>
    <n v="3"/>
    <x v="0"/>
    <n v="20692"/>
  </r>
  <r>
    <x v="1"/>
    <d v="2024-12-19T00:00:00"/>
    <n v="735"/>
    <n v="12"/>
    <n v="3"/>
    <x v="0"/>
    <n v="20692"/>
  </r>
  <r>
    <x v="1"/>
    <d v="2024-12-20T00:00:00"/>
    <n v="3105"/>
    <n v="12"/>
    <n v="3"/>
    <x v="0"/>
    <n v="20692"/>
  </r>
  <r>
    <x v="1"/>
    <d v="2024-12-23T00:00:00"/>
    <n v="2854"/>
    <n v="12"/>
    <n v="4"/>
    <x v="0"/>
    <n v="4683"/>
  </r>
  <r>
    <x v="1"/>
    <d v="2025-01-01T00:00:00"/>
    <n v="2854"/>
    <n v="1"/>
    <n v="1"/>
    <x v="1"/>
    <n v="37132"/>
  </r>
  <r>
    <x v="1"/>
    <d v="2025-01-04T00:00:00"/>
    <n v="4406"/>
    <n v="1"/>
    <n v="1"/>
    <x v="1"/>
    <n v="37132"/>
  </r>
  <r>
    <x v="1"/>
    <d v="2025-01-11T00:00:00"/>
    <n v="2731"/>
    <n v="1"/>
    <n v="2"/>
    <x v="1"/>
    <n v="14548"/>
  </r>
  <r>
    <x v="1"/>
    <d v="2025-01-17T00:00:00"/>
    <n v="522"/>
    <n v="1"/>
    <n v="3"/>
    <x v="1"/>
    <n v="43122"/>
  </r>
  <r>
    <x v="1"/>
    <d v="2025-01-28T00:00:00"/>
    <n v="6130"/>
    <n v="1"/>
    <n v="4"/>
    <x v="1"/>
    <n v="25525"/>
  </r>
  <r>
    <x v="1"/>
    <d v="2025-01-28T00:00:00"/>
    <n v="2119"/>
    <n v="1"/>
    <n v="4"/>
    <x v="1"/>
    <n v="25525"/>
  </r>
  <r>
    <x v="1"/>
    <d v="2025-01-28T00:00:00"/>
    <n v="3979"/>
    <n v="1"/>
    <n v="4"/>
    <x v="1"/>
    <n v="25525"/>
  </r>
  <r>
    <x v="1"/>
    <d v="2025-01-31T00:00:00"/>
    <n v="3979"/>
    <n v="1"/>
    <n v="5"/>
    <x v="1"/>
    <n v="0"/>
  </r>
  <r>
    <x v="1"/>
    <d v="2025-02-02T00:00:00"/>
    <n v="3981"/>
    <n v="2"/>
    <n v="1"/>
    <x v="1"/>
    <n v="10825"/>
  </r>
  <r>
    <x v="1"/>
    <d v="2025-02-04T00:00:00"/>
    <n v="4926"/>
    <n v="2"/>
    <n v="1"/>
    <x v="1"/>
    <n v="10825"/>
  </r>
  <r>
    <x v="1"/>
    <d v="2025-02-07T00:00:00"/>
    <n v="2631"/>
    <n v="2"/>
    <n v="1"/>
    <x v="1"/>
    <n v="10825"/>
  </r>
  <r>
    <x v="1"/>
    <d v="2025-02-12T00:00:00"/>
    <n v="5473"/>
    <n v="2"/>
    <n v="2"/>
    <x v="1"/>
    <n v="3314"/>
  </r>
  <r>
    <x v="1"/>
    <d v="2025-02-12T00:00:00"/>
    <n v="3907"/>
    <n v="2"/>
    <n v="2"/>
    <x v="1"/>
    <n v="3314"/>
  </r>
  <r>
    <x v="1"/>
    <d v="2025-02-12T00:00:00"/>
    <n v="5624"/>
    <n v="2"/>
    <n v="2"/>
    <x v="1"/>
    <n v="3314"/>
  </r>
  <r>
    <x v="1"/>
    <d v="2025-02-25T00:00:00"/>
    <n v="1208"/>
    <n v="2"/>
    <n v="4"/>
    <x v="1"/>
    <n v="49772"/>
  </r>
  <r>
    <x v="1"/>
    <d v="2025-03-04T00:00:00"/>
    <n v="2204"/>
    <n v="3"/>
    <n v="1"/>
    <x v="1"/>
    <n v="33799"/>
  </r>
  <r>
    <x v="1"/>
    <d v="2025-03-04T00:00:00"/>
    <n v="2623"/>
    <n v="3"/>
    <n v="1"/>
    <x v="1"/>
    <n v="33799"/>
  </r>
  <r>
    <x v="1"/>
    <d v="2025-03-08T00:00:00"/>
    <n v="4775"/>
    <n v="3"/>
    <n v="2"/>
    <x v="1"/>
    <n v="6296"/>
  </r>
  <r>
    <x v="1"/>
    <d v="2025-03-27T00:00:00"/>
    <n v="5154"/>
    <n v="3"/>
    <n v="4"/>
    <x v="1"/>
    <n v="49077"/>
  </r>
  <r>
    <x v="1"/>
    <d v="2025-03-27T00:00:00"/>
    <n v="2590"/>
    <n v="3"/>
    <n v="4"/>
    <x v="1"/>
    <n v="49077"/>
  </r>
  <r>
    <x v="1"/>
    <d v="2025-03-28T00:00:00"/>
    <n v="2766"/>
    <n v="3"/>
    <n v="4"/>
    <x v="1"/>
    <n v="49077"/>
  </r>
  <r>
    <x v="1"/>
    <d v="2025-03-28T00:00:00"/>
    <n v="1775"/>
    <n v="3"/>
    <n v="4"/>
    <x v="1"/>
    <n v="49077"/>
  </r>
  <r>
    <x v="1"/>
    <d v="2025-04-08T00:00:00"/>
    <n v="5913"/>
    <n v="4"/>
    <n v="2"/>
    <x v="1"/>
    <n v="2293"/>
  </r>
  <r>
    <x v="1"/>
    <d v="2025-04-13T00:00:00"/>
    <n v="4160"/>
    <n v="4"/>
    <n v="2"/>
    <x v="1"/>
    <n v="2293"/>
  </r>
  <r>
    <x v="1"/>
    <d v="2025-04-15T00:00:00"/>
    <n v="5199"/>
    <n v="4"/>
    <n v="3"/>
    <x v="1"/>
    <n v="18693"/>
  </r>
  <r>
    <x v="1"/>
    <d v="2025-04-15T00:00:00"/>
    <n v="6061"/>
    <n v="4"/>
    <n v="3"/>
    <x v="1"/>
    <n v="18693"/>
  </r>
  <r>
    <x v="1"/>
    <d v="2025-04-19T00:00:00"/>
    <n v="6061"/>
    <n v="4"/>
    <n v="3"/>
    <x v="1"/>
    <n v="18693"/>
  </r>
  <r>
    <x v="1"/>
    <d v="2025-04-19T00:00:00"/>
    <n v="3493"/>
    <n v="4"/>
    <n v="3"/>
    <x v="1"/>
    <n v="18693"/>
  </r>
  <r>
    <x v="1"/>
    <d v="2025-05-01T00:00:00"/>
    <n v="1695"/>
    <n v="5"/>
    <n v="1"/>
    <x v="1"/>
    <n v="33381"/>
  </r>
  <r>
    <x v="2"/>
    <d v="2024-06-06T00:00:00"/>
    <n v="5645"/>
    <n v="6"/>
    <n v="1"/>
    <x v="0"/>
    <n v="26752"/>
  </r>
  <r>
    <x v="2"/>
    <d v="2024-06-07T00:00:00"/>
    <n v="3226"/>
    <n v="6"/>
    <n v="1"/>
    <x v="0"/>
    <n v="26752"/>
  </r>
  <r>
    <x v="2"/>
    <d v="2024-06-10T00:00:00"/>
    <n v="4282"/>
    <n v="6"/>
    <n v="2"/>
    <x v="0"/>
    <n v="8912"/>
  </r>
  <r>
    <x v="2"/>
    <d v="2024-06-10T00:00:00"/>
    <n v="4666"/>
    <n v="6"/>
    <n v="2"/>
    <x v="0"/>
    <n v="8912"/>
  </r>
  <r>
    <x v="2"/>
    <d v="2024-06-16T00:00:00"/>
    <n v="1797"/>
    <n v="6"/>
    <n v="3"/>
    <x v="0"/>
    <n v="22482"/>
  </r>
  <r>
    <x v="2"/>
    <d v="2024-06-17T00:00:00"/>
    <n v="3800"/>
    <n v="6"/>
    <n v="3"/>
    <x v="0"/>
    <n v="22482"/>
  </r>
  <r>
    <x v="2"/>
    <d v="2024-06-20T00:00:00"/>
    <n v="2290"/>
    <n v="6"/>
    <n v="3"/>
    <x v="0"/>
    <n v="22482"/>
  </r>
  <r>
    <x v="2"/>
    <d v="2024-06-24T00:00:00"/>
    <n v="4229"/>
    <n v="6"/>
    <n v="4"/>
    <x v="0"/>
    <n v="31280"/>
  </r>
  <r>
    <x v="2"/>
    <d v="2024-06-24T00:00:00"/>
    <n v="1109"/>
    <n v="6"/>
    <n v="4"/>
    <x v="0"/>
    <n v="31280"/>
  </r>
  <r>
    <x v="2"/>
    <d v="2024-07-16T00:00:00"/>
    <n v="4108"/>
    <n v="7"/>
    <n v="3"/>
    <x v="0"/>
    <n v="32393"/>
  </r>
  <r>
    <x v="2"/>
    <d v="2024-07-18T00:00:00"/>
    <n v="3964"/>
    <n v="7"/>
    <n v="3"/>
    <x v="0"/>
    <n v="32393"/>
  </r>
  <r>
    <x v="2"/>
    <d v="2024-07-18T00:00:00"/>
    <n v="908"/>
    <n v="7"/>
    <n v="3"/>
    <x v="0"/>
    <n v="32393"/>
  </r>
  <r>
    <x v="2"/>
    <d v="2024-07-21T00:00:00"/>
    <n v="4858"/>
    <n v="7"/>
    <n v="3"/>
    <x v="0"/>
    <n v="32393"/>
  </r>
  <r>
    <x v="2"/>
    <d v="2024-07-26T00:00:00"/>
    <n v="4353"/>
    <n v="7"/>
    <n v="4"/>
    <x v="0"/>
    <n v="32763"/>
  </r>
  <r>
    <x v="2"/>
    <d v="2024-07-28T00:00:00"/>
    <n v="1865"/>
    <n v="7"/>
    <n v="4"/>
    <x v="0"/>
    <n v="32763"/>
  </r>
  <r>
    <x v="2"/>
    <d v="2024-07-31T00:00:00"/>
    <n v="5226"/>
    <n v="7"/>
    <n v="5"/>
    <x v="0"/>
    <n v="39272"/>
  </r>
  <r>
    <x v="2"/>
    <d v="2024-07-31T00:00:00"/>
    <n v="1343"/>
    <n v="7"/>
    <n v="5"/>
    <x v="0"/>
    <n v="39272"/>
  </r>
  <r>
    <x v="2"/>
    <d v="2024-08-03T00:00:00"/>
    <n v="4377"/>
    <n v="8"/>
    <n v="1"/>
    <x v="0"/>
    <n v="12384"/>
  </r>
  <r>
    <x v="2"/>
    <d v="2024-08-08T00:00:00"/>
    <n v="4741"/>
    <n v="8"/>
    <n v="2"/>
    <x v="0"/>
    <n v="33258"/>
  </r>
  <r>
    <x v="2"/>
    <d v="2024-08-24T00:00:00"/>
    <n v="4735"/>
    <n v="8"/>
    <n v="4"/>
    <x v="0"/>
    <n v="9942"/>
  </r>
  <r>
    <x v="2"/>
    <d v="2024-08-26T00:00:00"/>
    <n v="2340"/>
    <n v="8"/>
    <n v="4"/>
    <x v="0"/>
    <n v="9942"/>
  </r>
  <r>
    <x v="2"/>
    <d v="2024-08-26T00:00:00"/>
    <n v="3476"/>
    <n v="8"/>
    <n v="4"/>
    <x v="0"/>
    <n v="9942"/>
  </r>
  <r>
    <x v="2"/>
    <d v="2024-08-26T00:00:00"/>
    <n v="4385"/>
    <n v="8"/>
    <n v="4"/>
    <x v="0"/>
    <n v="9942"/>
  </r>
  <r>
    <x v="2"/>
    <d v="2024-08-31T00:00:00"/>
    <n v="2195"/>
    <n v="8"/>
    <n v="5"/>
    <x v="0"/>
    <n v="0"/>
  </r>
  <r>
    <x v="2"/>
    <d v="2024-08-31T00:00:00"/>
    <n v="5547"/>
    <n v="8"/>
    <n v="5"/>
    <x v="0"/>
    <n v="0"/>
  </r>
  <r>
    <x v="2"/>
    <d v="2024-08-31T00:00:00"/>
    <n v="2034"/>
    <n v="8"/>
    <n v="5"/>
    <x v="0"/>
    <n v="0"/>
  </r>
  <r>
    <x v="2"/>
    <d v="2024-08-31T00:00:00"/>
    <n v="5304"/>
    <n v="8"/>
    <n v="5"/>
    <x v="0"/>
    <n v="0"/>
  </r>
  <r>
    <x v="2"/>
    <d v="2024-09-05T00:00:00"/>
    <n v="5128"/>
    <n v="9"/>
    <n v="1"/>
    <x v="0"/>
    <n v="25797"/>
  </r>
  <r>
    <x v="2"/>
    <d v="2024-09-08T00:00:00"/>
    <n v="1624"/>
    <n v="9"/>
    <n v="2"/>
    <x v="0"/>
    <n v="15476"/>
  </r>
  <r>
    <x v="2"/>
    <d v="2024-09-10T00:00:00"/>
    <n v="1624"/>
    <n v="9"/>
    <n v="2"/>
    <x v="0"/>
    <n v="15476"/>
  </r>
  <r>
    <x v="2"/>
    <d v="2024-09-11T00:00:00"/>
    <n v="1624"/>
    <n v="9"/>
    <n v="2"/>
    <x v="0"/>
    <n v="15476"/>
  </r>
  <r>
    <x v="2"/>
    <d v="2024-09-14T00:00:00"/>
    <n v="2508"/>
    <n v="9"/>
    <n v="2"/>
    <x v="0"/>
    <n v="15476"/>
  </r>
  <r>
    <x v="2"/>
    <d v="2024-09-17T00:00:00"/>
    <n v="5585"/>
    <n v="9"/>
    <n v="3"/>
    <x v="0"/>
    <n v="30270"/>
  </r>
  <r>
    <x v="2"/>
    <d v="2024-09-18T00:00:00"/>
    <n v="1872"/>
    <n v="9"/>
    <n v="3"/>
    <x v="0"/>
    <n v="30270"/>
  </r>
  <r>
    <x v="2"/>
    <d v="2024-10-02T00:00:00"/>
    <n v="3004"/>
    <n v="10"/>
    <n v="1"/>
    <x v="0"/>
    <n v="4509"/>
  </r>
  <r>
    <x v="2"/>
    <d v="2024-10-04T00:00:00"/>
    <n v="4413"/>
    <n v="10"/>
    <n v="1"/>
    <x v="0"/>
    <n v="4509"/>
  </r>
  <r>
    <x v="2"/>
    <d v="2024-10-05T00:00:00"/>
    <n v="1308"/>
    <n v="10"/>
    <n v="1"/>
    <x v="0"/>
    <n v="4509"/>
  </r>
  <r>
    <x v="2"/>
    <d v="2024-10-21T00:00:00"/>
    <n v="2458"/>
    <n v="10"/>
    <n v="3"/>
    <x v="0"/>
    <n v="21208"/>
  </r>
  <r>
    <x v="2"/>
    <d v="2024-10-21T00:00:00"/>
    <n v="4110"/>
    <n v="10"/>
    <n v="3"/>
    <x v="0"/>
    <n v="21208"/>
  </r>
  <r>
    <x v="2"/>
    <d v="2024-10-22T00:00:00"/>
    <n v="3319"/>
    <n v="10"/>
    <n v="4"/>
    <x v="0"/>
    <n v="15827"/>
  </r>
  <r>
    <x v="2"/>
    <d v="2024-11-04T00:00:00"/>
    <n v="4785"/>
    <n v="11"/>
    <n v="1"/>
    <x v="0"/>
    <n v="36095"/>
  </r>
  <r>
    <x v="2"/>
    <d v="2024-11-07T00:00:00"/>
    <n v="4785"/>
    <n v="11"/>
    <n v="1"/>
    <x v="0"/>
    <n v="36095"/>
  </r>
  <r>
    <x v="2"/>
    <d v="2024-11-12T00:00:00"/>
    <n v="1520"/>
    <n v="11"/>
    <n v="2"/>
    <x v="0"/>
    <n v="30428"/>
  </r>
  <r>
    <x v="2"/>
    <d v="2024-11-14T00:00:00"/>
    <n v="4895"/>
    <n v="11"/>
    <n v="2"/>
    <x v="0"/>
    <n v="30428"/>
  </r>
  <r>
    <x v="2"/>
    <d v="2024-11-22T00:00:00"/>
    <n v="4895"/>
    <n v="11"/>
    <n v="4"/>
    <x v="0"/>
    <n v="39530"/>
  </r>
  <r>
    <x v="2"/>
    <d v="2024-11-26T00:00:00"/>
    <n v="3828"/>
    <n v="11"/>
    <n v="4"/>
    <x v="0"/>
    <n v="39530"/>
  </r>
  <r>
    <x v="2"/>
    <d v="2024-12-05T00:00:00"/>
    <n v="3661"/>
    <n v="12"/>
    <n v="1"/>
    <x v="0"/>
    <n v="3455"/>
  </r>
  <r>
    <x v="2"/>
    <d v="2024-12-11T00:00:00"/>
    <n v="3661"/>
    <n v="12"/>
    <n v="2"/>
    <x v="0"/>
    <n v="20861"/>
  </r>
  <r>
    <x v="2"/>
    <d v="2024-12-22T00:00:00"/>
    <n v="1621"/>
    <n v="12"/>
    <n v="4"/>
    <x v="0"/>
    <n v="35359"/>
  </r>
  <r>
    <x v="2"/>
    <d v="2024-12-23T00:00:00"/>
    <n v="2370"/>
    <n v="12"/>
    <n v="4"/>
    <x v="0"/>
    <n v="35359"/>
  </r>
  <r>
    <x v="2"/>
    <d v="2024-12-23T00:00:00"/>
    <n v="4777"/>
    <n v="12"/>
    <n v="4"/>
    <x v="0"/>
    <n v="35359"/>
  </r>
  <r>
    <x v="2"/>
    <d v="2024-12-24T00:00:00"/>
    <n v="3767"/>
    <n v="12"/>
    <n v="4"/>
    <x v="0"/>
    <n v="35359"/>
  </r>
  <r>
    <x v="2"/>
    <d v="2024-12-29T00:00:00"/>
    <n v="1582"/>
    <n v="12"/>
    <n v="5"/>
    <x v="0"/>
    <n v="9118"/>
  </r>
  <r>
    <x v="2"/>
    <d v="2024-12-29T00:00:00"/>
    <n v="5973"/>
    <n v="12"/>
    <n v="5"/>
    <x v="0"/>
    <n v="9118"/>
  </r>
  <r>
    <x v="2"/>
    <d v="2025-01-01T00:00:00"/>
    <n v="1760"/>
    <n v="1"/>
    <n v="1"/>
    <x v="1"/>
    <n v="2798"/>
  </r>
  <r>
    <x v="2"/>
    <d v="2025-01-01T00:00:00"/>
    <n v="5767"/>
    <n v="1"/>
    <n v="1"/>
    <x v="1"/>
    <n v="2798"/>
  </r>
  <r>
    <x v="2"/>
    <d v="2025-01-10T00:00:00"/>
    <n v="2812"/>
    <n v="1"/>
    <n v="2"/>
    <x v="1"/>
    <n v="12350"/>
  </r>
  <r>
    <x v="2"/>
    <d v="2025-01-10T00:00:00"/>
    <n v="1832"/>
    <n v="1"/>
    <n v="2"/>
    <x v="1"/>
    <n v="12350"/>
  </r>
  <r>
    <x v="2"/>
    <d v="2025-01-14T00:00:00"/>
    <n v="1066"/>
    <n v="1"/>
    <n v="2"/>
    <x v="1"/>
    <n v="12350"/>
  </r>
  <r>
    <x v="2"/>
    <d v="2025-01-15T00:00:00"/>
    <n v="4984"/>
    <n v="1"/>
    <n v="3"/>
    <x v="1"/>
    <n v="45380"/>
  </r>
  <r>
    <x v="2"/>
    <d v="2025-01-28T00:00:00"/>
    <n v="2830"/>
    <n v="1"/>
    <n v="4"/>
    <x v="1"/>
    <n v="19119"/>
  </r>
  <r>
    <x v="2"/>
    <d v="2025-01-30T00:00:00"/>
    <n v="2830"/>
    <n v="1"/>
    <n v="5"/>
    <x v="1"/>
    <n v="0"/>
  </r>
  <r>
    <x v="2"/>
    <d v="2025-02-11T00:00:00"/>
    <n v="3733"/>
    <n v="2"/>
    <n v="2"/>
    <x v="1"/>
    <n v="42832"/>
  </r>
  <r>
    <x v="2"/>
    <d v="2025-02-11T00:00:00"/>
    <n v="1352"/>
    <n v="2"/>
    <n v="2"/>
    <x v="1"/>
    <n v="42832"/>
  </r>
  <r>
    <x v="2"/>
    <d v="2025-02-16T00:00:00"/>
    <n v="5029"/>
    <n v="2"/>
    <n v="3"/>
    <x v="1"/>
    <n v="37636"/>
  </r>
  <r>
    <x v="2"/>
    <d v="2025-02-19T00:00:00"/>
    <n v="2223"/>
    <n v="2"/>
    <n v="3"/>
    <x v="1"/>
    <n v="37636"/>
  </r>
  <r>
    <x v="2"/>
    <d v="2025-02-20T00:00:00"/>
    <n v="525"/>
    <n v="2"/>
    <n v="3"/>
    <x v="1"/>
    <n v="37636"/>
  </r>
  <r>
    <x v="2"/>
    <d v="2025-02-24T00:00:00"/>
    <n v="5900"/>
    <n v="2"/>
    <n v="4"/>
    <x v="1"/>
    <n v="8718"/>
  </r>
  <r>
    <x v="2"/>
    <d v="2025-03-02T00:00:00"/>
    <n v="5782"/>
    <n v="3"/>
    <n v="1"/>
    <x v="1"/>
    <n v="10002"/>
  </r>
  <r>
    <x v="2"/>
    <d v="2025-03-06T00:00:00"/>
    <n v="3975"/>
    <n v="3"/>
    <n v="1"/>
    <x v="1"/>
    <n v="10002"/>
  </r>
  <r>
    <x v="2"/>
    <d v="2025-03-07T00:00:00"/>
    <n v="1839"/>
    <n v="3"/>
    <n v="1"/>
    <x v="1"/>
    <n v="10002"/>
  </r>
  <r>
    <x v="2"/>
    <d v="2025-03-08T00:00:00"/>
    <n v="1071"/>
    <n v="3"/>
    <n v="2"/>
    <x v="1"/>
    <n v="14722"/>
  </r>
  <r>
    <x v="2"/>
    <d v="2025-03-11T00:00:00"/>
    <n v="2781"/>
    <n v="3"/>
    <n v="2"/>
    <x v="1"/>
    <n v="14722"/>
  </r>
  <r>
    <x v="2"/>
    <d v="2025-03-19T00:00:00"/>
    <n v="1836"/>
    <n v="3"/>
    <n v="3"/>
    <x v="1"/>
    <n v="14068"/>
  </r>
  <r>
    <x v="2"/>
    <d v="2025-03-19T00:00:00"/>
    <n v="4513"/>
    <n v="3"/>
    <n v="3"/>
    <x v="1"/>
    <n v="14068"/>
  </r>
  <r>
    <x v="2"/>
    <d v="2025-03-25T00:00:00"/>
    <n v="1627"/>
    <n v="3"/>
    <n v="4"/>
    <x v="1"/>
    <n v="21061"/>
  </r>
  <r>
    <x v="2"/>
    <d v="2025-03-29T00:00:00"/>
    <n v="1627"/>
    <n v="3"/>
    <n v="5"/>
    <x v="1"/>
    <n v="11805"/>
  </r>
  <r>
    <x v="2"/>
    <d v="2025-04-03T00:00:00"/>
    <n v="1627"/>
    <n v="4"/>
    <n v="1"/>
    <x v="1"/>
    <n v="42964"/>
  </r>
  <r>
    <x v="2"/>
    <d v="2025-04-03T00:00:00"/>
    <n v="4816"/>
    <n v="4"/>
    <n v="1"/>
    <x v="1"/>
    <n v="42964"/>
  </r>
  <r>
    <x v="2"/>
    <d v="2025-04-10T00:00:00"/>
    <n v="5487"/>
    <n v="4"/>
    <n v="2"/>
    <x v="1"/>
    <n v="11035"/>
  </r>
  <r>
    <x v="2"/>
    <d v="2025-04-24T00:00:00"/>
    <n v="5248"/>
    <n v="4"/>
    <n v="4"/>
    <x v="1"/>
    <n v="32500"/>
  </r>
  <r>
    <x v="2"/>
    <d v="2025-04-24T00:00:00"/>
    <n v="1443"/>
    <n v="4"/>
    <n v="4"/>
    <x v="1"/>
    <n v="32500"/>
  </r>
  <r>
    <x v="2"/>
    <d v="2025-04-24T00:00:00"/>
    <n v="1443"/>
    <n v="4"/>
    <n v="4"/>
    <x v="1"/>
    <n v="32500"/>
  </r>
  <r>
    <x v="2"/>
    <d v="2025-04-28T00:00:00"/>
    <n v="1443"/>
    <n v="4"/>
    <n v="4"/>
    <x v="1"/>
    <n v="32500"/>
  </r>
  <r>
    <x v="2"/>
    <d v="2025-04-29T00:00:00"/>
    <n v="5367"/>
    <n v="4"/>
    <n v="5"/>
    <x v="1"/>
    <n v="0"/>
  </r>
  <r>
    <x v="2"/>
    <d v="2025-05-02T00:00:00"/>
    <n v="5297"/>
    <n v="5"/>
    <n v="1"/>
    <x v="1"/>
    <n v="16149"/>
  </r>
  <r>
    <x v="2"/>
    <d v="2025-05-06T00:00:00"/>
    <n v="4878"/>
    <n v="5"/>
    <n v="1"/>
    <x v="1"/>
    <n v="16149"/>
  </r>
  <r>
    <x v="2"/>
    <d v="2025-05-06T00:00:00"/>
    <n v="6029"/>
    <n v="5"/>
    <n v="1"/>
    <x v="1"/>
    <n v="16149"/>
  </r>
  <r>
    <x v="2"/>
    <d v="2025-05-06T00:00:00"/>
    <n v="5057"/>
    <n v="5"/>
    <n v="1"/>
    <x v="1"/>
    <n v="16149"/>
  </r>
  <r>
    <x v="2"/>
    <d v="2025-05-09T00:00:00"/>
    <n v="1514"/>
    <n v="5"/>
    <n v="2"/>
    <x v="1"/>
    <n v="4007"/>
  </r>
  <r>
    <x v="2"/>
    <d v="2025-05-11T00:00:00"/>
    <n v="4234"/>
    <n v="5"/>
    <n v="2"/>
    <x v="1"/>
    <n v="4007"/>
  </r>
  <r>
    <x v="2"/>
    <d v="2025-05-11T00:00:00"/>
    <n v="4234"/>
    <n v="5"/>
    <n v="2"/>
    <x v="1"/>
    <n v="4007"/>
  </r>
  <r>
    <x v="3"/>
    <d v="2024-06-05T00:00:00"/>
    <n v="4234"/>
    <n v="6"/>
    <n v="1"/>
    <x v="0"/>
    <n v="30671"/>
  </r>
  <r>
    <x v="3"/>
    <d v="2024-06-05T00:00:00"/>
    <n v="1165"/>
    <n v="6"/>
    <n v="1"/>
    <x v="0"/>
    <n v="30671"/>
  </r>
  <r>
    <x v="3"/>
    <d v="2024-06-06T00:00:00"/>
    <n v="1306"/>
    <n v="6"/>
    <n v="1"/>
    <x v="0"/>
    <n v="30671"/>
  </r>
  <r>
    <x v="3"/>
    <d v="2024-06-21T00:00:00"/>
    <n v="5022"/>
    <n v="6"/>
    <n v="3"/>
    <x v="0"/>
    <n v="24313"/>
  </r>
  <r>
    <x v="3"/>
    <d v="2024-06-24T00:00:00"/>
    <n v="2560"/>
    <n v="6"/>
    <n v="4"/>
    <x v="0"/>
    <n v="1783"/>
  </r>
  <r>
    <x v="3"/>
    <d v="2024-06-26T00:00:00"/>
    <n v="2634"/>
    <n v="6"/>
    <n v="4"/>
    <x v="0"/>
    <n v="1783"/>
  </r>
  <r>
    <x v="3"/>
    <d v="2024-06-26T00:00:00"/>
    <n v="4612"/>
    <n v="6"/>
    <n v="4"/>
    <x v="0"/>
    <n v="1783"/>
  </r>
  <r>
    <x v="3"/>
    <d v="2024-07-02T00:00:00"/>
    <n v="2871"/>
    <n v="7"/>
    <n v="1"/>
    <x v="0"/>
    <n v="30060"/>
  </r>
  <r>
    <x v="3"/>
    <d v="2024-07-03T00:00:00"/>
    <n v="4519"/>
    <n v="7"/>
    <n v="1"/>
    <x v="0"/>
    <n v="30060"/>
  </r>
  <r>
    <x v="3"/>
    <d v="2024-07-13T00:00:00"/>
    <n v="2359"/>
    <n v="7"/>
    <n v="2"/>
    <x v="0"/>
    <n v="15071"/>
  </r>
  <r>
    <x v="3"/>
    <d v="2024-07-18T00:00:00"/>
    <n v="3951"/>
    <n v="7"/>
    <n v="3"/>
    <x v="0"/>
    <n v="28474"/>
  </r>
  <r>
    <x v="3"/>
    <d v="2024-07-23T00:00:00"/>
    <n v="3951"/>
    <n v="7"/>
    <n v="4"/>
    <x v="0"/>
    <n v="26452"/>
  </r>
  <r>
    <x v="3"/>
    <d v="2024-07-29T00:00:00"/>
    <n v="3951"/>
    <n v="7"/>
    <n v="5"/>
    <x v="0"/>
    <n v="16804"/>
  </r>
  <r>
    <x v="3"/>
    <d v="2024-08-22T00:00:00"/>
    <n v="4371"/>
    <n v="8"/>
    <n v="4"/>
    <x v="0"/>
    <n v="32929"/>
  </r>
  <r>
    <x v="3"/>
    <d v="2024-09-02T00:00:00"/>
    <n v="869"/>
    <n v="9"/>
    <n v="1"/>
    <x v="0"/>
    <n v="12646"/>
  </r>
  <r>
    <x v="3"/>
    <d v="2024-09-02T00:00:00"/>
    <n v="5322"/>
    <n v="9"/>
    <n v="1"/>
    <x v="0"/>
    <n v="12646"/>
  </r>
  <r>
    <x v="3"/>
    <d v="2024-09-17T00:00:00"/>
    <n v="5322"/>
    <n v="9"/>
    <n v="3"/>
    <x v="0"/>
    <n v="5442"/>
  </r>
  <r>
    <x v="3"/>
    <d v="2024-09-18T00:00:00"/>
    <n v="5322"/>
    <n v="9"/>
    <n v="3"/>
    <x v="0"/>
    <n v="5442"/>
  </r>
  <r>
    <x v="3"/>
    <d v="2024-09-25T00:00:00"/>
    <n v="6030"/>
    <n v="9"/>
    <n v="4"/>
    <x v="0"/>
    <n v="38883"/>
  </r>
  <r>
    <x v="3"/>
    <d v="2024-09-29T00:00:00"/>
    <n v="1480"/>
    <n v="9"/>
    <n v="5"/>
    <x v="0"/>
    <n v="36851"/>
  </r>
  <r>
    <x v="3"/>
    <d v="2024-10-02T00:00:00"/>
    <n v="3498"/>
    <n v="10"/>
    <n v="1"/>
    <x v="0"/>
    <n v="27822"/>
  </r>
  <r>
    <x v="3"/>
    <d v="2024-10-02T00:00:00"/>
    <n v="315"/>
    <n v="10"/>
    <n v="1"/>
    <x v="0"/>
    <n v="27822"/>
  </r>
  <r>
    <x v="3"/>
    <d v="2024-10-04T00:00:00"/>
    <n v="2847"/>
    <n v="10"/>
    <n v="1"/>
    <x v="0"/>
    <n v="27822"/>
  </r>
  <r>
    <x v="3"/>
    <d v="2024-10-12T00:00:00"/>
    <n v="5062"/>
    <n v="10"/>
    <n v="2"/>
    <x v="0"/>
    <n v="6742"/>
  </r>
  <r>
    <x v="3"/>
    <d v="2024-10-15T00:00:00"/>
    <n v="4284"/>
    <n v="10"/>
    <n v="3"/>
    <x v="0"/>
    <n v="44321"/>
  </r>
  <r>
    <x v="3"/>
    <d v="2024-10-18T00:00:00"/>
    <n v="5004"/>
    <n v="10"/>
    <n v="3"/>
    <x v="0"/>
    <n v="44321"/>
  </r>
  <r>
    <x v="3"/>
    <d v="2024-10-21T00:00:00"/>
    <n v="5053"/>
    <n v="10"/>
    <n v="3"/>
    <x v="0"/>
    <n v="44321"/>
  </r>
  <r>
    <x v="3"/>
    <d v="2024-10-21T00:00:00"/>
    <n v="4052"/>
    <n v="10"/>
    <n v="3"/>
    <x v="0"/>
    <n v="44321"/>
  </r>
  <r>
    <x v="3"/>
    <d v="2024-10-21T00:00:00"/>
    <n v="4435"/>
    <n v="10"/>
    <n v="3"/>
    <x v="0"/>
    <n v="44321"/>
  </r>
  <r>
    <x v="3"/>
    <d v="2024-10-25T00:00:00"/>
    <n v="5621"/>
    <n v="10"/>
    <n v="4"/>
    <x v="0"/>
    <n v="46643"/>
  </r>
  <r>
    <x v="3"/>
    <d v="2024-10-28T00:00:00"/>
    <n v="3913"/>
    <n v="10"/>
    <n v="4"/>
    <x v="0"/>
    <n v="46643"/>
  </r>
  <r>
    <x v="3"/>
    <d v="2024-10-28T00:00:00"/>
    <n v="4181"/>
    <n v="10"/>
    <n v="4"/>
    <x v="0"/>
    <n v="46643"/>
  </r>
  <r>
    <x v="3"/>
    <d v="2024-10-29T00:00:00"/>
    <n v="2917"/>
    <n v="10"/>
    <n v="5"/>
    <x v="0"/>
    <n v="0"/>
  </r>
  <r>
    <x v="3"/>
    <d v="2024-11-18T00:00:00"/>
    <n v="1882"/>
    <n v="11"/>
    <n v="3"/>
    <x v="0"/>
    <n v="22373"/>
  </r>
  <r>
    <x v="3"/>
    <d v="2024-11-23T00:00:00"/>
    <n v="5245"/>
    <n v="11"/>
    <n v="4"/>
    <x v="0"/>
    <n v="37876"/>
  </r>
  <r>
    <x v="3"/>
    <d v="2024-11-30T00:00:00"/>
    <n v="5521"/>
    <n v="11"/>
    <n v="5"/>
    <x v="0"/>
    <n v="0"/>
  </r>
  <r>
    <x v="3"/>
    <d v="2024-12-03T00:00:00"/>
    <n v="5879"/>
    <n v="12"/>
    <n v="1"/>
    <x v="0"/>
    <n v="40888"/>
  </r>
  <r>
    <x v="3"/>
    <d v="2024-12-03T00:00:00"/>
    <n v="5340"/>
    <n v="12"/>
    <n v="1"/>
    <x v="0"/>
    <n v="40888"/>
  </r>
  <r>
    <x v="3"/>
    <d v="2024-12-03T00:00:00"/>
    <n v="5340"/>
    <n v="12"/>
    <n v="1"/>
    <x v="0"/>
    <n v="40888"/>
  </r>
  <r>
    <x v="3"/>
    <d v="2024-12-21T00:00:00"/>
    <n v="5340"/>
    <n v="12"/>
    <n v="3"/>
    <x v="0"/>
    <n v="49558"/>
  </r>
  <r>
    <x v="3"/>
    <d v="2024-12-31T00:00:00"/>
    <n v="3597"/>
    <n v="12"/>
    <n v="5"/>
    <x v="0"/>
    <n v="39931"/>
  </r>
  <r>
    <x v="3"/>
    <d v="2025-01-15T00:00:00"/>
    <n v="2073"/>
    <n v="1"/>
    <n v="3"/>
    <x v="1"/>
    <n v="7705"/>
  </r>
  <r>
    <x v="3"/>
    <d v="2025-01-18T00:00:00"/>
    <n v="3726"/>
    <n v="1"/>
    <n v="3"/>
    <x v="1"/>
    <n v="7705"/>
  </r>
  <r>
    <x v="3"/>
    <d v="2025-01-27T00:00:00"/>
    <n v="1113"/>
    <n v="1"/>
    <n v="4"/>
    <x v="1"/>
    <n v="43999"/>
  </r>
  <r>
    <x v="3"/>
    <d v="2025-01-27T00:00:00"/>
    <n v="4892"/>
    <n v="1"/>
    <n v="4"/>
    <x v="1"/>
    <n v="43999"/>
  </r>
  <r>
    <x v="3"/>
    <d v="2025-02-10T00:00:00"/>
    <n v="3962"/>
    <n v="2"/>
    <n v="2"/>
    <x v="1"/>
    <n v="24494"/>
  </r>
  <r>
    <x v="3"/>
    <d v="2025-02-17T00:00:00"/>
    <n v="2104"/>
    <n v="2"/>
    <n v="3"/>
    <x v="1"/>
    <n v="22996"/>
  </r>
  <r>
    <x v="3"/>
    <d v="2025-02-19T00:00:00"/>
    <n v="5851"/>
    <n v="2"/>
    <n v="3"/>
    <x v="1"/>
    <n v="22996"/>
  </r>
  <r>
    <x v="3"/>
    <d v="2025-02-24T00:00:00"/>
    <n v="3214"/>
    <n v="2"/>
    <n v="4"/>
    <x v="1"/>
    <n v="39031"/>
  </r>
  <r>
    <x v="3"/>
    <d v="2025-02-24T00:00:00"/>
    <n v="3006"/>
    <n v="2"/>
    <n v="4"/>
    <x v="1"/>
    <n v="39031"/>
  </r>
  <r>
    <x v="3"/>
    <d v="2025-02-24T00:00:00"/>
    <n v="5033"/>
    <n v="2"/>
    <n v="4"/>
    <x v="1"/>
    <n v="39031"/>
  </r>
  <r>
    <x v="3"/>
    <d v="2025-02-27T00:00:00"/>
    <n v="1522"/>
    <n v="2"/>
    <n v="4"/>
    <x v="1"/>
    <n v="39031"/>
  </r>
  <r>
    <x v="3"/>
    <d v="2025-02-27T00:00:00"/>
    <n v="1522"/>
    <n v="2"/>
    <n v="4"/>
    <x v="1"/>
    <n v="39031"/>
  </r>
  <r>
    <x v="3"/>
    <d v="2025-03-03T00:00:00"/>
    <n v="3601"/>
    <n v="3"/>
    <n v="1"/>
    <x v="1"/>
    <n v="30987"/>
  </r>
  <r>
    <x v="3"/>
    <d v="2025-03-03T00:00:00"/>
    <n v="5180"/>
    <n v="3"/>
    <n v="1"/>
    <x v="1"/>
    <n v="30987"/>
  </r>
  <r>
    <x v="3"/>
    <d v="2025-03-05T00:00:00"/>
    <n v="2583"/>
    <n v="3"/>
    <n v="1"/>
    <x v="1"/>
    <n v="30987"/>
  </r>
  <r>
    <x v="3"/>
    <d v="2025-03-13T00:00:00"/>
    <n v="2583"/>
    <n v="3"/>
    <n v="2"/>
    <x v="1"/>
    <n v="11383"/>
  </r>
  <r>
    <x v="3"/>
    <d v="2025-03-18T00:00:00"/>
    <n v="2583"/>
    <n v="3"/>
    <n v="3"/>
    <x v="1"/>
    <n v="35801"/>
  </r>
  <r>
    <x v="3"/>
    <d v="2025-03-21T00:00:00"/>
    <n v="3473"/>
    <n v="3"/>
    <n v="3"/>
    <x v="1"/>
    <n v="35801"/>
  </r>
  <r>
    <x v="3"/>
    <d v="2025-03-22T00:00:00"/>
    <n v="3473"/>
    <n v="3"/>
    <n v="4"/>
    <x v="1"/>
    <n v="20059"/>
  </r>
  <r>
    <x v="3"/>
    <d v="2025-03-23T00:00:00"/>
    <n v="2637"/>
    <n v="3"/>
    <n v="4"/>
    <x v="1"/>
    <n v="20059"/>
  </r>
  <r>
    <x v="3"/>
    <d v="2025-03-25T00:00:00"/>
    <n v="5040"/>
    <n v="3"/>
    <n v="4"/>
    <x v="1"/>
    <n v="20059"/>
  </r>
  <r>
    <x v="3"/>
    <d v="2025-04-05T00:00:00"/>
    <n v="3215"/>
    <n v="4"/>
    <n v="1"/>
    <x v="1"/>
    <n v="39923"/>
  </r>
  <r>
    <x v="3"/>
    <d v="2025-04-06T00:00:00"/>
    <n v="5256"/>
    <n v="4"/>
    <n v="1"/>
    <x v="1"/>
    <n v="39923"/>
  </r>
  <r>
    <x v="3"/>
    <d v="2025-04-17T00:00:00"/>
    <n v="5256"/>
    <n v="4"/>
    <n v="3"/>
    <x v="1"/>
    <n v="14090"/>
  </r>
  <r>
    <x v="3"/>
    <d v="2025-05-12T00:00:00"/>
    <n v="5256"/>
    <n v="5"/>
    <n v="2"/>
    <x v="1"/>
    <n v="1217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r>
  <r>
    <x v="1"/>
    <x v="1"/>
  </r>
  <r>
    <x v="2"/>
    <x v="2"/>
  </r>
  <r>
    <x v="3"/>
    <x v="3"/>
  </r>
  <r>
    <x v="0"/>
    <x v="4"/>
  </r>
  <r>
    <x v="1"/>
    <x v="5"/>
  </r>
  <r>
    <x v="2"/>
    <x v="6"/>
  </r>
  <r>
    <x v="3"/>
    <x v="7"/>
  </r>
  <r>
    <x v="0"/>
    <x v="8"/>
  </r>
  <r>
    <x v="1"/>
    <x v="9"/>
  </r>
  <r>
    <x v="2"/>
    <x v="10"/>
  </r>
  <r>
    <x v="3"/>
    <x v="11"/>
  </r>
  <r>
    <x v="0"/>
    <x v="12"/>
  </r>
  <r>
    <x v="1"/>
    <x v="13"/>
  </r>
  <r>
    <x v="2"/>
    <x v="14"/>
  </r>
  <r>
    <x v="3"/>
    <x v="15"/>
  </r>
  <r>
    <x v="0"/>
    <x v="16"/>
  </r>
  <r>
    <x v="1"/>
    <x v="17"/>
  </r>
  <r>
    <x v="2"/>
    <x v="18"/>
  </r>
  <r>
    <x v="3"/>
    <x v="19"/>
  </r>
  <r>
    <x v="0"/>
    <x v="20"/>
  </r>
  <r>
    <x v="1"/>
    <x v="21"/>
  </r>
  <r>
    <x v="2"/>
    <x v="22"/>
  </r>
  <r>
    <x v="3"/>
    <x v="23"/>
  </r>
  <r>
    <x v="0"/>
    <x v="24"/>
  </r>
  <r>
    <x v="1"/>
    <x v="25"/>
  </r>
  <r>
    <x v="2"/>
    <x v="26"/>
  </r>
  <r>
    <x v="3"/>
    <x v="27"/>
  </r>
  <r>
    <x v="0"/>
    <x v="28"/>
  </r>
  <r>
    <x v="1"/>
    <x v="29"/>
  </r>
  <r>
    <x v="2"/>
    <x v="30"/>
  </r>
  <r>
    <x v="3"/>
    <x v="31"/>
  </r>
  <r>
    <x v="0"/>
    <x v="32"/>
  </r>
  <r>
    <x v="1"/>
    <x v="33"/>
  </r>
  <r>
    <x v="2"/>
    <x v="34"/>
  </r>
  <r>
    <x v="3"/>
    <x v="35"/>
  </r>
  <r>
    <x v="0"/>
    <x v="36"/>
  </r>
  <r>
    <x v="1"/>
    <x v="37"/>
  </r>
  <r>
    <x v="2"/>
    <x v="38"/>
  </r>
  <r>
    <x v="3"/>
    <x v="39"/>
  </r>
  <r>
    <x v="0"/>
    <x v="40"/>
  </r>
  <r>
    <x v="1"/>
    <x v="41"/>
  </r>
  <r>
    <x v="2"/>
    <x v="42"/>
  </r>
  <r>
    <x v="3"/>
    <x v="43"/>
  </r>
  <r>
    <x v="0"/>
    <x v="44"/>
  </r>
  <r>
    <x v="1"/>
    <x v="45"/>
  </r>
  <r>
    <x v="2"/>
    <x v="46"/>
  </r>
  <r>
    <x v="3"/>
    <x v="18"/>
  </r>
  <r>
    <x v="0"/>
    <x v="47"/>
  </r>
  <r>
    <x v="1"/>
    <x v="48"/>
  </r>
  <r>
    <x v="2"/>
    <x v="49"/>
  </r>
  <r>
    <x v="3"/>
    <x v="36"/>
  </r>
  <r>
    <x v="0"/>
    <x v="50"/>
  </r>
  <r>
    <x v="1"/>
    <x v="51"/>
  </r>
  <r>
    <x v="2"/>
    <x v="52"/>
  </r>
  <r>
    <x v="3"/>
    <x v="53"/>
  </r>
  <r>
    <x v="0"/>
    <x v="54"/>
  </r>
  <r>
    <x v="1"/>
    <x v="55"/>
  </r>
  <r>
    <x v="2"/>
    <x v="56"/>
  </r>
  <r>
    <x v="3"/>
    <x v="57"/>
  </r>
  <r>
    <x v="0"/>
    <x v="58"/>
  </r>
  <r>
    <x v="1"/>
    <x v="59"/>
  </r>
  <r>
    <x v="2"/>
    <x v="60"/>
  </r>
  <r>
    <x v="3"/>
    <x v="14"/>
  </r>
  <r>
    <x v="0"/>
    <x v="61"/>
  </r>
  <r>
    <x v="1"/>
    <x v="62"/>
  </r>
  <r>
    <x v="2"/>
    <x v="42"/>
  </r>
  <r>
    <x v="3"/>
    <x v="63"/>
  </r>
  <r>
    <x v="0"/>
    <x v="64"/>
  </r>
  <r>
    <x v="1"/>
    <x v="65"/>
  </r>
  <r>
    <x v="2"/>
    <x v="66"/>
  </r>
  <r>
    <x v="3"/>
    <x v="62"/>
  </r>
  <r>
    <x v="0"/>
    <x v="67"/>
  </r>
  <r>
    <x v="1"/>
    <x v="68"/>
  </r>
  <r>
    <x v="2"/>
    <x v="69"/>
  </r>
  <r>
    <x v="3"/>
    <x v="70"/>
  </r>
  <r>
    <x v="0"/>
    <x v="71"/>
  </r>
  <r>
    <x v="1"/>
    <x v="72"/>
  </r>
  <r>
    <x v="2"/>
    <x v="73"/>
  </r>
  <r>
    <x v="3"/>
    <x v="74"/>
  </r>
  <r>
    <x v="0"/>
    <x v="75"/>
  </r>
  <r>
    <x v="1"/>
    <x v="7"/>
  </r>
  <r>
    <x v="2"/>
    <x v="76"/>
  </r>
  <r>
    <x v="3"/>
    <x v="77"/>
  </r>
  <r>
    <x v="0"/>
    <x v="78"/>
  </r>
  <r>
    <x v="1"/>
    <x v="79"/>
  </r>
  <r>
    <x v="2"/>
    <x v="80"/>
  </r>
  <r>
    <x v="3"/>
    <x v="81"/>
  </r>
  <r>
    <x v="0"/>
    <x v="82"/>
  </r>
  <r>
    <x v="1"/>
    <x v="83"/>
  </r>
  <r>
    <x v="2"/>
    <x v="84"/>
  </r>
  <r>
    <x v="3"/>
    <x v="85"/>
  </r>
  <r>
    <x v="0"/>
    <x v="22"/>
  </r>
  <r>
    <x v="1"/>
    <x v="86"/>
  </r>
  <r>
    <x v="2"/>
    <x v="8"/>
  </r>
  <r>
    <x v="3"/>
    <x v="87"/>
  </r>
  <r>
    <x v="0"/>
    <x v="88"/>
  </r>
  <r>
    <x v="1"/>
    <x v="89"/>
  </r>
  <r>
    <x v="2"/>
    <x v="90"/>
  </r>
  <r>
    <x v="3"/>
    <x v="91"/>
  </r>
  <r>
    <x v="0"/>
    <x v="92"/>
  </r>
  <r>
    <x v="1"/>
    <x v="93"/>
  </r>
  <r>
    <x v="2"/>
    <x v="94"/>
  </r>
  <r>
    <x v="3"/>
    <x v="71"/>
  </r>
  <r>
    <x v="0"/>
    <x v="95"/>
  </r>
  <r>
    <x v="1"/>
    <x v="96"/>
  </r>
  <r>
    <x v="2"/>
    <x v="97"/>
  </r>
  <r>
    <x v="3"/>
    <x v="98"/>
  </r>
  <r>
    <x v="0"/>
    <x v="99"/>
  </r>
  <r>
    <x v="1"/>
    <x v="100"/>
  </r>
  <r>
    <x v="2"/>
    <x v="101"/>
  </r>
  <r>
    <x v="3"/>
    <x v="102"/>
  </r>
  <r>
    <x v="0"/>
    <x v="83"/>
  </r>
  <r>
    <x v="1"/>
    <x v="9"/>
  </r>
  <r>
    <x v="2"/>
    <x v="103"/>
  </r>
  <r>
    <x v="3"/>
    <x v="104"/>
  </r>
  <r>
    <x v="0"/>
    <x v="105"/>
  </r>
  <r>
    <x v="1"/>
    <x v="106"/>
  </r>
  <r>
    <x v="2"/>
    <x v="107"/>
  </r>
  <r>
    <x v="3"/>
    <x v="108"/>
  </r>
  <r>
    <x v="0"/>
    <x v="55"/>
  </r>
  <r>
    <x v="1"/>
    <x v="109"/>
  </r>
  <r>
    <x v="2"/>
    <x v="91"/>
  </r>
  <r>
    <x v="3"/>
    <x v="17"/>
  </r>
  <r>
    <x v="0"/>
    <x v="110"/>
  </r>
  <r>
    <x v="1"/>
    <x v="111"/>
  </r>
  <r>
    <x v="2"/>
    <x v="112"/>
  </r>
  <r>
    <x v="3"/>
    <x v="113"/>
  </r>
  <r>
    <x v="0"/>
    <x v="64"/>
  </r>
  <r>
    <x v="1"/>
    <x v="114"/>
  </r>
  <r>
    <x v="2"/>
    <x v="115"/>
  </r>
  <r>
    <x v="3"/>
    <x v="116"/>
  </r>
  <r>
    <x v="0"/>
    <x v="56"/>
  </r>
  <r>
    <x v="1"/>
    <x v="117"/>
  </r>
  <r>
    <x v="2"/>
    <x v="118"/>
  </r>
  <r>
    <x v="3"/>
    <x v="91"/>
  </r>
  <r>
    <x v="0"/>
    <x v="119"/>
  </r>
  <r>
    <x v="1"/>
    <x v="97"/>
  </r>
  <r>
    <x v="2"/>
    <x v="120"/>
  </r>
  <r>
    <x v="3"/>
    <x v="121"/>
  </r>
  <r>
    <x v="0"/>
    <x v="122"/>
  </r>
  <r>
    <x v="1"/>
    <x v="86"/>
  </r>
  <r>
    <x v="2"/>
    <x v="123"/>
  </r>
  <r>
    <x v="3"/>
    <x v="124"/>
  </r>
  <r>
    <x v="0"/>
    <x v="125"/>
  </r>
  <r>
    <x v="1"/>
    <x v="126"/>
  </r>
  <r>
    <x v="2"/>
    <x v="127"/>
  </r>
  <r>
    <x v="3"/>
    <x v="128"/>
  </r>
  <r>
    <x v="0"/>
    <x v="129"/>
  </r>
  <r>
    <x v="1"/>
    <x v="130"/>
  </r>
  <r>
    <x v="2"/>
    <x v="131"/>
  </r>
  <r>
    <x v="3"/>
    <x v="132"/>
  </r>
  <r>
    <x v="0"/>
    <x v="133"/>
  </r>
  <r>
    <x v="1"/>
    <x v="134"/>
  </r>
  <r>
    <x v="2"/>
    <x v="130"/>
  </r>
  <r>
    <x v="3"/>
    <x v="135"/>
  </r>
  <r>
    <x v="0"/>
    <x v="136"/>
  </r>
  <r>
    <x v="1"/>
    <x v="137"/>
  </r>
  <r>
    <x v="2"/>
    <x v="113"/>
  </r>
  <r>
    <x v="3"/>
    <x v="138"/>
  </r>
  <r>
    <x v="0"/>
    <x v="139"/>
  </r>
  <r>
    <x v="1"/>
    <x v="140"/>
  </r>
  <r>
    <x v="2"/>
    <x v="141"/>
  </r>
  <r>
    <x v="3"/>
    <x v="37"/>
  </r>
  <r>
    <x v="0"/>
    <x v="107"/>
  </r>
  <r>
    <x v="1"/>
    <x v="142"/>
  </r>
  <r>
    <x v="2"/>
    <x v="143"/>
  </r>
  <r>
    <x v="3"/>
    <x v="144"/>
  </r>
  <r>
    <x v="0"/>
    <x v="74"/>
  </r>
  <r>
    <x v="1"/>
    <x v="145"/>
  </r>
  <r>
    <x v="2"/>
    <x v="146"/>
  </r>
  <r>
    <x v="3"/>
    <x v="147"/>
  </r>
  <r>
    <x v="0"/>
    <x v="148"/>
  </r>
  <r>
    <x v="1"/>
    <x v="149"/>
  </r>
  <r>
    <x v="2"/>
    <x v="150"/>
  </r>
  <r>
    <x v="3"/>
    <x v="151"/>
  </r>
  <r>
    <x v="0"/>
    <x v="152"/>
  </r>
  <r>
    <x v="1"/>
    <x v="153"/>
  </r>
  <r>
    <x v="2"/>
    <x v="154"/>
  </r>
  <r>
    <x v="3"/>
    <x v="155"/>
  </r>
  <r>
    <x v="0"/>
    <x v="156"/>
  </r>
  <r>
    <x v="1"/>
    <x v="157"/>
  </r>
  <r>
    <x v="2"/>
    <x v="110"/>
  </r>
  <r>
    <x v="3"/>
    <x v="158"/>
  </r>
  <r>
    <x v="0"/>
    <x v="159"/>
  </r>
  <r>
    <x v="1"/>
    <x v="160"/>
  </r>
  <r>
    <x v="2"/>
    <x v="161"/>
  </r>
  <r>
    <x v="3"/>
    <x v="109"/>
  </r>
  <r>
    <x v="0"/>
    <x v="162"/>
  </r>
  <r>
    <x v="1"/>
    <x v="53"/>
  </r>
  <r>
    <x v="2"/>
    <x v="7"/>
  </r>
  <r>
    <x v="3"/>
    <x v="163"/>
  </r>
  <r>
    <x v="0"/>
    <x v="164"/>
  </r>
  <r>
    <x v="1"/>
    <x v="165"/>
  </r>
  <r>
    <x v="2"/>
    <x v="166"/>
  </r>
  <r>
    <x v="3"/>
    <x v="167"/>
  </r>
  <r>
    <x v="0"/>
    <x v="168"/>
  </r>
  <r>
    <x v="1"/>
    <x v="169"/>
  </r>
  <r>
    <x v="2"/>
    <x v="170"/>
  </r>
  <r>
    <x v="3"/>
    <x v="1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40DDC6-AD0D-4038-8AED-C9ACDABEE3A4}" name="PivotTable1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latform" colHeaderCaption="Year">
  <location ref="AM5:AP11" firstHeaderRow="1" firstDataRow="2" firstDataCol="1"/>
  <pivotFields count="7">
    <pivotField axis="axisRow" showAll="0">
      <items count="5">
        <item x="0"/>
        <item x="1"/>
        <item x="2"/>
        <item x="3"/>
        <item t="default"/>
      </items>
    </pivotField>
    <pivotField numFmtId="14" showAll="0"/>
    <pivotField dataField="1" showAll="0"/>
    <pivotField showAll="0"/>
    <pivotField showAll="0"/>
    <pivotField axis="axisCol" showAll="0">
      <items count="3">
        <item x="0"/>
        <item x="1"/>
        <item t="default"/>
      </items>
    </pivotField>
    <pivotField showAll="0"/>
  </pivotFields>
  <rowFields count="1">
    <field x="0"/>
  </rowFields>
  <rowItems count="5">
    <i>
      <x/>
    </i>
    <i>
      <x v="1"/>
    </i>
    <i>
      <x v="2"/>
    </i>
    <i>
      <x v="3"/>
    </i>
    <i t="grand">
      <x/>
    </i>
  </rowItems>
  <colFields count="1">
    <field x="5"/>
  </colFields>
  <colItems count="3">
    <i>
      <x/>
    </i>
    <i>
      <x v="1"/>
    </i>
    <i t="grand">
      <x/>
    </i>
  </colItems>
  <dataFields count="1">
    <dataField name="Average of Engagement(Likes+Shares+Comments)" fld="2" subtotal="average" baseField="0" baseItem="0"/>
  </dataFields>
  <formats count="10">
    <format dxfId="2">
      <pivotArea type="all" dataOnly="0" outline="0" fieldPosition="0"/>
    </format>
    <format dxfId="3">
      <pivotArea outline="0" collapsedLevelsAreSubtotals="1" fieldPosition="0"/>
    </format>
    <format dxfId="4">
      <pivotArea type="origin" dataOnly="0" labelOnly="1" outline="0" fieldPosition="0"/>
    </format>
    <format dxfId="5">
      <pivotArea field="5" type="button" dataOnly="0" labelOnly="1" outline="0" axis="axisCol" fieldPosition="0"/>
    </format>
    <format dxfId="6">
      <pivotArea type="topRight" dataOnly="0" labelOnly="1" outline="0" fieldPosition="0"/>
    </format>
    <format dxfId="7">
      <pivotArea field="0" type="button" dataOnly="0" labelOnly="1" outline="0" axis="axisRow" fieldPosition="0"/>
    </format>
    <format dxfId="8">
      <pivotArea dataOnly="0" labelOnly="1" fieldPosition="0">
        <references count="1">
          <reference field="0" count="0"/>
        </references>
      </pivotArea>
    </format>
    <format dxfId="9">
      <pivotArea dataOnly="0" labelOnly="1" grandRow="1" outline="0" fieldPosition="0"/>
    </format>
    <format dxfId="10">
      <pivotArea dataOnly="0" labelOnly="1" fieldPosition="0">
        <references count="1">
          <reference field="5" count="0"/>
        </references>
      </pivotArea>
    </format>
    <format dxfId="11">
      <pivotArea dataOnly="0" labelOnly="1" grandCol="1" outline="0" fieldPosition="0"/>
    </format>
  </format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957A34-CD99-41F1-AEB2-4F1F4B156373}"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D7:E12" firstHeaderRow="1" firstDataRow="1" firstDataCol="1"/>
  <pivotFields count="2">
    <pivotField axis="axisRow" showAll="0">
      <items count="5">
        <item x="1"/>
        <item x="0"/>
        <item x="2"/>
        <item x="3"/>
        <item t="default"/>
      </items>
    </pivotField>
    <pivotField dataField="1" showAll="0">
      <items count="173">
        <item x="74"/>
        <item x="163"/>
        <item x="68"/>
        <item x="55"/>
        <item x="65"/>
        <item x="143"/>
        <item x="99"/>
        <item x="168"/>
        <item x="147"/>
        <item x="21"/>
        <item x="81"/>
        <item x="120"/>
        <item x="106"/>
        <item x="66"/>
        <item x="112"/>
        <item x="61"/>
        <item x="5"/>
        <item x="161"/>
        <item x="8"/>
        <item x="153"/>
        <item x="115"/>
        <item x="160"/>
        <item x="15"/>
        <item x="98"/>
        <item x="89"/>
        <item x="94"/>
        <item x="129"/>
        <item x="23"/>
        <item x="108"/>
        <item x="109"/>
        <item x="7"/>
        <item x="152"/>
        <item x="44"/>
        <item x="116"/>
        <item x="64"/>
        <item x="83"/>
        <item x="58"/>
        <item x="35"/>
        <item x="11"/>
        <item x="14"/>
        <item x="166"/>
        <item x="121"/>
        <item x="24"/>
        <item x="95"/>
        <item x="130"/>
        <item x="53"/>
        <item x="72"/>
        <item x="122"/>
        <item x="49"/>
        <item x="169"/>
        <item x="6"/>
        <item x="39"/>
        <item x="32"/>
        <item x="3"/>
        <item x="101"/>
        <item x="133"/>
        <item x="34"/>
        <item x="79"/>
        <item x="17"/>
        <item x="154"/>
        <item x="117"/>
        <item x="137"/>
        <item x="27"/>
        <item x="125"/>
        <item x="22"/>
        <item x="91"/>
        <item x="151"/>
        <item x="96"/>
        <item x="157"/>
        <item x="142"/>
        <item x="69"/>
        <item x="1"/>
        <item x="141"/>
        <item x="92"/>
        <item x="167"/>
        <item x="80"/>
        <item x="118"/>
        <item x="110"/>
        <item x="30"/>
        <item x="77"/>
        <item x="43"/>
        <item x="102"/>
        <item x="31"/>
        <item x="146"/>
        <item x="165"/>
        <item x="114"/>
        <item x="84"/>
        <item x="162"/>
        <item x="47"/>
        <item x="78"/>
        <item x="73"/>
        <item x="41"/>
        <item x="85"/>
        <item x="164"/>
        <item x="37"/>
        <item x="18"/>
        <item x="93"/>
        <item x="40"/>
        <item x="67"/>
        <item x="148"/>
        <item x="97"/>
        <item x="51"/>
        <item x="25"/>
        <item x="155"/>
        <item x="75"/>
        <item x="158"/>
        <item x="135"/>
        <item x="103"/>
        <item x="156"/>
        <item x="159"/>
        <item x="171"/>
        <item x="82"/>
        <item x="12"/>
        <item x="123"/>
        <item x="127"/>
        <item x="50"/>
        <item x="139"/>
        <item x="46"/>
        <item x="131"/>
        <item x="90"/>
        <item x="62"/>
        <item x="100"/>
        <item x="150"/>
        <item x="170"/>
        <item x="33"/>
        <item x="107"/>
        <item x="134"/>
        <item x="36"/>
        <item x="29"/>
        <item x="28"/>
        <item x="87"/>
        <item x="52"/>
        <item x="126"/>
        <item x="0"/>
        <item x="104"/>
        <item x="9"/>
        <item x="63"/>
        <item x="10"/>
        <item x="111"/>
        <item x="76"/>
        <item x="2"/>
        <item x="113"/>
        <item x="105"/>
        <item x="145"/>
        <item x="42"/>
        <item x="26"/>
        <item x="60"/>
        <item x="136"/>
        <item x="144"/>
        <item x="86"/>
        <item x="19"/>
        <item x="20"/>
        <item x="45"/>
        <item x="71"/>
        <item x="57"/>
        <item x="128"/>
        <item x="48"/>
        <item x="4"/>
        <item x="132"/>
        <item x="54"/>
        <item x="13"/>
        <item x="59"/>
        <item x="119"/>
        <item x="56"/>
        <item x="70"/>
        <item x="16"/>
        <item x="140"/>
        <item x="138"/>
        <item x="88"/>
        <item x="38"/>
        <item x="149"/>
        <item x="124"/>
        <item t="default"/>
      </items>
    </pivotField>
  </pivotFields>
  <rowFields count="1">
    <field x="0"/>
  </rowFields>
  <rowItems count="5">
    <i>
      <x/>
    </i>
    <i>
      <x v="1"/>
    </i>
    <i>
      <x v="2"/>
    </i>
    <i>
      <x v="3"/>
    </i>
    <i t="grand">
      <x/>
    </i>
  </rowItems>
  <colItems count="1">
    <i/>
  </colItems>
  <dataFields count="1">
    <dataField name="Average of Engagement_Rate" fld="1" subtotal="average" baseField="0" baseItem="0"/>
  </dataFields>
  <formats count="8">
    <format dxfId="12">
      <pivotArea collapsedLevelsAreSubtotals="1" fieldPosition="0">
        <references count="1">
          <reference field="0" count="1">
            <x v="1"/>
          </reference>
        </references>
      </pivotArea>
    </format>
    <format dxfId="13">
      <pivotArea dataOnly="0" labelOnly="1" fieldPosition="0">
        <references count="1">
          <reference field="0" count="1">
            <x v="1"/>
          </reference>
        </references>
      </pivotArea>
    </format>
    <format dxfId="14">
      <pivotArea type="all" dataOnly="0" outline="0" fieldPosition="0"/>
    </format>
    <format dxfId="15">
      <pivotArea outline="0" collapsedLevelsAreSubtotals="1" fieldPosition="0"/>
    </format>
    <format dxfId="16">
      <pivotArea field="0" type="button" dataOnly="0" labelOnly="1" outline="0" axis="axisRow" fieldPosition="0"/>
    </format>
    <format dxfId="17">
      <pivotArea dataOnly="0" labelOnly="1" fieldPosition="0">
        <references count="1">
          <reference field="0" count="0"/>
        </references>
      </pivotArea>
    </format>
    <format dxfId="18">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8F5A10-7911-4B01-ABBF-EFD2CFE8C6DD}"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7:O20" firstHeaderRow="1" firstDataRow="1" firstDataCol="1"/>
  <pivotFields count="7">
    <pivotField axis="axisRow" showAll="0">
      <items count="5">
        <item x="0"/>
        <item x="1"/>
        <item x="2"/>
        <item x="3"/>
        <item t="default"/>
      </items>
    </pivotField>
    <pivotField showAll="0"/>
    <pivotField axis="axisRow" showAll="0">
      <items count="3">
        <item sd="0" x="0"/>
        <item sd="0" x="1"/>
        <item t="default"/>
      </items>
    </pivotField>
    <pivotField axis="axisRow" showAll="0">
      <items count="13">
        <item h="1" x="7"/>
        <item h="1" x="8"/>
        <item h="1" x="9"/>
        <item h="1" x="10"/>
        <item x="11"/>
        <item x="0"/>
        <item h="1" x="1"/>
        <item h="1" x="2"/>
        <item h="1" x="3"/>
        <item h="1" x="4"/>
        <item h="1" x="5"/>
        <item h="1" x="6"/>
        <item t="default"/>
      </items>
    </pivotField>
    <pivotField axis="axisRow" showAll="0">
      <items count="6">
        <item x="0"/>
        <item x="1"/>
        <item x="2"/>
        <item x="3"/>
        <item x="4"/>
        <item t="default"/>
      </items>
    </pivotField>
    <pivotField showAll="0"/>
    <pivotField dataField="1" showAll="0"/>
  </pivotFields>
  <rowFields count="4">
    <field x="0"/>
    <field x="2"/>
    <field x="3"/>
    <field x="4"/>
  </rowFields>
  <rowItems count="13">
    <i>
      <x/>
    </i>
    <i r="1">
      <x/>
    </i>
    <i r="1">
      <x v="1"/>
    </i>
    <i>
      <x v="1"/>
    </i>
    <i r="1">
      <x/>
    </i>
    <i r="1">
      <x v="1"/>
    </i>
    <i>
      <x v="2"/>
    </i>
    <i r="1">
      <x/>
    </i>
    <i r="1">
      <x v="1"/>
    </i>
    <i>
      <x v="3"/>
    </i>
    <i r="1">
      <x/>
    </i>
    <i r="1">
      <x v="1"/>
    </i>
    <i t="grand">
      <x/>
    </i>
  </rowItems>
  <colItems count="1">
    <i/>
  </colItems>
  <dataFields count="1">
    <dataField name="Average of Growth Rate" fld="6" subtotal="average" baseField="0" baseItem="0"/>
  </dataFields>
  <formats count="2">
    <format dxfId="20">
      <pivotArea field="0" type="button" dataOnly="0" labelOnly="1" outline="0" axis="axisRow" fieldPosition="0"/>
    </format>
    <format dxfId="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5B2060-BC1D-40BD-90A5-92E4F5C0A26F}"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latform" colHeaderCaption="Year">
  <location ref="AE8:AG21" firstHeaderRow="0" firstDataRow="1" firstDataCol="1"/>
  <pivotFields count="7">
    <pivotField axis="axisRow" showAll="0">
      <items count="5">
        <item x="0"/>
        <item x="1"/>
        <item x="2"/>
        <item x="3"/>
        <item t="default"/>
      </items>
    </pivotField>
    <pivotField numFmtId="14" showAll="0"/>
    <pivotField dataField="1" showAll="0"/>
    <pivotField showAll="0"/>
    <pivotField showAll="0"/>
    <pivotField axis="axisRow" showAll="0">
      <items count="3">
        <item x="0"/>
        <item x="1"/>
        <item t="default"/>
      </items>
    </pivotField>
    <pivotField dataField="1" showAll="0"/>
  </pivotFields>
  <rowFields count="2">
    <field x="0"/>
    <field x="5"/>
  </rowFields>
  <rowItems count="13">
    <i>
      <x/>
    </i>
    <i r="1">
      <x/>
    </i>
    <i r="1">
      <x v="1"/>
    </i>
    <i>
      <x v="1"/>
    </i>
    <i r="1">
      <x/>
    </i>
    <i r="1">
      <x v="1"/>
    </i>
    <i>
      <x v="2"/>
    </i>
    <i r="1">
      <x/>
    </i>
    <i r="1">
      <x v="1"/>
    </i>
    <i>
      <x v="3"/>
    </i>
    <i r="1">
      <x/>
    </i>
    <i r="1">
      <x v="1"/>
    </i>
    <i t="grand">
      <x/>
    </i>
  </rowItems>
  <colFields count="1">
    <field x="-2"/>
  </colFields>
  <colItems count="2">
    <i>
      <x/>
    </i>
    <i i="1">
      <x v="1"/>
    </i>
  </colItems>
  <dataFields count="2">
    <dataField name="Average of Engagement" fld="2" subtotal="average" baseField="0" baseItem="0"/>
    <dataField name="Average of ad spent" fld="6" subtotal="average"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1"/>
          </reference>
          <reference field="5" count="1" selected="0">
            <x v="0"/>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1"/>
          </reference>
          <reference field="5"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D1AA8A-D5E5-4BAF-9999-B384746A1BE5}" sourceName="Year">
  <data>
    <tabular pivotCacheId="857418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593D631-E7E9-4179-BAEF-F75DA2387EEF}" sourceName="Month">
  <data>
    <tabular pivotCacheId="85741821">
      <items count="12">
        <i x="7"/>
        <i x="8"/>
        <i x="9"/>
        <i x="10"/>
        <i x="11" s="1"/>
        <i x="0" s="1"/>
        <i x="1"/>
        <i x="2"/>
        <i x="3"/>
        <i x="4"/>
        <i x="5"/>
        <i x="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64FD8560-075E-47E2-B0F2-CE8801CAB201}" sourceName="Week ">
  <data>
    <tabular pivotCacheId="8574182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50569BA-C83D-4C82-8536-4F12CFD1873F}" cache="Slicer_Year" caption="Year" rowHeight="230716"/>
  <slicer name="Month" xr10:uid="{E4BAFE55-7FCB-486C-A073-8FF6AE4DE982}" cache="Slicer_Month" caption="Month" startItem="4" rowHeight="230716"/>
  <slicer name="Week " xr10:uid="{61F30D6F-7384-43BF-9244-D81100A26F01}" cache="Slicer_Week" caption="Week " rowHeight="23071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00153-857E-49D6-8C3E-001E2913488C}">
  <dimension ref="B2:AP344"/>
  <sheetViews>
    <sheetView tabSelected="1" workbookViewId="0">
      <selection activeCell="E29" sqref="E29"/>
    </sheetView>
  </sheetViews>
  <sheetFormatPr defaultColWidth="11.42578125" defaultRowHeight="15" x14ac:dyDescent="0.25"/>
  <cols>
    <col min="2" max="2" width="0" hidden="1" customWidth="1"/>
    <col min="3" max="3" width="22.85546875" hidden="1" customWidth="1"/>
    <col min="4" max="4" width="12.140625" bestFit="1" customWidth="1"/>
    <col min="5" max="5" width="23.85546875" bestFit="1" customWidth="1"/>
    <col min="6" max="6" width="4.7109375" customWidth="1"/>
    <col min="7" max="7" width="8.7109375" bestFit="1" customWidth="1"/>
    <col min="8" max="8" width="9.28515625" customWidth="1"/>
    <col min="9" max="9" width="5.140625" bestFit="1" customWidth="1"/>
    <col min="10" max="10" width="12.7109375" customWidth="1"/>
    <col min="11" max="12" width="9.42578125" customWidth="1"/>
    <col min="13" max="13" width="13" customWidth="1"/>
    <col min="14" max="14" width="13.140625" bestFit="1" customWidth="1"/>
    <col min="15" max="15" width="22.5703125" bestFit="1" customWidth="1"/>
    <col min="16" max="16" width="12.7109375" bestFit="1" customWidth="1"/>
    <col min="17" max="17" width="12.140625" bestFit="1" customWidth="1"/>
    <col min="18" max="20" width="12.7109375" bestFit="1" customWidth="1"/>
    <col min="21" max="21" width="19.42578125" bestFit="1" customWidth="1"/>
    <col min="22" max="22" width="5.7109375" style="2" customWidth="1"/>
    <col min="23" max="23" width="10.28515625" bestFit="1" customWidth="1"/>
    <col min="24" max="24" width="8.42578125" style="3" bestFit="1" customWidth="1"/>
    <col min="25" max="25" width="21.42578125" customWidth="1"/>
    <col min="26" max="27" width="12.140625" bestFit="1" customWidth="1"/>
    <col min="28" max="28" width="12.140625" customWidth="1"/>
    <col min="29" max="29" width="12.140625" bestFit="1" customWidth="1"/>
    <col min="30" max="30" width="3.7109375" customWidth="1"/>
    <col min="31" max="31" width="10.28515625" bestFit="1" customWidth="1"/>
    <col min="32" max="32" width="19.28515625" bestFit="1" customWidth="1"/>
    <col min="33" max="33" width="16.28515625" bestFit="1" customWidth="1"/>
    <col min="34" max="34" width="19.28515625" bestFit="1" customWidth="1"/>
    <col min="35" max="35" width="16.28515625" bestFit="1" customWidth="1"/>
    <col min="36" max="36" width="23.7109375" bestFit="1" customWidth="1"/>
    <col min="37" max="37" width="20.42578125" bestFit="1" customWidth="1"/>
    <col min="38" max="38" width="12.140625" bestFit="1" customWidth="1"/>
    <col min="39" max="39" width="39.85546875" bestFit="1" customWidth="1"/>
    <col min="40" max="40" width="14.85546875" bestFit="1" customWidth="1"/>
    <col min="41" max="43" width="12.140625" bestFit="1" customWidth="1"/>
    <col min="44" max="44" width="12.7109375" bestFit="1" customWidth="1"/>
    <col min="45" max="49" width="12.140625" bestFit="1" customWidth="1"/>
    <col min="50" max="51" width="12.7109375" bestFit="1" customWidth="1"/>
    <col min="52" max="52" width="12.140625" bestFit="1" customWidth="1"/>
    <col min="53" max="54" width="12.7109375" bestFit="1" customWidth="1"/>
  </cols>
  <sheetData>
    <row r="2" spans="2:42" x14ac:dyDescent="0.25">
      <c r="H2" s="1" t="s">
        <v>0</v>
      </c>
      <c r="I2" s="1"/>
      <c r="J2" s="1"/>
      <c r="K2" s="1"/>
      <c r="L2" s="1"/>
      <c r="M2" s="1"/>
      <c r="N2" s="1"/>
      <c r="O2" s="1"/>
      <c r="P2" s="1"/>
      <c r="Q2" s="1"/>
      <c r="R2" s="1"/>
    </row>
    <row r="3" spans="2:42" x14ac:dyDescent="0.25">
      <c r="H3" s="1"/>
      <c r="I3" s="1"/>
      <c r="J3" s="1"/>
      <c r="K3" s="1"/>
      <c r="L3" s="1"/>
      <c r="M3" s="1"/>
      <c r="N3" s="1"/>
      <c r="O3" s="1"/>
      <c r="P3" s="1"/>
      <c r="Q3" s="1"/>
      <c r="R3" s="1"/>
    </row>
    <row r="4" spans="2:42" x14ac:dyDescent="0.25">
      <c r="X4" s="4" t="s">
        <v>1</v>
      </c>
      <c r="Y4" s="4"/>
      <c r="Z4" s="4"/>
      <c r="AA4" s="4"/>
      <c r="AB4" s="4"/>
      <c r="AC4" s="4"/>
      <c r="AD4" s="4"/>
      <c r="AE4" s="4"/>
      <c r="AF4" s="4"/>
      <c r="AG4" s="4"/>
      <c r="AH4" s="4"/>
      <c r="AI4" s="4"/>
      <c r="AJ4" s="4"/>
      <c r="AK4" s="4"/>
      <c r="AM4" s="5" t="s">
        <v>2</v>
      </c>
      <c r="AN4" s="5"/>
      <c r="AO4" s="5"/>
      <c r="AP4" s="5"/>
    </row>
    <row r="5" spans="2:42" ht="29.1" customHeight="1" x14ac:dyDescent="0.25">
      <c r="I5" s="6" t="s">
        <v>3</v>
      </c>
      <c r="J5" s="6"/>
      <c r="K5" s="6"/>
      <c r="L5" s="6"/>
      <c r="M5" s="6"/>
      <c r="N5" s="6"/>
      <c r="O5" s="6"/>
      <c r="P5" s="6"/>
      <c r="Q5" s="6"/>
      <c r="R5" s="6"/>
      <c r="S5" s="6"/>
      <c r="T5" s="6"/>
      <c r="W5" s="7" t="s">
        <v>4</v>
      </c>
      <c r="X5" s="8" t="s">
        <v>5</v>
      </c>
      <c r="Y5" s="9" t="s">
        <v>6</v>
      </c>
      <c r="Z5" s="10" t="s">
        <v>7</v>
      </c>
      <c r="AA5" s="10" t="s">
        <v>8</v>
      </c>
      <c r="AB5" s="10" t="s">
        <v>9</v>
      </c>
      <c r="AC5" s="10" t="s">
        <v>10</v>
      </c>
      <c r="AM5" s="11" t="s">
        <v>11</v>
      </c>
      <c r="AN5" s="11" t="s">
        <v>9</v>
      </c>
      <c r="AO5" s="11"/>
      <c r="AP5" s="11"/>
    </row>
    <row r="6" spans="2:42" ht="33" customHeight="1" x14ac:dyDescent="0.25">
      <c r="D6" s="12" t="s">
        <v>12</v>
      </c>
      <c r="E6" s="13"/>
      <c r="U6" s="14"/>
      <c r="W6" s="11" t="s">
        <v>13</v>
      </c>
      <c r="X6" s="15">
        <v>45444</v>
      </c>
      <c r="Y6" s="11">
        <f xml:space="preserve"> SUM([1]!Posts[[#This Row],[Likes]],[1]!Posts[[#This Row],[Shares]],[1]!Posts[[#This Row],[Comments]])</f>
        <v>2949</v>
      </c>
      <c r="Z6" s="11">
        <f>MONTH(X6)</f>
        <v>6</v>
      </c>
      <c r="AA6" s="11">
        <f>INT((DAY(X6)-1)/7)+1</f>
        <v>1</v>
      </c>
      <c r="AB6" s="11">
        <f>YEAR(X6)</f>
        <v>2024</v>
      </c>
      <c r="AC6" s="11" cm="1">
        <f t="array" ref="AC6">_xlfn.XLOOKUP(1, ('[1]Engagement Summary(Task1)'!$J$2:$J$201=Social_Media_Platform_Analysis!$AA6)*('[1]Engagement Summary(Task1)'!$I$2:$I$201=Social_Media_Platform_Analysis!$Z6)*('[1]Engagement Summary(Task1)'!$H$2:$H$201=Social_Media_Platform_Analysis!$AB6)*('[1]Engagement Summary(Task1)'!$B$2:$B$201=Social_Media_Platform_Analysis!$W6),'[1]Engagement Summary(Task1)'!$G$2:$G$201)</f>
        <v>9566</v>
      </c>
      <c r="AM6" s="11" t="s">
        <v>4</v>
      </c>
      <c r="AN6" s="11">
        <v>2024</v>
      </c>
      <c r="AO6" s="11">
        <v>2025</v>
      </c>
      <c r="AP6" s="11" t="s">
        <v>14</v>
      </c>
    </row>
    <row r="7" spans="2:42" x14ac:dyDescent="0.25">
      <c r="B7" s="16" t="str" cm="1">
        <f t="array" ref="B7:B207">_xlfn.TAKE('[1]Engagement Summary(Task1)'!B:B,201,1)</f>
        <v>Platform</v>
      </c>
      <c r="C7" s="17" t="str" cm="1">
        <f t="array" ref="C7:C207">_xlfn.TAKE('[1]Engagement Summary(Task1)'!F1:F201,201,1)</f>
        <v>Engagement_Rate</v>
      </c>
      <c r="D7" s="11" t="s">
        <v>4</v>
      </c>
      <c r="E7" s="11" t="s">
        <v>15</v>
      </c>
      <c r="G7" s="16" t="str" cm="1">
        <f t="array" ref="G7:G207">_xlfn.TAKE('[1]Engagement Summary(Task1)'!B1:B201,201,1)</f>
        <v>Platform</v>
      </c>
      <c r="H7" s="16" t="str" cm="1">
        <f t="array" ref="H7:H207">_xlfn.TAKE('[1]Engagement Summary(Task1)'!E:E,201,1)</f>
        <v>Total_Followers</v>
      </c>
      <c r="I7" s="16" t="str" cm="1">
        <f t="array" ref="I7:I207">_xlfn.TAKE('[1]Engagement Summary(Task1)'!H:H,201,1)</f>
        <v>Year</v>
      </c>
      <c r="J7" s="16" t="str" cm="1">
        <f t="array" ref="J7:J207">_xlfn.TAKE('[1]Engagement Summary(Task1)'!I:I,201,1)</f>
        <v>Month</v>
      </c>
      <c r="K7" s="16" t="str" cm="1">
        <f t="array" ref="K7:K207">_xlfn.TAKE('[1]Engagement Summary(Task1)'!J:J,201,1)</f>
        <v xml:space="preserve">Week </v>
      </c>
      <c r="L7" s="16" t="str" cm="1">
        <f t="array" ref="L7:L207">_xlfn.TAKE('[1]Engagement Summary(Task1)'!K:K,201,1)</f>
        <v>Netgrowth</v>
      </c>
      <c r="M7" s="16" t="str" cm="1">
        <f t="array" ref="M7:M207">_xlfn.TAKE('[1]Engagement Summary(Task1)'!L:L,201,1)</f>
        <v>Growth Rate</v>
      </c>
      <c r="N7" s="34" t="s">
        <v>16</v>
      </c>
      <c r="O7" s="20" t="s">
        <v>17</v>
      </c>
      <c r="W7" s="11" t="s">
        <v>13</v>
      </c>
      <c r="X7" s="15">
        <v>45445</v>
      </c>
      <c r="Y7" s="11">
        <f xml:space="preserve"> SUM([1]!Posts[[#This Row],[Likes]],[1]!Posts[[#This Row],[Shares]],[1]!Posts[[#This Row],[Comments]])</f>
        <v>2905</v>
      </c>
      <c r="Z7" s="11">
        <f t="shared" ref="Z7:Z70" si="0">MONTH(X7)</f>
        <v>6</v>
      </c>
      <c r="AA7" s="11">
        <f t="shared" ref="AA7:AA70" si="1">INT((DAY(X7)-1)/7)+1</f>
        <v>1</v>
      </c>
      <c r="AB7" s="11">
        <f t="shared" ref="AB7:AB70" si="2">YEAR(X7)</f>
        <v>2024</v>
      </c>
      <c r="AC7" s="11" cm="1">
        <f t="array" ref="AC7">_xlfn.XLOOKUP(1, ('[1]Engagement Summary(Task1)'!$J$2:$J$201=Social_Media_Platform_Analysis!$AA7)*('[1]Engagement Summary(Task1)'!$I$2:$I$201=Social_Media_Platform_Analysis!$Z7)*('[1]Engagement Summary(Task1)'!$H$2:$H$201=Social_Media_Platform_Analysis!$AB7)*('[1]Engagement Summary(Task1)'!$B$2:$B$201=Social_Media_Platform_Analysis!$W7),'[1]Engagement Summary(Task1)'!$G$2:$G$201)</f>
        <v>9566</v>
      </c>
      <c r="AM7" s="21" t="s">
        <v>13</v>
      </c>
      <c r="AN7" s="11">
        <v>3327.2372881355932</v>
      </c>
      <c r="AO7" s="11">
        <v>2487.4117647058824</v>
      </c>
      <c r="AP7" s="11">
        <v>3020.2043010752686</v>
      </c>
    </row>
    <row r="8" spans="2:42" x14ac:dyDescent="0.25">
      <c r="B8" s="11" t="str">
        <v>Facebook</v>
      </c>
      <c r="C8" s="18">
        <v>4.9800000000000004E-2</v>
      </c>
      <c r="D8" s="21" t="s">
        <v>13</v>
      </c>
      <c r="E8" s="11">
        <v>5.6485999999999995E-2</v>
      </c>
      <c r="G8" s="11" t="str">
        <v>Facebook</v>
      </c>
      <c r="H8" s="11">
        <v>42654</v>
      </c>
      <c r="I8" s="19">
        <v>2024</v>
      </c>
      <c r="J8" s="19">
        <v>6</v>
      </c>
      <c r="K8" s="19">
        <v>1</v>
      </c>
      <c r="L8" s="19">
        <v>1002</v>
      </c>
      <c r="M8" s="19">
        <v>1</v>
      </c>
      <c r="N8" s="22" t="s">
        <v>13</v>
      </c>
      <c r="O8" s="33">
        <v>1.0858216658316799</v>
      </c>
      <c r="V8"/>
      <c r="W8" s="11" t="s">
        <v>13</v>
      </c>
      <c r="X8" s="15">
        <v>45454</v>
      </c>
      <c r="Y8" s="11">
        <f xml:space="preserve"> SUM([1]!Posts[[#This Row],[Likes]],[1]!Posts[[#This Row],[Shares]],[1]!Posts[[#This Row],[Comments]])</f>
        <v>4668</v>
      </c>
      <c r="Z8" s="11">
        <f t="shared" si="0"/>
        <v>6</v>
      </c>
      <c r="AA8" s="11">
        <f t="shared" si="1"/>
        <v>2</v>
      </c>
      <c r="AB8" s="11">
        <f t="shared" si="2"/>
        <v>2024</v>
      </c>
      <c r="AC8" s="11" cm="1">
        <f t="array" ref="AC8">_xlfn.XLOOKUP(1, ('[1]Engagement Summary(Task1)'!$J$2:$J$201=Social_Media_Platform_Analysis!$AA8)*('[1]Engagement Summary(Task1)'!$I$2:$I$201=Social_Media_Platform_Analysis!$Z8)*('[1]Engagement Summary(Task1)'!$H$2:$H$201=Social_Media_Platform_Analysis!$AB8)*('[1]Engagement Summary(Task1)'!$B$2:$B$201=Social_Media_Platform_Analysis!$W8),'[1]Engagement Summary(Task1)'!$G$2:$G$201)</f>
        <v>7924</v>
      </c>
      <c r="AE8" t="s">
        <v>4</v>
      </c>
      <c r="AF8" t="s">
        <v>18</v>
      </c>
      <c r="AG8" t="s">
        <v>19</v>
      </c>
      <c r="AM8" s="21" t="s">
        <v>20</v>
      </c>
      <c r="AN8" s="11">
        <v>3659.1525423728813</v>
      </c>
      <c r="AO8" s="11">
        <v>3756.5172413793102</v>
      </c>
      <c r="AP8" s="11">
        <v>3691.2386363636365</v>
      </c>
    </row>
    <row r="9" spans="2:42" x14ac:dyDescent="0.25">
      <c r="B9" s="11" t="str">
        <v>Facebook</v>
      </c>
      <c r="C9" s="18">
        <v>2.3700000000000002E-2</v>
      </c>
      <c r="D9" s="23" t="s">
        <v>20</v>
      </c>
      <c r="E9" s="24">
        <v>5.7155999999999992E-2</v>
      </c>
      <c r="G9" s="11" t="str">
        <v>Facebook</v>
      </c>
      <c r="H9" s="11">
        <v>316555</v>
      </c>
      <c r="I9" s="11">
        <v>2024</v>
      </c>
      <c r="J9" s="11">
        <v>6</v>
      </c>
      <c r="K9" s="11">
        <v>2</v>
      </c>
      <c r="L9" s="11">
        <v>1283</v>
      </c>
      <c r="M9" s="11">
        <v>1.280439121756487</v>
      </c>
      <c r="N9" s="25">
        <v>2024</v>
      </c>
      <c r="O9" s="33">
        <v>1.1414989134069196</v>
      </c>
      <c r="V9"/>
      <c r="W9" s="11" t="s">
        <v>13</v>
      </c>
      <c r="X9" s="15">
        <v>45454</v>
      </c>
      <c r="Y9" s="11">
        <f xml:space="preserve"> SUM([1]!Posts[[#This Row],[Likes]],[1]!Posts[[#This Row],[Shares]],[1]!Posts[[#This Row],[Comments]])</f>
        <v>4668</v>
      </c>
      <c r="Z9" s="11">
        <f t="shared" si="0"/>
        <v>6</v>
      </c>
      <c r="AA9" s="11">
        <f t="shared" si="1"/>
        <v>2</v>
      </c>
      <c r="AB9" s="11">
        <f t="shared" si="2"/>
        <v>2024</v>
      </c>
      <c r="AC9" s="11" cm="1">
        <f t="array" ref="AC9">_xlfn.XLOOKUP(1, ('[1]Engagement Summary(Task1)'!$J$2:$J$201=Social_Media_Platform_Analysis!$AA9)*('[1]Engagement Summary(Task1)'!$I$2:$I$201=Social_Media_Platform_Analysis!$Z9)*('[1]Engagement Summary(Task1)'!$H$2:$H$201=Social_Media_Platform_Analysis!$AB9)*('[1]Engagement Summary(Task1)'!$B$2:$B$201=Social_Media_Platform_Analysis!$W9),'[1]Engagement Summary(Task1)'!$G$2:$G$201)</f>
        <v>7924</v>
      </c>
      <c r="AE9" s="22" t="s">
        <v>13</v>
      </c>
      <c r="AF9">
        <v>3020.2043010752686</v>
      </c>
      <c r="AG9">
        <v>27501.666666666668</v>
      </c>
      <c r="AM9" s="21" t="s">
        <v>21</v>
      </c>
      <c r="AN9" s="11">
        <v>3472.2222222222222</v>
      </c>
      <c r="AO9" s="11">
        <v>3310.8157894736842</v>
      </c>
      <c r="AP9" s="11">
        <v>3405.554347826087</v>
      </c>
    </row>
    <row r="10" spans="2:42" x14ac:dyDescent="0.25">
      <c r="B10" s="11" t="str">
        <v>Facebook</v>
      </c>
      <c r="C10" s="18">
        <v>8.1099999999999992E-2</v>
      </c>
      <c r="D10" s="21" t="s">
        <v>21</v>
      </c>
      <c r="E10" s="11">
        <v>5.6557999999999983E-2</v>
      </c>
      <c r="G10" s="11" t="str">
        <v>Facebook</v>
      </c>
      <c r="H10" s="11">
        <v>169496</v>
      </c>
      <c r="I10" s="11">
        <v>2024</v>
      </c>
      <c r="J10" s="11">
        <v>6</v>
      </c>
      <c r="K10" s="11">
        <v>3</v>
      </c>
      <c r="L10" s="11">
        <v>1382</v>
      </c>
      <c r="M10" s="11">
        <v>1.0771628994544038</v>
      </c>
      <c r="N10" s="25">
        <v>2025</v>
      </c>
      <c r="O10" s="33">
        <v>0.97446717068120103</v>
      </c>
      <c r="V10"/>
      <c r="W10" s="11" t="s">
        <v>13</v>
      </c>
      <c r="X10" s="15">
        <v>45456</v>
      </c>
      <c r="Y10" s="11">
        <f xml:space="preserve"> SUM([1]!Posts[[#This Row],[Likes]],[1]!Posts[[#This Row],[Shares]],[1]!Posts[[#This Row],[Comments]])</f>
        <v>4230</v>
      </c>
      <c r="Z10" s="11">
        <f t="shared" si="0"/>
        <v>6</v>
      </c>
      <c r="AA10" s="11">
        <f t="shared" si="1"/>
        <v>2</v>
      </c>
      <c r="AB10" s="11">
        <f t="shared" si="2"/>
        <v>2024</v>
      </c>
      <c r="AC10" s="11" cm="1">
        <f t="array" ref="AC10">_xlfn.XLOOKUP(1, ('[1]Engagement Summary(Task1)'!$J$2:$J$201=Social_Media_Platform_Analysis!$AA10)*('[1]Engagement Summary(Task1)'!$I$2:$I$201=Social_Media_Platform_Analysis!$Z10)*('[1]Engagement Summary(Task1)'!$H$2:$H$201=Social_Media_Platform_Analysis!$AB10)*('[1]Engagement Summary(Task1)'!$B$2:$B$201=Social_Media_Platform_Analysis!$W10),'[1]Engagement Summary(Task1)'!$G$2:$G$201)</f>
        <v>7924</v>
      </c>
      <c r="AE10" s="25">
        <v>2024</v>
      </c>
      <c r="AF10">
        <v>3327.2372881355932</v>
      </c>
      <c r="AG10">
        <v>24532.576271186441</v>
      </c>
      <c r="AM10" s="21" t="s">
        <v>22</v>
      </c>
      <c r="AN10" s="11">
        <v>3931.1463414634145</v>
      </c>
      <c r="AO10" s="11">
        <v>3526.16</v>
      </c>
      <c r="AP10" s="11">
        <v>3777.742424242424</v>
      </c>
    </row>
    <row r="11" spans="2:42" x14ac:dyDescent="0.25">
      <c r="B11" s="11" t="str">
        <v>Facebook</v>
      </c>
      <c r="C11" s="18">
        <v>9.1199999999999989E-2</v>
      </c>
      <c r="D11" s="21" t="s">
        <v>22</v>
      </c>
      <c r="E11" s="11">
        <v>5.5587999999999978E-2</v>
      </c>
      <c r="G11" s="11" t="str">
        <v>Facebook</v>
      </c>
      <c r="H11" s="11">
        <v>26295</v>
      </c>
      <c r="I11" s="11">
        <v>2024</v>
      </c>
      <c r="J11" s="11">
        <v>6</v>
      </c>
      <c r="K11" s="11">
        <v>4</v>
      </c>
      <c r="L11" s="11">
        <v>1670</v>
      </c>
      <c r="M11" s="11">
        <v>1.2083936324167872</v>
      </c>
      <c r="N11" s="22" t="s">
        <v>20</v>
      </c>
      <c r="O11" s="33">
        <v>1.0046728019836275</v>
      </c>
      <c r="V11"/>
      <c r="W11" s="11" t="s">
        <v>13</v>
      </c>
      <c r="X11" s="15">
        <v>45460</v>
      </c>
      <c r="Y11" s="11">
        <f xml:space="preserve"> SUM([1]!Posts[[#This Row],[Likes]],[1]!Posts[[#This Row],[Shares]],[1]!Posts[[#This Row],[Comments]])</f>
        <v>4340</v>
      </c>
      <c r="Z11" s="11">
        <f t="shared" si="0"/>
        <v>6</v>
      </c>
      <c r="AA11" s="11">
        <f t="shared" si="1"/>
        <v>3</v>
      </c>
      <c r="AB11" s="11">
        <f t="shared" si="2"/>
        <v>2024</v>
      </c>
      <c r="AC11" s="11" cm="1">
        <f t="array" ref="AC11">_xlfn.XLOOKUP(1, ('[1]Engagement Summary(Task1)'!$J$2:$J$201=Social_Media_Platform_Analysis!$AA11)*('[1]Engagement Summary(Task1)'!$I$2:$I$201=Social_Media_Platform_Analysis!$Z11)*('[1]Engagement Summary(Task1)'!$H$2:$H$201=Social_Media_Platform_Analysis!$AB11)*('[1]Engagement Summary(Task1)'!$B$2:$B$201=Social_Media_Platform_Analysis!$W11),'[1]Engagement Summary(Task1)'!$G$2:$G$201)</f>
        <v>46670</v>
      </c>
      <c r="AE11" s="25">
        <v>2025</v>
      </c>
      <c r="AF11">
        <v>2487.4117647058824</v>
      </c>
      <c r="AG11">
        <v>32653.911764705881</v>
      </c>
      <c r="AM11" s="21" t="s">
        <v>14</v>
      </c>
      <c r="AN11" s="11">
        <v>3572.1784037558687</v>
      </c>
      <c r="AO11" s="11">
        <v>3233.936507936508</v>
      </c>
      <c r="AP11" s="11">
        <v>3446.4601769911505</v>
      </c>
    </row>
    <row r="12" spans="2:42" x14ac:dyDescent="0.25">
      <c r="B12" s="11" t="str">
        <v>Facebook</v>
      </c>
      <c r="C12" s="18">
        <v>4.4800000000000006E-2</v>
      </c>
      <c r="D12" s="21" t="s">
        <v>14</v>
      </c>
      <c r="E12" s="11">
        <v>5.6446999999999969E-2</v>
      </c>
      <c r="G12" s="11" t="str">
        <v>Facebook</v>
      </c>
      <c r="H12" s="11">
        <v>220020</v>
      </c>
      <c r="I12" s="11">
        <v>2024</v>
      </c>
      <c r="J12" s="11">
        <v>7</v>
      </c>
      <c r="K12" s="11">
        <v>1</v>
      </c>
      <c r="L12" s="11">
        <v>64</v>
      </c>
      <c r="M12" s="11">
        <v>3.8323353293413173E-2</v>
      </c>
      <c r="N12" s="25">
        <v>2024</v>
      </c>
      <c r="O12" s="33">
        <v>0.98135795363998157</v>
      </c>
      <c r="V12"/>
      <c r="W12" s="11" t="s">
        <v>13</v>
      </c>
      <c r="X12" s="15">
        <v>45462</v>
      </c>
      <c r="Y12" s="11">
        <f xml:space="preserve"> SUM([1]!Posts[[#This Row],[Likes]],[1]!Posts[[#This Row],[Shares]],[1]!Posts[[#This Row],[Comments]])</f>
        <v>4469</v>
      </c>
      <c r="Z12" s="11">
        <f t="shared" si="0"/>
        <v>6</v>
      </c>
      <c r="AA12" s="11">
        <f t="shared" si="1"/>
        <v>3</v>
      </c>
      <c r="AB12" s="11">
        <f t="shared" si="2"/>
        <v>2024</v>
      </c>
      <c r="AC12" s="11" cm="1">
        <f t="array" ref="AC12">_xlfn.XLOOKUP(1, ('[1]Engagement Summary(Task1)'!$J$2:$J$201=Social_Media_Platform_Analysis!$AA12)*('[1]Engagement Summary(Task1)'!$I$2:$I$201=Social_Media_Platform_Analysis!$Z12)*('[1]Engagement Summary(Task1)'!$H$2:$H$201=Social_Media_Platform_Analysis!$AB12)*('[1]Engagement Summary(Task1)'!$B$2:$B$201=Social_Media_Platform_Analysis!$W12),'[1]Engagement Summary(Task1)'!$G$2:$G$201)</f>
        <v>46670</v>
      </c>
      <c r="AE12" s="22" t="s">
        <v>20</v>
      </c>
      <c r="AF12">
        <v>3691.2386363636365</v>
      </c>
      <c r="AG12">
        <v>25164.93181818182</v>
      </c>
    </row>
    <row r="13" spans="2:42" x14ac:dyDescent="0.25">
      <c r="B13" s="11" t="str">
        <v>Facebook</v>
      </c>
      <c r="C13" s="11">
        <v>1.9099999999999999E-2</v>
      </c>
      <c r="G13" s="11" t="str">
        <v>Facebook</v>
      </c>
      <c r="H13" s="11">
        <v>251694</v>
      </c>
      <c r="I13" s="11">
        <v>2024</v>
      </c>
      <c r="J13" s="11">
        <v>7</v>
      </c>
      <c r="K13" s="11">
        <v>2</v>
      </c>
      <c r="L13" s="11">
        <v>309</v>
      </c>
      <c r="M13" s="11">
        <v>4.828125</v>
      </c>
      <c r="N13" s="25">
        <v>2025</v>
      </c>
      <c r="O13" s="33">
        <v>1.0513024986709198</v>
      </c>
      <c r="V13"/>
      <c r="W13" s="11" t="s">
        <v>13</v>
      </c>
      <c r="X13" s="15">
        <v>45463</v>
      </c>
      <c r="Y13" s="11">
        <f xml:space="preserve"> SUM([1]!Posts[[#This Row],[Likes]],[1]!Posts[[#This Row],[Shares]],[1]!Posts[[#This Row],[Comments]])</f>
        <v>4996</v>
      </c>
      <c r="Z13" s="11">
        <f t="shared" si="0"/>
        <v>6</v>
      </c>
      <c r="AA13" s="11">
        <f t="shared" si="1"/>
        <v>3</v>
      </c>
      <c r="AB13" s="11">
        <f t="shared" si="2"/>
        <v>2024</v>
      </c>
      <c r="AC13" s="11" cm="1">
        <f t="array" ref="AC13">_xlfn.XLOOKUP(1, ('[1]Engagement Summary(Task1)'!$J$2:$J$201=Social_Media_Platform_Analysis!$AA13)*('[1]Engagement Summary(Task1)'!$I$2:$I$201=Social_Media_Platform_Analysis!$Z13)*('[1]Engagement Summary(Task1)'!$H$2:$H$201=Social_Media_Platform_Analysis!$AB13)*('[1]Engagement Summary(Task1)'!$B$2:$B$201=Social_Media_Platform_Analysis!$W13),'[1]Engagement Summary(Task1)'!$G$2:$G$201)</f>
        <v>46670</v>
      </c>
      <c r="AE13" s="25">
        <v>2024</v>
      </c>
      <c r="AF13">
        <v>3659.1525423728813</v>
      </c>
      <c r="AG13">
        <v>25947.033898305086</v>
      </c>
      <c r="AM13" s="12" t="s">
        <v>23</v>
      </c>
      <c r="AN13" s="13"/>
      <c r="AO13" s="13"/>
      <c r="AP13" s="13"/>
    </row>
    <row r="14" spans="2:42" x14ac:dyDescent="0.25">
      <c r="B14" s="11" t="str">
        <v>Facebook</v>
      </c>
      <c r="C14" s="11">
        <v>6.4399999999999999E-2</v>
      </c>
      <c r="G14" s="11" t="str">
        <v>Facebook</v>
      </c>
      <c r="H14" s="11">
        <v>334626</v>
      </c>
      <c r="I14" s="11">
        <v>2024</v>
      </c>
      <c r="J14" s="11">
        <v>7</v>
      </c>
      <c r="K14" s="11">
        <v>3</v>
      </c>
      <c r="L14" s="11">
        <v>-164</v>
      </c>
      <c r="M14" s="11">
        <v>-0.53074433656957931</v>
      </c>
      <c r="N14" s="22" t="s">
        <v>21</v>
      </c>
      <c r="O14" s="33">
        <v>1.8043864511422463</v>
      </c>
      <c r="W14" s="11" t="s">
        <v>13</v>
      </c>
      <c r="X14" s="15">
        <v>45465</v>
      </c>
      <c r="Y14" s="11">
        <f xml:space="preserve"> SUM([1]!Posts[[#This Row],[Likes]],[1]!Posts[[#This Row],[Shares]],[1]!Posts[[#This Row],[Comments]])</f>
        <v>5190</v>
      </c>
      <c r="Z14" s="11">
        <f t="shared" si="0"/>
        <v>6</v>
      </c>
      <c r="AA14" s="11">
        <f t="shared" si="1"/>
        <v>4</v>
      </c>
      <c r="AB14" s="11">
        <f t="shared" si="2"/>
        <v>2024</v>
      </c>
      <c r="AC14" s="11" cm="1">
        <f t="array" ref="AC14">_xlfn.XLOOKUP(1, ('[1]Engagement Summary(Task1)'!$J$2:$J$201=Social_Media_Platform_Analysis!$AA14)*('[1]Engagement Summary(Task1)'!$I$2:$I$201=Social_Media_Platform_Analysis!$Z14)*('[1]Engagement Summary(Task1)'!$H$2:$H$201=Social_Media_Platform_Analysis!$AB14)*('[1]Engagement Summary(Task1)'!$B$2:$B$201=Social_Media_Platform_Analysis!$W14),'[1]Engagement Summary(Task1)'!$G$2:$G$201)</f>
        <v>30635</v>
      </c>
      <c r="AE14" s="25">
        <v>2025</v>
      </c>
      <c r="AF14">
        <v>3756.5172413793102</v>
      </c>
      <c r="AG14">
        <v>23573.758620689656</v>
      </c>
    </row>
    <row r="15" spans="2:42" x14ac:dyDescent="0.25">
      <c r="B15" s="11" t="str">
        <v>Facebook</v>
      </c>
      <c r="C15" s="11">
        <v>7.8600000000000003E-2</v>
      </c>
      <c r="G15" s="11" t="str">
        <v>Facebook</v>
      </c>
      <c r="H15" s="11">
        <v>295032</v>
      </c>
      <c r="I15" s="11">
        <v>2024</v>
      </c>
      <c r="J15" s="11">
        <v>7</v>
      </c>
      <c r="K15" s="11">
        <v>4</v>
      </c>
      <c r="L15" s="11">
        <v>961</v>
      </c>
      <c r="M15" s="11">
        <v>-5.8597560975609753</v>
      </c>
      <c r="N15" s="25">
        <v>2024</v>
      </c>
      <c r="O15" s="33">
        <v>2.2638365018174578</v>
      </c>
      <c r="W15" s="11" t="s">
        <v>13</v>
      </c>
      <c r="X15" s="15">
        <v>45465</v>
      </c>
      <c r="Y15" s="11">
        <f xml:space="preserve"> SUM([1]!Posts[[#This Row],[Likes]],[1]!Posts[[#This Row],[Shares]],[1]!Posts[[#This Row],[Comments]])</f>
        <v>2903</v>
      </c>
      <c r="Z15" s="11">
        <f t="shared" si="0"/>
        <v>6</v>
      </c>
      <c r="AA15" s="11">
        <f t="shared" si="1"/>
        <v>4</v>
      </c>
      <c r="AB15" s="11">
        <f t="shared" si="2"/>
        <v>2024</v>
      </c>
      <c r="AC15" s="11" cm="1">
        <f t="array" ref="AC15">_xlfn.XLOOKUP(1, ('[1]Engagement Summary(Task1)'!$J$2:$J$201=Social_Media_Platform_Analysis!$AA15)*('[1]Engagement Summary(Task1)'!$I$2:$I$201=Social_Media_Platform_Analysis!$Z15)*('[1]Engagement Summary(Task1)'!$H$2:$H$201=Social_Media_Platform_Analysis!$AB15)*('[1]Engagement Summary(Task1)'!$B$2:$B$201=Social_Media_Platform_Analysis!$W15),'[1]Engagement Summary(Task1)'!$G$2:$G$201)</f>
        <v>30635</v>
      </c>
      <c r="AE15" s="22" t="s">
        <v>21</v>
      </c>
      <c r="AF15">
        <v>3405.554347826087</v>
      </c>
      <c r="AG15">
        <v>20814.760869565216</v>
      </c>
    </row>
    <row r="16" spans="2:42" x14ac:dyDescent="0.25">
      <c r="B16" s="11" t="str">
        <v>Facebook</v>
      </c>
      <c r="C16" s="11">
        <v>7.7300000000000008E-2</v>
      </c>
      <c r="G16" s="11" t="str">
        <v>Facebook</v>
      </c>
      <c r="H16" s="11">
        <v>435034</v>
      </c>
      <c r="I16" s="11">
        <v>2024</v>
      </c>
      <c r="J16" s="11">
        <v>7</v>
      </c>
      <c r="K16" s="11">
        <v>5</v>
      </c>
      <c r="L16" s="11">
        <v>-318</v>
      </c>
      <c r="M16" s="11">
        <v>-0.33090530697190429</v>
      </c>
      <c r="N16" s="25">
        <v>2025</v>
      </c>
      <c r="O16" s="33">
        <v>0.88548634979182383</v>
      </c>
      <c r="W16" s="11" t="s">
        <v>13</v>
      </c>
      <c r="X16" s="15">
        <v>45480</v>
      </c>
      <c r="Y16" s="11">
        <f xml:space="preserve"> SUM([1]!Posts[[#This Row],[Likes]],[1]!Posts[[#This Row],[Shares]],[1]!Posts[[#This Row],[Comments]])</f>
        <v>3009</v>
      </c>
      <c r="Z16" s="11">
        <f t="shared" si="0"/>
        <v>7</v>
      </c>
      <c r="AA16" s="11">
        <f t="shared" si="1"/>
        <v>1</v>
      </c>
      <c r="AB16" s="11">
        <f t="shared" si="2"/>
        <v>2024</v>
      </c>
      <c r="AC16" s="11" cm="1">
        <f t="array" ref="AC16">_xlfn.XLOOKUP(1, ('[1]Engagement Summary(Task1)'!$J$2:$J$201=Social_Media_Platform_Analysis!$AA16)*('[1]Engagement Summary(Task1)'!$I$2:$I$201=Social_Media_Platform_Analysis!$Z16)*('[1]Engagement Summary(Task1)'!$H$2:$H$201=Social_Media_Platform_Analysis!$AB16)*('[1]Engagement Summary(Task1)'!$B$2:$B$201=Social_Media_Platform_Analysis!$W16),'[1]Engagement Summary(Task1)'!$G$2:$G$201)</f>
        <v>42307</v>
      </c>
      <c r="AE16" s="25">
        <v>2024</v>
      </c>
      <c r="AF16">
        <v>3472.2222222222222</v>
      </c>
      <c r="AG16">
        <v>21786.870370370369</v>
      </c>
    </row>
    <row r="17" spans="2:42" x14ac:dyDescent="0.25">
      <c r="B17" s="11" t="str">
        <v>Facebook</v>
      </c>
      <c r="C17" s="11">
        <v>6.1100000000000002E-2</v>
      </c>
      <c r="G17" s="11" t="str">
        <v>Facebook</v>
      </c>
      <c r="H17" s="11">
        <v>125034</v>
      </c>
      <c r="I17" s="11">
        <v>2024</v>
      </c>
      <c r="J17" s="11">
        <v>8</v>
      </c>
      <c r="K17" s="11">
        <v>1</v>
      </c>
      <c r="L17" s="11">
        <v>-197</v>
      </c>
      <c r="M17" s="11">
        <v>0.61949685534591192</v>
      </c>
      <c r="N17" s="22" t="s">
        <v>22</v>
      </c>
      <c r="O17" s="33">
        <v>0.4753812131702384</v>
      </c>
      <c r="W17" s="11" t="s">
        <v>13</v>
      </c>
      <c r="X17" s="15">
        <v>45480</v>
      </c>
      <c r="Y17" s="11">
        <f xml:space="preserve"> SUM([1]!Posts[[#This Row],[Likes]],[1]!Posts[[#This Row],[Shares]],[1]!Posts[[#This Row],[Comments]])</f>
        <v>1688</v>
      </c>
      <c r="Z17" s="11">
        <f t="shared" si="0"/>
        <v>7</v>
      </c>
      <c r="AA17" s="11">
        <f t="shared" si="1"/>
        <v>1</v>
      </c>
      <c r="AB17" s="11">
        <f t="shared" si="2"/>
        <v>2024</v>
      </c>
      <c r="AC17" s="11" cm="1">
        <f t="array" ref="AC17">_xlfn.XLOOKUP(1, ('[1]Engagement Summary(Task1)'!$J$2:$J$201=Social_Media_Platform_Analysis!$AA17)*('[1]Engagement Summary(Task1)'!$I$2:$I$201=Social_Media_Platform_Analysis!$Z17)*('[1]Engagement Summary(Task1)'!$H$2:$H$201=Social_Media_Platform_Analysis!$AB17)*('[1]Engagement Summary(Task1)'!$B$2:$B$201=Social_Media_Platform_Analysis!$W17),'[1]Engagement Summary(Task1)'!$G$2:$G$201)</f>
        <v>42307</v>
      </c>
      <c r="AE17" s="25">
        <v>2025</v>
      </c>
      <c r="AF17">
        <v>3310.8157894736842</v>
      </c>
      <c r="AG17">
        <v>19433.342105263157</v>
      </c>
    </row>
    <row r="18" spans="2:42" x14ac:dyDescent="0.25">
      <c r="B18" s="11" t="str">
        <v>Facebook</v>
      </c>
      <c r="C18" s="11">
        <v>6.0100000000000001E-2</v>
      </c>
      <c r="D18" s="26" t="s">
        <v>24</v>
      </c>
      <c r="E18" s="26"/>
      <c r="G18" s="11" t="str">
        <v>Facebook</v>
      </c>
      <c r="H18" s="11">
        <v>307612</v>
      </c>
      <c r="I18" s="11">
        <v>2024</v>
      </c>
      <c r="J18" s="11">
        <v>8</v>
      </c>
      <c r="K18" s="11">
        <v>2</v>
      </c>
      <c r="L18" s="11">
        <v>1334</v>
      </c>
      <c r="M18" s="11">
        <v>-6.7715736040609134</v>
      </c>
      <c r="N18" s="25">
        <v>2024</v>
      </c>
      <c r="O18" s="33">
        <v>0.47149391188280693</v>
      </c>
      <c r="W18" s="11" t="s">
        <v>13</v>
      </c>
      <c r="X18" s="15">
        <v>45488</v>
      </c>
      <c r="Y18" s="11">
        <f xml:space="preserve"> SUM([1]!Posts[[#This Row],[Likes]],[1]!Posts[[#This Row],[Shares]],[1]!Posts[[#This Row],[Comments]])</f>
        <v>4928</v>
      </c>
      <c r="Z18" s="11">
        <f t="shared" si="0"/>
        <v>7</v>
      </c>
      <c r="AA18" s="11">
        <f t="shared" si="1"/>
        <v>3</v>
      </c>
      <c r="AB18" s="11">
        <f t="shared" si="2"/>
        <v>2024</v>
      </c>
      <c r="AC18" s="11" cm="1">
        <f t="array" ref="AC18">_xlfn.XLOOKUP(1, ('[1]Engagement Summary(Task1)'!$J$2:$J$201=Social_Media_Platform_Analysis!$AA18)*('[1]Engagement Summary(Task1)'!$I$2:$I$201=Social_Media_Platform_Analysis!$Z18)*('[1]Engagement Summary(Task1)'!$H$2:$H$201=Social_Media_Platform_Analysis!$AB18)*('[1]Engagement Summary(Task1)'!$B$2:$B$201=Social_Media_Platform_Analysis!$W18),'[1]Engagement Summary(Task1)'!$G$2:$G$201)</f>
        <v>43420</v>
      </c>
      <c r="AE18" s="22" t="s">
        <v>22</v>
      </c>
      <c r="AF18">
        <v>3777.742424242424</v>
      </c>
      <c r="AG18">
        <v>28013.045454545456</v>
      </c>
    </row>
    <row r="19" spans="2:42" x14ac:dyDescent="0.25">
      <c r="B19" s="11" t="str">
        <v>Facebook</v>
      </c>
      <c r="C19" s="11">
        <v>8.8399999999999992E-2</v>
      </c>
      <c r="D19" s="27" t="s">
        <v>25</v>
      </c>
      <c r="E19" s="28" t="s">
        <v>26</v>
      </c>
      <c r="G19" s="11" t="str">
        <v>Facebook</v>
      </c>
      <c r="H19" s="11">
        <v>183924</v>
      </c>
      <c r="I19" s="11">
        <v>2024</v>
      </c>
      <c r="J19" s="11">
        <v>8</v>
      </c>
      <c r="K19" s="11">
        <v>3</v>
      </c>
      <c r="L19" s="11">
        <v>1058</v>
      </c>
      <c r="M19" s="11">
        <v>0.7931034482758621</v>
      </c>
      <c r="N19" s="25">
        <v>2025</v>
      </c>
      <c r="O19" s="33">
        <v>0.48315581574510147</v>
      </c>
      <c r="W19" s="11" t="s">
        <v>13</v>
      </c>
      <c r="X19" s="15">
        <v>45488</v>
      </c>
      <c r="Y19" s="11">
        <f xml:space="preserve"> SUM([1]!Posts[[#This Row],[Likes]],[1]!Posts[[#This Row],[Shares]],[1]!Posts[[#This Row],[Comments]])</f>
        <v>4620</v>
      </c>
      <c r="Z19" s="11">
        <f t="shared" si="0"/>
        <v>7</v>
      </c>
      <c r="AA19" s="11">
        <f t="shared" si="1"/>
        <v>3</v>
      </c>
      <c r="AB19" s="11">
        <f t="shared" si="2"/>
        <v>2024</v>
      </c>
      <c r="AC19" s="11" cm="1">
        <f t="array" ref="AC19">_xlfn.XLOOKUP(1, ('[1]Engagement Summary(Task1)'!$J$2:$J$201=Social_Media_Platform_Analysis!$AA19)*('[1]Engagement Summary(Task1)'!$I$2:$I$201=Social_Media_Platform_Analysis!$Z19)*('[1]Engagement Summary(Task1)'!$H$2:$H$201=Social_Media_Platform_Analysis!$AB19)*('[1]Engagement Summary(Task1)'!$B$2:$B$201=Social_Media_Platform_Analysis!$W19),'[1]Engagement Summary(Task1)'!$G$2:$G$201)</f>
        <v>43420</v>
      </c>
      <c r="AE19" s="25">
        <v>2024</v>
      </c>
      <c r="AF19">
        <v>3931.1463414634145</v>
      </c>
      <c r="AG19">
        <v>27745.829268292684</v>
      </c>
    </row>
    <row r="20" spans="2:42" x14ac:dyDescent="0.25">
      <c r="B20" s="11" t="str">
        <v>Facebook</v>
      </c>
      <c r="C20" s="11">
        <v>9.0399999999999994E-2</v>
      </c>
      <c r="D20" s="27"/>
      <c r="E20" s="29"/>
      <c r="G20" s="11" t="str">
        <v>Facebook</v>
      </c>
      <c r="H20" s="11">
        <v>379380</v>
      </c>
      <c r="I20" s="11">
        <v>2024</v>
      </c>
      <c r="J20" s="11">
        <v>8</v>
      </c>
      <c r="K20" s="11">
        <v>4</v>
      </c>
      <c r="L20" s="11">
        <v>37</v>
      </c>
      <c r="M20" s="11">
        <v>3.4971644612476371E-2</v>
      </c>
      <c r="N20" s="22" t="s">
        <v>14</v>
      </c>
      <c r="O20" s="33">
        <v>1.0925655330319481</v>
      </c>
      <c r="W20" s="11" t="s">
        <v>13</v>
      </c>
      <c r="X20" s="15">
        <v>45488</v>
      </c>
      <c r="Y20" s="11">
        <f xml:space="preserve"> SUM([1]!Posts[[#This Row],[Likes]],[1]!Posts[[#This Row],[Shares]],[1]!Posts[[#This Row],[Comments]])</f>
        <v>4189</v>
      </c>
      <c r="Z20" s="11">
        <f t="shared" si="0"/>
        <v>7</v>
      </c>
      <c r="AA20" s="11">
        <f t="shared" si="1"/>
        <v>3</v>
      </c>
      <c r="AB20" s="11">
        <f t="shared" si="2"/>
        <v>2024</v>
      </c>
      <c r="AC20" s="11" cm="1">
        <f t="array" ref="AC20">_xlfn.XLOOKUP(1, ('[1]Engagement Summary(Task1)'!$J$2:$J$201=Social_Media_Platform_Analysis!$AA20)*('[1]Engagement Summary(Task1)'!$I$2:$I$201=Social_Media_Platform_Analysis!$Z20)*('[1]Engagement Summary(Task1)'!$H$2:$H$201=Social_Media_Platform_Analysis!$AB20)*('[1]Engagement Summary(Task1)'!$B$2:$B$201=Social_Media_Platform_Analysis!$W20),'[1]Engagement Summary(Task1)'!$G$2:$G$201)</f>
        <v>43420</v>
      </c>
      <c r="AE20" s="25">
        <v>2025</v>
      </c>
      <c r="AF20">
        <v>3526.16</v>
      </c>
      <c r="AG20">
        <v>28451.279999999999</v>
      </c>
    </row>
    <row r="21" spans="2:42" x14ac:dyDescent="0.25">
      <c r="B21" s="11" t="str">
        <v>Facebook</v>
      </c>
      <c r="C21" s="11">
        <v>6.4100000000000004E-2</v>
      </c>
      <c r="D21" s="27"/>
      <c r="E21" s="29"/>
      <c r="G21" s="11" t="str">
        <v>Facebook</v>
      </c>
      <c r="H21" s="11">
        <v>496982</v>
      </c>
      <c r="I21" s="11">
        <v>2024</v>
      </c>
      <c r="J21" s="11">
        <v>9</v>
      </c>
      <c r="K21" s="11">
        <v>1</v>
      </c>
      <c r="L21" s="11">
        <v>1045</v>
      </c>
      <c r="M21" s="11">
        <v>28.243243243243242</v>
      </c>
      <c r="W21" s="11" t="s">
        <v>13</v>
      </c>
      <c r="X21" s="15">
        <v>45488</v>
      </c>
      <c r="Y21" s="11">
        <f xml:space="preserve"> SUM([1]!Posts[[#This Row],[Likes]],[1]!Posts[[#This Row],[Shares]],[1]!Posts[[#This Row],[Comments]])</f>
        <v>5022</v>
      </c>
      <c r="Z21" s="11">
        <f t="shared" si="0"/>
        <v>7</v>
      </c>
      <c r="AA21" s="11">
        <f t="shared" si="1"/>
        <v>3</v>
      </c>
      <c r="AB21" s="11">
        <f t="shared" si="2"/>
        <v>2024</v>
      </c>
      <c r="AC21" s="11" cm="1">
        <f t="array" ref="AC21">_xlfn.XLOOKUP(1, ('[1]Engagement Summary(Task1)'!$J$2:$J$201=Social_Media_Platform_Analysis!$AA21)*('[1]Engagement Summary(Task1)'!$I$2:$I$201=Social_Media_Platform_Analysis!$Z21)*('[1]Engagement Summary(Task1)'!$H$2:$H$201=Social_Media_Platform_Analysis!$AB21)*('[1]Engagement Summary(Task1)'!$B$2:$B$201=Social_Media_Platform_Analysis!$W21),'[1]Engagement Summary(Task1)'!$G$2:$G$201)</f>
        <v>43420</v>
      </c>
      <c r="AE21" s="22" t="s">
        <v>14</v>
      </c>
      <c r="AF21">
        <v>3446.4601769911505</v>
      </c>
      <c r="AG21">
        <v>25179.905604719763</v>
      </c>
    </row>
    <row r="22" spans="2:42" x14ac:dyDescent="0.25">
      <c r="B22" s="11" t="str">
        <v>Facebook</v>
      </c>
      <c r="C22" s="11">
        <v>1.7600000000000001E-2</v>
      </c>
      <c r="D22" s="27"/>
      <c r="E22" s="29"/>
      <c r="G22" s="11" t="str">
        <v>Facebook</v>
      </c>
      <c r="H22" s="11">
        <v>307524</v>
      </c>
      <c r="I22" s="11">
        <v>2024</v>
      </c>
      <c r="J22" s="11">
        <v>9</v>
      </c>
      <c r="K22" s="11">
        <v>2</v>
      </c>
      <c r="L22" s="11">
        <v>1428</v>
      </c>
      <c r="M22" s="11">
        <v>1.3665071770334929</v>
      </c>
      <c r="W22" s="11" t="s">
        <v>13</v>
      </c>
      <c r="X22" s="15">
        <v>45494</v>
      </c>
      <c r="Y22" s="11">
        <f xml:space="preserve"> SUM([1]!Posts[[#This Row],[Likes]],[1]!Posts[[#This Row],[Shares]],[1]!Posts[[#This Row],[Comments]])</f>
        <v>3707</v>
      </c>
      <c r="Z22" s="11">
        <f t="shared" si="0"/>
        <v>7</v>
      </c>
      <c r="AA22" s="11">
        <f t="shared" si="1"/>
        <v>3</v>
      </c>
      <c r="AB22" s="11">
        <f t="shared" si="2"/>
        <v>2024</v>
      </c>
      <c r="AC22" s="11" cm="1">
        <f t="array" ref="AC22">_xlfn.XLOOKUP(1, ('[1]Engagement Summary(Task1)'!$J$2:$J$201=Social_Media_Platform_Analysis!$AA22)*('[1]Engagement Summary(Task1)'!$I$2:$I$201=Social_Media_Platform_Analysis!$Z22)*('[1]Engagement Summary(Task1)'!$H$2:$H$201=Social_Media_Platform_Analysis!$AB22)*('[1]Engagement Summary(Task1)'!$B$2:$B$201=Social_Media_Platform_Analysis!$W22),'[1]Engagement Summary(Task1)'!$G$2:$G$201)</f>
        <v>43420</v>
      </c>
    </row>
    <row r="23" spans="2:42" x14ac:dyDescent="0.25">
      <c r="B23" s="11" t="str">
        <v>Facebook</v>
      </c>
      <c r="C23" s="11">
        <v>9.1999999999999998E-2</v>
      </c>
      <c r="D23" s="27" t="s">
        <v>27</v>
      </c>
      <c r="E23" s="27" t="s">
        <v>28</v>
      </c>
      <c r="G23" s="11" t="str">
        <v>Facebook</v>
      </c>
      <c r="H23" s="11">
        <v>474162</v>
      </c>
      <c r="I23" s="11">
        <v>2024</v>
      </c>
      <c r="J23" s="11">
        <v>9</v>
      </c>
      <c r="K23" s="11">
        <v>3</v>
      </c>
      <c r="L23" s="11">
        <v>98</v>
      </c>
      <c r="M23" s="11">
        <v>6.8627450980392163E-2</v>
      </c>
      <c r="W23" s="11" t="s">
        <v>13</v>
      </c>
      <c r="X23" s="15">
        <v>45504</v>
      </c>
      <c r="Y23" s="11">
        <f xml:space="preserve"> SUM([1]!Posts[[#This Row],[Likes]],[1]!Posts[[#This Row],[Shares]],[1]!Posts[[#This Row],[Comments]])</f>
        <v>1612</v>
      </c>
      <c r="Z23" s="11">
        <f t="shared" si="0"/>
        <v>7</v>
      </c>
      <c r="AA23" s="11">
        <f t="shared" si="1"/>
        <v>5</v>
      </c>
      <c r="AB23" s="11">
        <f t="shared" si="2"/>
        <v>2024</v>
      </c>
      <c r="AC23" s="11" cm="1">
        <f t="array" ref="AC23">_xlfn.XLOOKUP(1, ('[1]Engagement Summary(Task1)'!$J$2:$J$201=Social_Media_Platform_Analysis!$AA23)*('[1]Engagement Summary(Task1)'!$I$2:$I$201=Social_Media_Platform_Analysis!$Z23)*('[1]Engagement Summary(Task1)'!$H$2:$H$201=Social_Media_Platform_Analysis!$AB23)*('[1]Engagement Summary(Task1)'!$B$2:$B$201=Social_Media_Platform_Analysis!$W23),'[1]Engagement Summary(Task1)'!$G$2:$G$201)</f>
        <v>4839</v>
      </c>
    </row>
    <row r="24" spans="2:42" x14ac:dyDescent="0.25">
      <c r="B24" s="11" t="str">
        <v>Facebook</v>
      </c>
      <c r="C24" s="11">
        <v>7.3599999999999999E-2</v>
      </c>
      <c r="D24" s="27"/>
      <c r="E24" s="27"/>
      <c r="G24" s="11" t="str">
        <v>Facebook</v>
      </c>
      <c r="H24" s="11">
        <v>239753</v>
      </c>
      <c r="I24" s="11">
        <v>2024</v>
      </c>
      <c r="J24" s="11">
        <v>9</v>
      </c>
      <c r="K24" s="11">
        <v>4</v>
      </c>
      <c r="L24" s="11">
        <v>-19</v>
      </c>
      <c r="M24" s="11">
        <v>-0.19387755102040816</v>
      </c>
      <c r="W24" s="11" t="s">
        <v>13</v>
      </c>
      <c r="X24" s="15">
        <v>45504</v>
      </c>
      <c r="Y24" s="11">
        <f xml:space="preserve"> SUM([1]!Posts[[#This Row],[Likes]],[1]!Posts[[#This Row],[Shares]],[1]!Posts[[#This Row],[Comments]])</f>
        <v>4915</v>
      </c>
      <c r="Z24" s="11">
        <f t="shared" si="0"/>
        <v>7</v>
      </c>
      <c r="AA24" s="11">
        <f t="shared" si="1"/>
        <v>5</v>
      </c>
      <c r="AB24" s="11">
        <f t="shared" si="2"/>
        <v>2024</v>
      </c>
      <c r="AC24" s="11" cm="1">
        <f t="array" ref="AC24">_xlfn.XLOOKUP(1, ('[1]Engagement Summary(Task1)'!$J$2:$J$201=Social_Media_Platform_Analysis!$AA24)*('[1]Engagement Summary(Task1)'!$I$2:$I$201=Social_Media_Platform_Analysis!$Z24)*('[1]Engagement Summary(Task1)'!$H$2:$H$201=Social_Media_Platform_Analysis!$AB24)*('[1]Engagement Summary(Task1)'!$B$2:$B$201=Social_Media_Platform_Analysis!$W24),'[1]Engagement Summary(Task1)'!$G$2:$G$201)</f>
        <v>4839</v>
      </c>
    </row>
    <row r="25" spans="2:42" x14ac:dyDescent="0.25">
      <c r="B25" s="11" t="str">
        <v>Facebook</v>
      </c>
      <c r="C25" s="11">
        <v>1.77E-2</v>
      </c>
      <c r="D25" s="27"/>
      <c r="E25" s="27"/>
      <c r="G25" s="11" t="str">
        <v>Facebook</v>
      </c>
      <c r="H25" s="11">
        <v>453423</v>
      </c>
      <c r="I25" s="11">
        <v>2024</v>
      </c>
      <c r="J25" s="11">
        <v>9</v>
      </c>
      <c r="K25" s="11">
        <v>5</v>
      </c>
      <c r="L25" s="11">
        <v>-179</v>
      </c>
      <c r="M25" s="11">
        <v>9.4210526315789469</v>
      </c>
      <c r="W25" s="11" t="s">
        <v>13</v>
      </c>
      <c r="X25" s="15">
        <v>45509</v>
      </c>
      <c r="Y25" s="11">
        <f xml:space="preserve"> SUM([1]!Posts[[#This Row],[Likes]],[1]!Posts[[#This Row],[Shares]],[1]!Posts[[#This Row],[Comments]])</f>
        <v>5606</v>
      </c>
      <c r="Z25" s="11">
        <f t="shared" si="0"/>
        <v>8</v>
      </c>
      <c r="AA25" s="11">
        <f t="shared" si="1"/>
        <v>1</v>
      </c>
      <c r="AB25" s="11">
        <f t="shared" si="2"/>
        <v>2024</v>
      </c>
      <c r="AC25" s="11" cm="1">
        <f t="array" ref="AC25">_xlfn.XLOOKUP(1, ('[1]Engagement Summary(Task1)'!$J$2:$J$201=Social_Media_Platform_Analysis!$AA25)*('[1]Engagement Summary(Task1)'!$I$2:$I$201=Social_Media_Platform_Analysis!$Z25)*('[1]Engagement Summary(Task1)'!$H$2:$H$201=Social_Media_Platform_Analysis!$AB25)*('[1]Engagement Summary(Task1)'!$B$2:$B$201=Social_Media_Platform_Analysis!$W25),'[1]Engagement Summary(Task1)'!$G$2:$G$201)</f>
        <v>26455</v>
      </c>
    </row>
    <row r="26" spans="2:42" x14ac:dyDescent="0.25">
      <c r="B26" s="11" t="str">
        <v>Facebook</v>
      </c>
      <c r="C26" s="11">
        <v>1.7500000000000002E-2</v>
      </c>
      <c r="D26" s="30" t="s">
        <v>29</v>
      </c>
      <c r="E26" s="30" t="s">
        <v>30</v>
      </c>
      <c r="G26" s="11" t="str">
        <v>Facebook</v>
      </c>
      <c r="H26" s="11">
        <v>379363</v>
      </c>
      <c r="I26" s="11">
        <v>2024</v>
      </c>
      <c r="J26" s="11">
        <v>10</v>
      </c>
      <c r="K26" s="11">
        <v>1</v>
      </c>
      <c r="L26" s="11">
        <v>1662</v>
      </c>
      <c r="M26" s="11">
        <v>-9.2849162011173192</v>
      </c>
      <c r="W26" s="11" t="s">
        <v>13</v>
      </c>
      <c r="X26" s="15">
        <v>45518</v>
      </c>
      <c r="Y26" s="11">
        <f xml:space="preserve"> SUM([1]!Posts[[#This Row],[Likes]],[1]!Posts[[#This Row],[Shares]],[1]!Posts[[#This Row],[Comments]])</f>
        <v>2017</v>
      </c>
      <c r="Z26" s="11">
        <f t="shared" si="0"/>
        <v>8</v>
      </c>
      <c r="AA26" s="11">
        <f t="shared" si="1"/>
        <v>2</v>
      </c>
      <c r="AB26" s="11">
        <f t="shared" si="2"/>
        <v>2024</v>
      </c>
      <c r="AC26" s="11" cm="1">
        <f t="array" ref="AC26">_xlfn.XLOOKUP(1, ('[1]Engagement Summary(Task1)'!$J$2:$J$201=Social_Media_Platform_Analysis!$AA26)*('[1]Engagement Summary(Task1)'!$I$2:$I$201=Social_Media_Platform_Analysis!$Z26)*('[1]Engagement Summary(Task1)'!$H$2:$H$201=Social_Media_Platform_Analysis!$AB26)*('[1]Engagement Summary(Task1)'!$B$2:$B$201=Social_Media_Platform_Analysis!$W26),'[1]Engagement Summary(Task1)'!$G$2:$G$201)</f>
        <v>37903</v>
      </c>
    </row>
    <row r="27" spans="2:42" x14ac:dyDescent="0.25">
      <c r="B27" s="11" t="str">
        <v>Facebook</v>
      </c>
      <c r="C27" s="11">
        <v>3.8800000000000001E-2</v>
      </c>
      <c r="D27" s="30" t="s">
        <v>31</v>
      </c>
      <c r="E27" s="30" t="s">
        <v>32</v>
      </c>
      <c r="G27" s="11" t="str">
        <v>Facebook</v>
      </c>
      <c r="H27" s="11">
        <v>157599</v>
      </c>
      <c r="I27" s="11">
        <v>2024</v>
      </c>
      <c r="J27" s="11">
        <v>10</v>
      </c>
      <c r="K27" s="11">
        <v>2</v>
      </c>
      <c r="L27" s="11">
        <v>285</v>
      </c>
      <c r="M27" s="11">
        <v>0.17148014440433212</v>
      </c>
      <c r="W27" s="11" t="s">
        <v>13</v>
      </c>
      <c r="X27" s="15">
        <v>45521</v>
      </c>
      <c r="Y27" s="11">
        <f xml:space="preserve"> SUM([1]!Posts[[#This Row],[Likes]],[1]!Posts[[#This Row],[Shares]],[1]!Posts[[#This Row],[Comments]])</f>
        <v>2469</v>
      </c>
      <c r="Z27" s="11">
        <f t="shared" si="0"/>
        <v>8</v>
      </c>
      <c r="AA27" s="11">
        <f t="shared" si="1"/>
        <v>3</v>
      </c>
      <c r="AB27" s="11">
        <f t="shared" si="2"/>
        <v>2024</v>
      </c>
      <c r="AC27" s="11" cm="1">
        <f t="array" ref="AC27">_xlfn.XLOOKUP(1, ('[1]Engagement Summary(Task1)'!$J$2:$J$201=Social_Media_Platform_Analysis!$AA27)*('[1]Engagement Summary(Task1)'!$I$2:$I$201=Social_Media_Platform_Analysis!$Z27)*('[1]Engagement Summary(Task1)'!$H$2:$H$201=Social_Media_Platform_Analysis!$AB27)*('[1]Engagement Summary(Task1)'!$B$2:$B$201=Social_Media_Platform_Analysis!$W27),'[1]Engagement Summary(Task1)'!$G$2:$G$201)</f>
        <v>14203</v>
      </c>
    </row>
    <row r="28" spans="2:42" x14ac:dyDescent="0.25">
      <c r="B28" s="11" t="str">
        <v>Facebook</v>
      </c>
      <c r="C28" s="11">
        <v>3.1600000000000003E-2</v>
      </c>
      <c r="G28" s="11" t="str">
        <v>Facebook</v>
      </c>
      <c r="H28" s="11">
        <v>23492</v>
      </c>
      <c r="I28" s="11">
        <v>2024</v>
      </c>
      <c r="J28" s="11">
        <v>10</v>
      </c>
      <c r="K28" s="11">
        <v>3</v>
      </c>
      <c r="L28" s="11">
        <v>439</v>
      </c>
      <c r="M28" s="11">
        <v>1.5403508771929824</v>
      </c>
      <c r="W28" s="11" t="s">
        <v>13</v>
      </c>
      <c r="X28" s="15">
        <v>45523</v>
      </c>
      <c r="Y28" s="11">
        <f xml:space="preserve"> SUM([1]!Posts[[#This Row],[Likes]],[1]!Posts[[#This Row],[Shares]],[1]!Posts[[#This Row],[Comments]])</f>
        <v>2469</v>
      </c>
      <c r="Z28" s="11">
        <f t="shared" si="0"/>
        <v>8</v>
      </c>
      <c r="AA28" s="11">
        <f t="shared" si="1"/>
        <v>3</v>
      </c>
      <c r="AB28" s="11">
        <f t="shared" si="2"/>
        <v>2024</v>
      </c>
      <c r="AC28" s="11" cm="1">
        <f t="array" ref="AC28">_xlfn.XLOOKUP(1, ('[1]Engagement Summary(Task1)'!$J$2:$J$201=Social_Media_Platform_Analysis!$AA28)*('[1]Engagement Summary(Task1)'!$I$2:$I$201=Social_Media_Platform_Analysis!$Z28)*('[1]Engagement Summary(Task1)'!$H$2:$H$201=Social_Media_Platform_Analysis!$AB28)*('[1]Engagement Summary(Task1)'!$B$2:$B$201=Social_Media_Platform_Analysis!$W28),'[1]Engagement Summary(Task1)'!$G$2:$G$201)</f>
        <v>14203</v>
      </c>
    </row>
    <row r="29" spans="2:42" x14ac:dyDescent="0.25">
      <c r="B29" s="11" t="str">
        <v>Facebook</v>
      </c>
      <c r="C29" s="11">
        <v>4.4600000000000001E-2</v>
      </c>
      <c r="G29" s="11" t="str">
        <v>Facebook</v>
      </c>
      <c r="H29" s="11">
        <v>209987</v>
      </c>
      <c r="I29" s="11">
        <v>2024</v>
      </c>
      <c r="J29" s="11">
        <v>10</v>
      </c>
      <c r="K29" s="11">
        <v>4</v>
      </c>
      <c r="L29" s="11">
        <v>386</v>
      </c>
      <c r="M29" s="11">
        <v>0.87927107061503418</v>
      </c>
      <c r="W29" s="11" t="s">
        <v>13</v>
      </c>
      <c r="X29" s="15">
        <v>45523</v>
      </c>
      <c r="Y29" s="11">
        <f xml:space="preserve"> SUM([1]!Posts[[#This Row],[Likes]],[1]!Posts[[#This Row],[Shares]],[1]!Posts[[#This Row],[Comments]])</f>
        <v>4853</v>
      </c>
      <c r="Z29" s="11">
        <f t="shared" si="0"/>
        <v>8</v>
      </c>
      <c r="AA29" s="11">
        <f t="shared" si="1"/>
        <v>3</v>
      </c>
      <c r="AB29" s="11">
        <f t="shared" si="2"/>
        <v>2024</v>
      </c>
      <c r="AC29" s="11" cm="1">
        <f t="array" ref="AC29">_xlfn.XLOOKUP(1, ('[1]Engagement Summary(Task1)'!$J$2:$J$201=Social_Media_Platform_Analysis!$AA29)*('[1]Engagement Summary(Task1)'!$I$2:$I$201=Social_Media_Platform_Analysis!$Z29)*('[1]Engagement Summary(Task1)'!$H$2:$H$201=Social_Media_Platform_Analysis!$AB29)*('[1]Engagement Summary(Task1)'!$B$2:$B$201=Social_Media_Platform_Analysis!$W29),'[1]Engagement Summary(Task1)'!$G$2:$G$201)</f>
        <v>14203</v>
      </c>
    </row>
    <row r="30" spans="2:42" x14ac:dyDescent="0.25">
      <c r="B30" s="11" t="str">
        <v>Facebook</v>
      </c>
      <c r="C30" s="11">
        <v>3.32E-2</v>
      </c>
      <c r="G30" s="11" t="str">
        <v>Facebook</v>
      </c>
      <c r="H30" s="11">
        <v>319186</v>
      </c>
      <c r="I30" s="11">
        <v>2024</v>
      </c>
      <c r="J30" s="11">
        <v>11</v>
      </c>
      <c r="K30" s="11">
        <v>1</v>
      </c>
      <c r="L30" s="11">
        <v>540</v>
      </c>
      <c r="M30" s="11">
        <v>1.3989637305699483</v>
      </c>
      <c r="W30" s="11" t="s">
        <v>13</v>
      </c>
      <c r="X30" s="15">
        <v>45523</v>
      </c>
      <c r="Y30" s="11">
        <f xml:space="preserve"> SUM([1]!Posts[[#This Row],[Likes]],[1]!Posts[[#This Row],[Shares]],[1]!Posts[[#This Row],[Comments]])</f>
        <v>3536</v>
      </c>
      <c r="Z30" s="11">
        <f t="shared" si="0"/>
        <v>8</v>
      </c>
      <c r="AA30" s="11">
        <f t="shared" si="1"/>
        <v>3</v>
      </c>
      <c r="AB30" s="11">
        <f t="shared" si="2"/>
        <v>2024</v>
      </c>
      <c r="AC30" s="11" cm="1">
        <f t="array" ref="AC30">_xlfn.XLOOKUP(1, ('[1]Engagement Summary(Task1)'!$J$2:$J$201=Social_Media_Platform_Analysis!$AA30)*('[1]Engagement Summary(Task1)'!$I$2:$I$201=Social_Media_Platform_Analysis!$Z30)*('[1]Engagement Summary(Task1)'!$H$2:$H$201=Social_Media_Platform_Analysis!$AB30)*('[1]Engagement Summary(Task1)'!$B$2:$B$201=Social_Media_Platform_Analysis!$W30),'[1]Engagement Summary(Task1)'!$G$2:$G$201)</f>
        <v>14203</v>
      </c>
      <c r="AM30" s="5" t="s">
        <v>33</v>
      </c>
      <c r="AN30" s="5"/>
      <c r="AO30" s="5"/>
      <c r="AP30" s="5"/>
    </row>
    <row r="31" spans="2:42" x14ac:dyDescent="0.25">
      <c r="B31" s="11" t="str">
        <v>Facebook</v>
      </c>
      <c r="C31" s="11">
        <v>8.6999999999999994E-2</v>
      </c>
      <c r="G31" s="11" t="str">
        <v>Facebook</v>
      </c>
      <c r="H31" s="11">
        <v>309483</v>
      </c>
      <c r="I31" s="11">
        <v>2024</v>
      </c>
      <c r="J31" s="11">
        <v>11</v>
      </c>
      <c r="K31" s="11">
        <v>2</v>
      </c>
      <c r="L31" s="11">
        <v>-106</v>
      </c>
      <c r="M31" s="11">
        <v>-0.1962962962962963</v>
      </c>
      <c r="W31" s="11" t="s">
        <v>13</v>
      </c>
      <c r="X31" s="15">
        <v>45525</v>
      </c>
      <c r="Y31" s="11">
        <f xml:space="preserve"> SUM([1]!Posts[[#This Row],[Likes]],[1]!Posts[[#This Row],[Shares]],[1]!Posts[[#This Row],[Comments]])</f>
        <v>3780</v>
      </c>
      <c r="Z31" s="11">
        <f t="shared" si="0"/>
        <v>8</v>
      </c>
      <c r="AA31" s="11">
        <f t="shared" si="1"/>
        <v>3</v>
      </c>
      <c r="AB31" s="11">
        <f t="shared" si="2"/>
        <v>2024</v>
      </c>
      <c r="AC31" s="11" cm="1">
        <f t="array" ref="AC31">_xlfn.XLOOKUP(1, ('[1]Engagement Summary(Task1)'!$J$2:$J$201=Social_Media_Platform_Analysis!$AA31)*('[1]Engagement Summary(Task1)'!$I$2:$I$201=Social_Media_Platform_Analysis!$Z31)*('[1]Engagement Summary(Task1)'!$H$2:$H$201=Social_Media_Platform_Analysis!$AB31)*('[1]Engagement Summary(Task1)'!$B$2:$B$201=Social_Media_Platform_Analysis!$W31),'[1]Engagement Summary(Task1)'!$G$2:$G$201)</f>
        <v>14203</v>
      </c>
      <c r="AM31" s="31" t="s">
        <v>34</v>
      </c>
      <c r="AN31" s="32"/>
      <c r="AO31" s="32"/>
      <c r="AP31" s="32"/>
    </row>
    <row r="32" spans="2:42" x14ac:dyDescent="0.25">
      <c r="B32" s="11" t="str">
        <v>Facebook</v>
      </c>
      <c r="C32" s="11">
        <v>2.6800000000000001E-2</v>
      </c>
      <c r="G32" s="11" t="str">
        <v>Facebook</v>
      </c>
      <c r="H32" s="11">
        <v>338847</v>
      </c>
      <c r="I32" s="11">
        <v>2024</v>
      </c>
      <c r="J32" s="11">
        <v>11</v>
      </c>
      <c r="K32" s="11">
        <v>3</v>
      </c>
      <c r="L32" s="11">
        <v>72</v>
      </c>
      <c r="M32" s="11">
        <v>-0.67924528301886788</v>
      </c>
      <c r="W32" s="11" t="s">
        <v>13</v>
      </c>
      <c r="X32" s="15">
        <v>45528</v>
      </c>
      <c r="Y32" s="11">
        <f xml:space="preserve"> SUM([1]!Posts[[#This Row],[Likes]],[1]!Posts[[#This Row],[Shares]],[1]!Posts[[#This Row],[Comments]])</f>
        <v>2375</v>
      </c>
      <c r="Z32" s="11">
        <f t="shared" si="0"/>
        <v>8</v>
      </c>
      <c r="AA32" s="11">
        <f t="shared" si="1"/>
        <v>4</v>
      </c>
      <c r="AB32" s="11">
        <f t="shared" si="2"/>
        <v>2024</v>
      </c>
      <c r="AC32" s="11" cm="1">
        <f t="array" ref="AC32">_xlfn.XLOOKUP(1, ('[1]Engagement Summary(Task1)'!$J$2:$J$201=Social_Media_Platform_Analysis!$AA32)*('[1]Engagement Summary(Task1)'!$I$2:$I$201=Social_Media_Platform_Analysis!$Z32)*('[1]Engagement Summary(Task1)'!$H$2:$H$201=Social_Media_Platform_Analysis!$AB32)*('[1]Engagement Summary(Task1)'!$B$2:$B$201=Social_Media_Platform_Analysis!$W32),'[1]Engagement Summary(Task1)'!$G$2:$G$201)</f>
        <v>26925</v>
      </c>
      <c r="AM32" s="32"/>
      <c r="AN32" s="32"/>
      <c r="AO32" s="32"/>
      <c r="AP32" s="32"/>
    </row>
    <row r="33" spans="2:42" x14ac:dyDescent="0.25">
      <c r="B33" s="11" t="str">
        <v>Facebook</v>
      </c>
      <c r="C33" s="11">
        <v>6.2E-2</v>
      </c>
      <c r="G33" s="11" t="str">
        <v>Facebook</v>
      </c>
      <c r="H33" s="11">
        <v>336661</v>
      </c>
      <c r="I33" s="11">
        <v>2024</v>
      </c>
      <c r="J33" s="11">
        <v>11</v>
      </c>
      <c r="K33" s="11">
        <v>4</v>
      </c>
      <c r="L33" s="11">
        <v>1332</v>
      </c>
      <c r="M33" s="11">
        <v>18.5</v>
      </c>
      <c r="W33" s="11" t="s">
        <v>13</v>
      </c>
      <c r="X33" s="15">
        <v>45530</v>
      </c>
      <c r="Y33" s="11">
        <f xml:space="preserve"> SUM([1]!Posts[[#This Row],[Likes]],[1]!Posts[[#This Row],[Shares]],[1]!Posts[[#This Row],[Comments]])</f>
        <v>1179</v>
      </c>
      <c r="Z33" s="11">
        <f t="shared" si="0"/>
        <v>8</v>
      </c>
      <c r="AA33" s="11">
        <f t="shared" si="1"/>
        <v>4</v>
      </c>
      <c r="AB33" s="11">
        <f t="shared" si="2"/>
        <v>2024</v>
      </c>
      <c r="AC33" s="11" cm="1">
        <f t="array" ref="AC33">_xlfn.XLOOKUP(1, ('[1]Engagement Summary(Task1)'!$J$2:$J$201=Social_Media_Platform_Analysis!$AA33)*('[1]Engagement Summary(Task1)'!$I$2:$I$201=Social_Media_Platform_Analysis!$Z33)*('[1]Engagement Summary(Task1)'!$H$2:$H$201=Social_Media_Platform_Analysis!$AB33)*('[1]Engagement Summary(Task1)'!$B$2:$B$201=Social_Media_Platform_Analysis!$W33),'[1]Engagement Summary(Task1)'!$G$2:$G$201)</f>
        <v>26925</v>
      </c>
      <c r="AM33" s="32"/>
      <c r="AN33" s="32"/>
      <c r="AO33" s="32"/>
      <c r="AP33" s="32"/>
    </row>
    <row r="34" spans="2:42" x14ac:dyDescent="0.25">
      <c r="B34" s="11" t="str">
        <v>Facebook</v>
      </c>
      <c r="C34" s="11">
        <v>4.7899999999999998E-2</v>
      </c>
      <c r="G34" s="11" t="str">
        <v>Facebook</v>
      </c>
      <c r="H34" s="11">
        <v>470269</v>
      </c>
      <c r="I34" s="11">
        <v>2024</v>
      </c>
      <c r="J34" s="11">
        <v>12</v>
      </c>
      <c r="K34" s="11">
        <v>1</v>
      </c>
      <c r="L34" s="11">
        <v>1706</v>
      </c>
      <c r="M34" s="11">
        <v>1.2807807807807807</v>
      </c>
      <c r="W34" s="11" t="s">
        <v>13</v>
      </c>
      <c r="X34" s="15">
        <v>45530</v>
      </c>
      <c r="Y34" s="11">
        <f xml:space="preserve"> SUM([1]!Posts[[#This Row],[Likes]],[1]!Posts[[#This Row],[Shares]],[1]!Posts[[#This Row],[Comments]])</f>
        <v>2721</v>
      </c>
      <c r="Z34" s="11">
        <f t="shared" si="0"/>
        <v>8</v>
      </c>
      <c r="AA34" s="11">
        <f t="shared" si="1"/>
        <v>4</v>
      </c>
      <c r="AB34" s="11">
        <f t="shared" si="2"/>
        <v>2024</v>
      </c>
      <c r="AC34" s="11" cm="1">
        <f t="array" ref="AC34">_xlfn.XLOOKUP(1, ('[1]Engagement Summary(Task1)'!$J$2:$J$201=Social_Media_Platform_Analysis!$AA34)*('[1]Engagement Summary(Task1)'!$I$2:$I$201=Social_Media_Platform_Analysis!$Z34)*('[1]Engagement Summary(Task1)'!$H$2:$H$201=Social_Media_Platform_Analysis!$AB34)*('[1]Engagement Summary(Task1)'!$B$2:$B$201=Social_Media_Platform_Analysis!$W34),'[1]Engagement Summary(Task1)'!$G$2:$G$201)</f>
        <v>26925</v>
      </c>
      <c r="AM34" s="32"/>
      <c r="AN34" s="32"/>
      <c r="AO34" s="32"/>
      <c r="AP34" s="32"/>
    </row>
    <row r="35" spans="2:42" x14ac:dyDescent="0.25">
      <c r="B35" s="11" t="str">
        <v>Facebook</v>
      </c>
      <c r="C35" s="11">
        <v>7.4700000000000003E-2</v>
      </c>
      <c r="G35" s="11" t="str">
        <v>Facebook</v>
      </c>
      <c r="H35" s="11">
        <v>35842</v>
      </c>
      <c r="I35" s="11">
        <v>2024</v>
      </c>
      <c r="J35" s="11">
        <v>12</v>
      </c>
      <c r="K35" s="11">
        <v>2</v>
      </c>
      <c r="L35" s="11">
        <v>1373</v>
      </c>
      <c r="M35" s="11">
        <v>0.80480656506447834</v>
      </c>
      <c r="W35" s="11" t="s">
        <v>13</v>
      </c>
      <c r="X35" s="15">
        <v>45531</v>
      </c>
      <c r="Y35" s="11">
        <f xml:space="preserve"> SUM([1]!Posts[[#This Row],[Likes]],[1]!Posts[[#This Row],[Shares]],[1]!Posts[[#This Row],[Comments]])</f>
        <v>3212</v>
      </c>
      <c r="Z35" s="11">
        <f t="shared" si="0"/>
        <v>8</v>
      </c>
      <c r="AA35" s="11">
        <f t="shared" si="1"/>
        <v>4</v>
      </c>
      <c r="AB35" s="11">
        <f t="shared" si="2"/>
        <v>2024</v>
      </c>
      <c r="AC35" s="11" cm="1">
        <f t="array" ref="AC35">_xlfn.XLOOKUP(1, ('[1]Engagement Summary(Task1)'!$J$2:$J$201=Social_Media_Platform_Analysis!$AA35)*('[1]Engagement Summary(Task1)'!$I$2:$I$201=Social_Media_Platform_Analysis!$Z35)*('[1]Engagement Summary(Task1)'!$H$2:$H$201=Social_Media_Platform_Analysis!$AB35)*('[1]Engagement Summary(Task1)'!$B$2:$B$201=Social_Media_Platform_Analysis!$W35),'[1]Engagement Summary(Task1)'!$G$2:$G$201)</f>
        <v>26925</v>
      </c>
      <c r="AM35" s="32"/>
      <c r="AN35" s="32"/>
      <c r="AO35" s="32"/>
      <c r="AP35" s="32"/>
    </row>
    <row r="36" spans="2:42" x14ac:dyDescent="0.25">
      <c r="B36" s="11" t="str">
        <v>Facebook</v>
      </c>
      <c r="C36" s="11">
        <v>8.1099999999999992E-2</v>
      </c>
      <c r="G36" s="11" t="str">
        <v>Facebook</v>
      </c>
      <c r="H36" s="11">
        <v>415815</v>
      </c>
      <c r="I36" s="11">
        <v>2024</v>
      </c>
      <c r="J36" s="11">
        <v>12</v>
      </c>
      <c r="K36" s="11">
        <v>3</v>
      </c>
      <c r="L36" s="11">
        <v>1377</v>
      </c>
      <c r="M36" s="11">
        <v>1.0029133284777858</v>
      </c>
      <c r="W36" s="11" t="s">
        <v>13</v>
      </c>
      <c r="X36" s="15">
        <v>45531</v>
      </c>
      <c r="Y36" s="11">
        <f xml:space="preserve"> SUM([1]!Posts[[#This Row],[Likes]],[1]!Posts[[#This Row],[Shares]],[1]!Posts[[#This Row],[Comments]])</f>
        <v>866</v>
      </c>
      <c r="Z36" s="11">
        <f t="shared" si="0"/>
        <v>8</v>
      </c>
      <c r="AA36" s="11">
        <f t="shared" si="1"/>
        <v>4</v>
      </c>
      <c r="AB36" s="11">
        <f t="shared" si="2"/>
        <v>2024</v>
      </c>
      <c r="AC36" s="11" cm="1">
        <f t="array" ref="AC36">_xlfn.XLOOKUP(1, ('[1]Engagement Summary(Task1)'!$J$2:$J$201=Social_Media_Platform_Analysis!$AA36)*('[1]Engagement Summary(Task1)'!$I$2:$I$201=Social_Media_Platform_Analysis!$Z36)*('[1]Engagement Summary(Task1)'!$H$2:$H$201=Social_Media_Platform_Analysis!$AB36)*('[1]Engagement Summary(Task1)'!$B$2:$B$201=Social_Media_Platform_Analysis!$W36),'[1]Engagement Summary(Task1)'!$G$2:$G$201)</f>
        <v>26925</v>
      </c>
      <c r="AM36" s="32"/>
      <c r="AN36" s="32"/>
      <c r="AO36" s="32"/>
      <c r="AP36" s="32"/>
    </row>
    <row r="37" spans="2:42" ht="15" hidden="1" customHeight="1" x14ac:dyDescent="0.25">
      <c r="B37" s="11" t="str">
        <v>Facebook</v>
      </c>
      <c r="C37" s="11">
        <v>2.0199999999999999E-2</v>
      </c>
      <c r="G37" s="11" t="str">
        <v>Facebook</v>
      </c>
      <c r="H37" s="11">
        <v>93347</v>
      </c>
      <c r="I37" s="11">
        <v>2024</v>
      </c>
      <c r="J37" s="11">
        <v>12</v>
      </c>
      <c r="K37" s="11">
        <v>4</v>
      </c>
      <c r="L37" s="11">
        <v>730</v>
      </c>
      <c r="M37" s="11">
        <v>0.53013798111837329</v>
      </c>
      <c r="W37" s="11" t="s">
        <v>13</v>
      </c>
      <c r="X37" s="15">
        <v>45531</v>
      </c>
      <c r="Y37" s="11">
        <f xml:space="preserve"> SUM([1]!Posts[[#This Row],[Likes]],[1]!Posts[[#This Row],[Shares]],[1]!Posts[[#This Row],[Comments]])</f>
        <v>2609</v>
      </c>
      <c r="Z37" s="11">
        <f t="shared" si="0"/>
        <v>8</v>
      </c>
      <c r="AA37" s="11">
        <f t="shared" si="1"/>
        <v>4</v>
      </c>
      <c r="AB37" s="11">
        <f t="shared" si="2"/>
        <v>2024</v>
      </c>
      <c r="AC37" s="11" cm="1">
        <f t="array" ref="AC37">_xlfn.XLOOKUP(1, ('[1]Engagement Summary(Task1)'!$J$2:$J$201=Social_Media_Platform_Analysis!$AA37)*('[1]Engagement Summary(Task1)'!$I$2:$I$201=Social_Media_Platform_Analysis!$Z37)*('[1]Engagement Summary(Task1)'!$H$2:$H$201=Social_Media_Platform_Analysis!$AB37)*('[1]Engagement Summary(Task1)'!$B$2:$B$201=Social_Media_Platform_Analysis!$W37),'[1]Engagement Summary(Task1)'!$G$2:$G$201)</f>
        <v>26925</v>
      </c>
      <c r="AM37" s="32"/>
      <c r="AN37" s="32"/>
      <c r="AO37" s="32"/>
      <c r="AP37" s="32"/>
    </row>
    <row r="38" spans="2:42" ht="6.95" customHeight="1" x14ac:dyDescent="0.25">
      <c r="B38" s="11" t="str">
        <v>Facebook</v>
      </c>
      <c r="C38" s="11">
        <v>3.0899999999999997E-2</v>
      </c>
      <c r="G38" s="11" t="str">
        <v>Facebook</v>
      </c>
      <c r="H38" s="11">
        <v>379431</v>
      </c>
      <c r="I38" s="11">
        <v>2024</v>
      </c>
      <c r="J38" s="11">
        <v>12</v>
      </c>
      <c r="K38" s="11">
        <v>5</v>
      </c>
      <c r="L38" s="11">
        <v>1776</v>
      </c>
      <c r="M38" s="11">
        <v>2.4328767123287673</v>
      </c>
      <c r="W38" s="11" t="s">
        <v>13</v>
      </c>
      <c r="X38" s="15">
        <v>45534</v>
      </c>
      <c r="Y38" s="11">
        <f xml:space="preserve"> SUM([1]!Posts[[#This Row],[Likes]],[1]!Posts[[#This Row],[Shares]],[1]!Posts[[#This Row],[Comments]])</f>
        <v>2158</v>
      </c>
      <c r="Z38" s="11">
        <f t="shared" si="0"/>
        <v>8</v>
      </c>
      <c r="AA38" s="11">
        <f t="shared" si="1"/>
        <v>5</v>
      </c>
      <c r="AB38" s="11">
        <f t="shared" si="2"/>
        <v>2024</v>
      </c>
      <c r="AC38" s="11">
        <v>0</v>
      </c>
      <c r="AM38" s="32"/>
      <c r="AN38" s="32"/>
      <c r="AO38" s="32"/>
      <c r="AP38" s="32"/>
    </row>
    <row r="39" spans="2:42" x14ac:dyDescent="0.25">
      <c r="B39" s="11" t="str">
        <v>Facebook</v>
      </c>
      <c r="C39" s="11">
        <v>8.199999999999999E-2</v>
      </c>
      <c r="G39" s="11" t="str">
        <v>Facebook</v>
      </c>
      <c r="H39" s="11">
        <v>95728</v>
      </c>
      <c r="I39" s="11">
        <v>2025</v>
      </c>
      <c r="J39" s="11">
        <v>1</v>
      </c>
      <c r="K39" s="11">
        <v>1</v>
      </c>
      <c r="L39" s="11">
        <v>620</v>
      </c>
      <c r="M39" s="11">
        <v>0.34909909909909909</v>
      </c>
      <c r="W39" s="11" t="s">
        <v>13</v>
      </c>
      <c r="X39" s="15">
        <v>45573</v>
      </c>
      <c r="Y39" s="11">
        <f xml:space="preserve"> SUM([1]!Posts[[#This Row],[Likes]],[1]!Posts[[#This Row],[Shares]],[1]!Posts[[#This Row],[Comments]])</f>
        <v>2098</v>
      </c>
      <c r="Z39" s="11">
        <f t="shared" si="0"/>
        <v>10</v>
      </c>
      <c r="AA39" s="11">
        <f t="shared" si="1"/>
        <v>2</v>
      </c>
      <c r="AB39" s="11">
        <f t="shared" si="2"/>
        <v>2024</v>
      </c>
      <c r="AC39" s="11" cm="1">
        <f t="array" ref="AC39">_xlfn.XLOOKUP(1, ('[1]Engagement Summary(Task1)'!$J$2:$J$201=Social_Media_Platform_Analysis!$AA39)*('[1]Engagement Summary(Task1)'!$I$2:$I$201=Social_Media_Platform_Analysis!$Z39)*('[1]Engagement Summary(Task1)'!$H$2:$H$201=Social_Media_Platform_Analysis!$AB39)*('[1]Engagement Summary(Task1)'!$B$2:$B$201=Social_Media_Platform_Analysis!$W39),'[1]Engagement Summary(Task1)'!$G$2:$G$201)</f>
        <v>7285</v>
      </c>
    </row>
    <row r="40" spans="2:42" x14ac:dyDescent="0.25">
      <c r="B40" s="11" t="str">
        <v>Facebook</v>
      </c>
      <c r="C40" s="11">
        <v>5.6100000000000004E-2</v>
      </c>
      <c r="G40" s="11" t="str">
        <v>Facebook</v>
      </c>
      <c r="H40" s="11">
        <v>224699</v>
      </c>
      <c r="I40" s="11">
        <v>2025</v>
      </c>
      <c r="J40" s="11">
        <v>1</v>
      </c>
      <c r="K40" s="11">
        <v>2</v>
      </c>
      <c r="L40" s="11">
        <v>298</v>
      </c>
      <c r="M40" s="11">
        <v>0.48064516129032259</v>
      </c>
      <c r="W40" s="11" t="s">
        <v>13</v>
      </c>
      <c r="X40" s="15">
        <v>45573</v>
      </c>
      <c r="Y40" s="11">
        <f xml:space="preserve"> SUM([1]!Posts[[#This Row],[Likes]],[1]!Posts[[#This Row],[Shares]],[1]!Posts[[#This Row],[Comments]])</f>
        <v>4030</v>
      </c>
      <c r="Z40" s="11">
        <f t="shared" si="0"/>
        <v>10</v>
      </c>
      <c r="AA40" s="11">
        <f t="shared" si="1"/>
        <v>2</v>
      </c>
      <c r="AB40" s="11">
        <f t="shared" si="2"/>
        <v>2024</v>
      </c>
      <c r="AC40" s="11" cm="1">
        <f t="array" ref="AC40">_xlfn.XLOOKUP(1, ('[1]Engagement Summary(Task1)'!$J$2:$J$201=Social_Media_Platform_Analysis!$AA40)*('[1]Engagement Summary(Task1)'!$I$2:$I$201=Social_Media_Platform_Analysis!$Z40)*('[1]Engagement Summary(Task1)'!$H$2:$H$201=Social_Media_Platform_Analysis!$AB40)*('[1]Engagement Summary(Task1)'!$B$2:$B$201=Social_Media_Platform_Analysis!$W40),'[1]Engagement Summary(Task1)'!$G$2:$G$201)</f>
        <v>7285</v>
      </c>
    </row>
    <row r="41" spans="2:42" x14ac:dyDescent="0.25">
      <c r="B41" s="11" t="str">
        <v>Facebook</v>
      </c>
      <c r="C41" s="11">
        <v>4.5100000000000001E-2</v>
      </c>
      <c r="G41" s="11" t="str">
        <v>Facebook</v>
      </c>
      <c r="H41" s="11">
        <v>479490</v>
      </c>
      <c r="I41" s="11">
        <v>2025</v>
      </c>
      <c r="J41" s="11">
        <v>1</v>
      </c>
      <c r="K41" s="11">
        <v>3</v>
      </c>
      <c r="L41" s="11">
        <v>427</v>
      </c>
      <c r="M41" s="11">
        <v>1.4328859060402686</v>
      </c>
      <c r="W41" s="11" t="s">
        <v>13</v>
      </c>
      <c r="X41" s="15">
        <v>45576</v>
      </c>
      <c r="Y41" s="11">
        <f xml:space="preserve"> SUM([1]!Posts[[#This Row],[Likes]],[1]!Posts[[#This Row],[Shares]],[1]!Posts[[#This Row],[Comments]])</f>
        <v>5186</v>
      </c>
      <c r="Z41" s="11">
        <f t="shared" si="0"/>
        <v>10</v>
      </c>
      <c r="AA41" s="11">
        <f t="shared" si="1"/>
        <v>2</v>
      </c>
      <c r="AB41" s="11">
        <f t="shared" si="2"/>
        <v>2024</v>
      </c>
      <c r="AC41" s="11" cm="1">
        <f t="array" ref="AC41">_xlfn.XLOOKUP(1, ('[1]Engagement Summary(Task1)'!$J$2:$J$201=Social_Media_Platform_Analysis!$AA41)*('[1]Engagement Summary(Task1)'!$I$2:$I$201=Social_Media_Platform_Analysis!$Z41)*('[1]Engagement Summary(Task1)'!$H$2:$H$201=Social_Media_Platform_Analysis!$AB41)*('[1]Engagement Summary(Task1)'!$B$2:$B$201=Social_Media_Platform_Analysis!$W41),'[1]Engagement Summary(Task1)'!$G$2:$G$201)</f>
        <v>7285</v>
      </c>
    </row>
    <row r="42" spans="2:42" x14ac:dyDescent="0.25">
      <c r="B42" s="11" t="str">
        <v>Facebook</v>
      </c>
      <c r="C42" s="11">
        <v>6.3700000000000007E-2</v>
      </c>
      <c r="G42" s="11" t="str">
        <v>Facebook</v>
      </c>
      <c r="H42" s="11">
        <v>321307</v>
      </c>
      <c r="I42" s="11">
        <v>2025</v>
      </c>
      <c r="J42" s="11">
        <v>1</v>
      </c>
      <c r="K42" s="11">
        <v>4</v>
      </c>
      <c r="L42" s="11">
        <v>898</v>
      </c>
      <c r="M42" s="11">
        <v>2.1030444964871196</v>
      </c>
      <c r="W42" s="11" t="s">
        <v>13</v>
      </c>
      <c r="X42" s="15">
        <v>45583</v>
      </c>
      <c r="Y42" s="11">
        <f xml:space="preserve"> SUM([1]!Posts[[#This Row],[Likes]],[1]!Posts[[#This Row],[Shares]],[1]!Posts[[#This Row],[Comments]])</f>
        <v>4299</v>
      </c>
      <c r="Z42" s="11">
        <f t="shared" si="0"/>
        <v>10</v>
      </c>
      <c r="AA42" s="11">
        <f t="shared" si="1"/>
        <v>3</v>
      </c>
      <c r="AB42" s="11">
        <f t="shared" si="2"/>
        <v>2024</v>
      </c>
      <c r="AC42" s="11" cm="1">
        <f t="array" ref="AC42">_xlfn.XLOOKUP(1, ('[1]Engagement Summary(Task1)'!$J$2:$J$201=Social_Media_Platform_Analysis!$AA42)*('[1]Engagement Summary(Task1)'!$I$2:$I$201=Social_Media_Platform_Analysis!$Z42)*('[1]Engagement Summary(Task1)'!$H$2:$H$201=Social_Media_Platform_Analysis!$AB42)*('[1]Engagement Summary(Task1)'!$B$2:$B$201=Social_Media_Platform_Analysis!$W42),'[1]Engagement Summary(Task1)'!$G$2:$G$201)</f>
        <v>42824</v>
      </c>
    </row>
    <row r="43" spans="2:42" x14ac:dyDescent="0.25">
      <c r="B43" s="11" t="str">
        <v>Facebook</v>
      </c>
      <c r="C43" s="11">
        <v>8.6999999999999994E-2</v>
      </c>
      <c r="G43" s="11" t="str">
        <v>Facebook</v>
      </c>
      <c r="H43" s="11">
        <v>135987</v>
      </c>
      <c r="I43" s="11">
        <v>2025</v>
      </c>
      <c r="J43" s="11">
        <v>2</v>
      </c>
      <c r="K43" s="11">
        <v>1</v>
      </c>
      <c r="L43" s="11">
        <v>748</v>
      </c>
      <c r="M43" s="11">
        <v>0.83296213808463249</v>
      </c>
      <c r="W43" s="11" t="s">
        <v>13</v>
      </c>
      <c r="X43" s="15">
        <v>45586</v>
      </c>
      <c r="Y43" s="11">
        <f xml:space="preserve"> SUM([1]!Posts[[#This Row],[Likes]],[1]!Posts[[#This Row],[Shares]],[1]!Posts[[#This Row],[Comments]])</f>
        <v>3552</v>
      </c>
      <c r="Z43" s="11">
        <f t="shared" si="0"/>
        <v>10</v>
      </c>
      <c r="AA43" s="11">
        <f t="shared" si="1"/>
        <v>3</v>
      </c>
      <c r="AB43" s="11">
        <f t="shared" si="2"/>
        <v>2024</v>
      </c>
      <c r="AC43" s="11" cm="1">
        <f t="array" ref="AC43">_xlfn.XLOOKUP(1, ('[1]Engagement Summary(Task1)'!$J$2:$J$201=Social_Media_Platform_Analysis!$AA43)*('[1]Engagement Summary(Task1)'!$I$2:$I$201=Social_Media_Platform_Analysis!$Z43)*('[1]Engagement Summary(Task1)'!$H$2:$H$201=Social_Media_Platform_Analysis!$AB43)*('[1]Engagement Summary(Task1)'!$B$2:$B$201=Social_Media_Platform_Analysis!$W43),'[1]Engagement Summary(Task1)'!$G$2:$G$201)</f>
        <v>42824</v>
      </c>
    </row>
    <row r="44" spans="2:42" x14ac:dyDescent="0.25">
      <c r="B44" s="11" t="str">
        <v>Facebook</v>
      </c>
      <c r="C44" s="11">
        <v>8.0299999999999996E-2</v>
      </c>
      <c r="G44" s="11" t="str">
        <v>Facebook</v>
      </c>
      <c r="H44" s="11">
        <v>309914</v>
      </c>
      <c r="I44" s="11">
        <v>2025</v>
      </c>
      <c r="J44" s="11">
        <v>2</v>
      </c>
      <c r="K44" s="11">
        <v>2</v>
      </c>
      <c r="L44" s="11">
        <v>912</v>
      </c>
      <c r="M44" s="11">
        <v>1.2192513368983957</v>
      </c>
      <c r="W44" s="11" t="s">
        <v>13</v>
      </c>
      <c r="X44" s="15">
        <v>45587</v>
      </c>
      <c r="Y44" s="11">
        <f xml:space="preserve"> SUM([1]!Posts[[#This Row],[Likes]],[1]!Posts[[#This Row],[Shares]],[1]!Posts[[#This Row],[Comments]])</f>
        <v>4370</v>
      </c>
      <c r="Z44" s="11">
        <f t="shared" si="0"/>
        <v>10</v>
      </c>
      <c r="AA44" s="11">
        <f t="shared" si="1"/>
        <v>4</v>
      </c>
      <c r="AB44" s="11">
        <f t="shared" si="2"/>
        <v>2024</v>
      </c>
      <c r="AC44" s="11" cm="1">
        <f t="array" ref="AC44">_xlfn.XLOOKUP(1, ('[1]Engagement Summary(Task1)'!$J$2:$J$201=Social_Media_Platform_Analysis!$AA44)*('[1]Engagement Summary(Task1)'!$I$2:$I$201=Social_Media_Platform_Analysis!$Z44)*('[1]Engagement Summary(Task1)'!$H$2:$H$201=Social_Media_Platform_Analysis!$AB44)*('[1]Engagement Summary(Task1)'!$B$2:$B$201=Social_Media_Platform_Analysis!$W44),'[1]Engagement Summary(Task1)'!$G$2:$G$201)</f>
        <v>30214</v>
      </c>
    </row>
    <row r="45" spans="2:42" x14ac:dyDescent="0.25">
      <c r="B45" s="11" t="str">
        <v>Facebook</v>
      </c>
      <c r="C45" s="11">
        <v>3.85E-2</v>
      </c>
      <c r="G45" s="11" t="str">
        <v>Facebook</v>
      </c>
      <c r="H45" s="11">
        <v>104967</v>
      </c>
      <c r="I45" s="11">
        <v>2025</v>
      </c>
      <c r="J45" s="11">
        <v>2</v>
      </c>
      <c r="K45" s="11">
        <v>3</v>
      </c>
      <c r="L45" s="11">
        <v>1590</v>
      </c>
      <c r="M45" s="11">
        <v>1.743421052631579</v>
      </c>
      <c r="W45" s="11" t="s">
        <v>13</v>
      </c>
      <c r="X45" s="15">
        <v>45589</v>
      </c>
      <c r="Y45" s="11">
        <f xml:space="preserve"> SUM([1]!Posts[[#This Row],[Likes]],[1]!Posts[[#This Row],[Shares]],[1]!Posts[[#This Row],[Comments]])</f>
        <v>5316</v>
      </c>
      <c r="Z45" s="11">
        <f t="shared" si="0"/>
        <v>10</v>
      </c>
      <c r="AA45" s="11">
        <f t="shared" si="1"/>
        <v>4</v>
      </c>
      <c r="AB45" s="11">
        <f t="shared" si="2"/>
        <v>2024</v>
      </c>
      <c r="AC45" s="11" cm="1">
        <f t="array" ref="AC45">_xlfn.XLOOKUP(1, ('[1]Engagement Summary(Task1)'!$J$2:$J$201=Social_Media_Platform_Analysis!$AA45)*('[1]Engagement Summary(Task1)'!$I$2:$I$201=Social_Media_Platform_Analysis!$Z45)*('[1]Engagement Summary(Task1)'!$H$2:$H$201=Social_Media_Platform_Analysis!$AB45)*('[1]Engagement Summary(Task1)'!$B$2:$B$201=Social_Media_Platform_Analysis!$W45),'[1]Engagement Summary(Task1)'!$G$2:$G$201)</f>
        <v>30214</v>
      </c>
    </row>
    <row r="46" spans="2:42" x14ac:dyDescent="0.25">
      <c r="B46" s="11" t="str">
        <v>Facebook</v>
      </c>
      <c r="C46" s="11">
        <v>7.8E-2</v>
      </c>
      <c r="G46" s="11" t="str">
        <v>Facebook</v>
      </c>
      <c r="H46" s="11">
        <v>230448</v>
      </c>
      <c r="I46" s="11">
        <v>2025</v>
      </c>
      <c r="J46" s="11">
        <v>2</v>
      </c>
      <c r="K46" s="11">
        <v>4</v>
      </c>
      <c r="L46" s="11">
        <v>1707</v>
      </c>
      <c r="M46" s="11">
        <v>1.0735849056603775</v>
      </c>
      <c r="W46" s="11" t="s">
        <v>13</v>
      </c>
      <c r="X46" s="15">
        <v>45589</v>
      </c>
      <c r="Y46" s="11">
        <f xml:space="preserve"> SUM([1]!Posts[[#This Row],[Likes]],[1]!Posts[[#This Row],[Shares]],[1]!Posts[[#This Row],[Comments]])</f>
        <v>1513</v>
      </c>
      <c r="Z46" s="11">
        <f t="shared" si="0"/>
        <v>10</v>
      </c>
      <c r="AA46" s="11">
        <f t="shared" si="1"/>
        <v>4</v>
      </c>
      <c r="AB46" s="11">
        <f t="shared" si="2"/>
        <v>2024</v>
      </c>
      <c r="AC46" s="11" cm="1">
        <f t="array" ref="AC46">_xlfn.XLOOKUP(1, ('[1]Engagement Summary(Task1)'!$J$2:$J$201=Social_Media_Platform_Analysis!$AA46)*('[1]Engagement Summary(Task1)'!$I$2:$I$201=Social_Media_Platform_Analysis!$Z46)*('[1]Engagement Summary(Task1)'!$H$2:$H$201=Social_Media_Platform_Analysis!$AB46)*('[1]Engagement Summary(Task1)'!$B$2:$B$201=Social_Media_Platform_Analysis!$W46),'[1]Engagement Summary(Task1)'!$G$2:$G$201)</f>
        <v>30214</v>
      </c>
    </row>
    <row r="47" spans="2:42" x14ac:dyDescent="0.25">
      <c r="B47" s="11" t="str">
        <v>Facebook</v>
      </c>
      <c r="C47" s="11">
        <v>4.5499999999999999E-2</v>
      </c>
      <c r="G47" s="11" t="str">
        <v>Facebook</v>
      </c>
      <c r="H47" s="11">
        <v>366881</v>
      </c>
      <c r="I47" s="11">
        <v>2025</v>
      </c>
      <c r="J47" s="11">
        <v>3</v>
      </c>
      <c r="K47" s="11">
        <v>1</v>
      </c>
      <c r="L47" s="11">
        <v>-119</v>
      </c>
      <c r="M47" s="11">
        <v>-6.9712946690099586E-2</v>
      </c>
      <c r="W47" s="11" t="s">
        <v>13</v>
      </c>
      <c r="X47" s="15">
        <v>45596</v>
      </c>
      <c r="Y47" s="11">
        <f xml:space="preserve"> SUM([1]!Posts[[#This Row],[Likes]],[1]!Posts[[#This Row],[Shares]],[1]!Posts[[#This Row],[Comments]])</f>
        <v>2696</v>
      </c>
      <c r="Z47" s="11">
        <f t="shared" si="0"/>
        <v>10</v>
      </c>
      <c r="AA47" s="11">
        <f t="shared" si="1"/>
        <v>5</v>
      </c>
      <c r="AB47" s="11">
        <f t="shared" si="2"/>
        <v>2024</v>
      </c>
      <c r="AC47" s="11">
        <v>0</v>
      </c>
    </row>
    <row r="48" spans="2:42" x14ac:dyDescent="0.25">
      <c r="B48" s="11" t="str">
        <v>Facebook</v>
      </c>
      <c r="C48" s="11">
        <v>9.3900000000000011E-2</v>
      </c>
      <c r="G48" s="11" t="str">
        <v>Facebook</v>
      </c>
      <c r="H48" s="11">
        <v>340842</v>
      </c>
      <c r="I48" s="11">
        <v>2025</v>
      </c>
      <c r="J48" s="11">
        <v>3</v>
      </c>
      <c r="K48" s="11">
        <v>2</v>
      </c>
      <c r="L48" s="11">
        <v>908</v>
      </c>
      <c r="M48" s="11">
        <v>-7.6302521008403366</v>
      </c>
      <c r="W48" s="11" t="s">
        <v>13</v>
      </c>
      <c r="X48" s="15">
        <v>45597</v>
      </c>
      <c r="Y48" s="11">
        <f xml:space="preserve"> SUM([1]!Posts[[#This Row],[Likes]],[1]!Posts[[#This Row],[Shares]],[1]!Posts[[#This Row],[Comments]])</f>
        <v>2847</v>
      </c>
      <c r="Z48" s="11">
        <f t="shared" si="0"/>
        <v>11</v>
      </c>
      <c r="AA48" s="11">
        <f t="shared" si="1"/>
        <v>1</v>
      </c>
      <c r="AB48" s="11">
        <f t="shared" si="2"/>
        <v>2024</v>
      </c>
      <c r="AC48" s="11" cm="1">
        <f t="array" ref="AC48">_xlfn.XLOOKUP(1, ('[1]Engagement Summary(Task1)'!$J$2:$J$201=Social_Media_Platform_Analysis!$AA48)*('[1]Engagement Summary(Task1)'!$I$2:$I$201=Social_Media_Platform_Analysis!$Z48)*('[1]Engagement Summary(Task1)'!$H$2:$H$201=Social_Media_Platform_Analysis!$AB48)*('[1]Engagement Summary(Task1)'!$B$2:$B$201=Social_Media_Platform_Analysis!$W48),'[1]Engagement Summary(Task1)'!$G$2:$G$201)</f>
        <v>4996</v>
      </c>
    </row>
    <row r="49" spans="2:29" x14ac:dyDescent="0.25">
      <c r="B49" s="11" t="str">
        <v>Facebook</v>
      </c>
      <c r="C49" s="11">
        <v>4.9400000000000006E-2</v>
      </c>
      <c r="G49" s="11" t="str">
        <v>Facebook</v>
      </c>
      <c r="H49" s="11">
        <v>342129</v>
      </c>
      <c r="I49" s="11">
        <v>2025</v>
      </c>
      <c r="J49" s="11">
        <v>3</v>
      </c>
      <c r="K49" s="11">
        <v>3</v>
      </c>
      <c r="L49" s="11">
        <v>1116</v>
      </c>
      <c r="M49" s="11">
        <v>1.2290748898678414</v>
      </c>
      <c r="W49" s="11" t="s">
        <v>13</v>
      </c>
      <c r="X49" s="15">
        <v>45600</v>
      </c>
      <c r="Y49" s="11">
        <f xml:space="preserve"> SUM([1]!Posts[[#This Row],[Likes]],[1]!Posts[[#This Row],[Shares]],[1]!Posts[[#This Row],[Comments]])</f>
        <v>3486</v>
      </c>
      <c r="Z49" s="11">
        <f t="shared" si="0"/>
        <v>11</v>
      </c>
      <c r="AA49" s="11">
        <f t="shared" si="1"/>
        <v>1</v>
      </c>
      <c r="AB49" s="11">
        <f t="shared" si="2"/>
        <v>2024</v>
      </c>
      <c r="AC49" s="11" cm="1">
        <f t="array" ref="AC49">_xlfn.XLOOKUP(1, ('[1]Engagement Summary(Task1)'!$J$2:$J$201=Social_Media_Platform_Analysis!$AA49)*('[1]Engagement Summary(Task1)'!$I$2:$I$201=Social_Media_Platform_Analysis!$Z49)*('[1]Engagement Summary(Task1)'!$H$2:$H$201=Social_Media_Platform_Analysis!$AB49)*('[1]Engagement Summary(Task1)'!$B$2:$B$201=Social_Media_Platform_Analysis!$W49),'[1]Engagement Summary(Task1)'!$G$2:$G$201)</f>
        <v>4996</v>
      </c>
    </row>
    <row r="50" spans="2:29" x14ac:dyDescent="0.25">
      <c r="B50" s="11" t="str">
        <v>Facebook</v>
      </c>
      <c r="C50" s="11">
        <v>8.5199999999999998E-2</v>
      </c>
      <c r="G50" s="11" t="str">
        <v>Facebook</v>
      </c>
      <c r="H50" s="11">
        <v>373606</v>
      </c>
      <c r="I50" s="11">
        <v>2025</v>
      </c>
      <c r="J50" s="11">
        <v>3</v>
      </c>
      <c r="K50" s="11">
        <v>4</v>
      </c>
      <c r="L50" s="11">
        <v>474</v>
      </c>
      <c r="M50" s="11">
        <v>0.42473118279569894</v>
      </c>
      <c r="W50" s="11" t="s">
        <v>13</v>
      </c>
      <c r="X50" s="15">
        <v>45602</v>
      </c>
      <c r="Y50" s="11">
        <f xml:space="preserve"> SUM([1]!Posts[[#This Row],[Likes]],[1]!Posts[[#This Row],[Shares]],[1]!Posts[[#This Row],[Comments]])</f>
        <v>3804</v>
      </c>
      <c r="Z50" s="11">
        <f t="shared" si="0"/>
        <v>11</v>
      </c>
      <c r="AA50" s="11">
        <f t="shared" si="1"/>
        <v>1</v>
      </c>
      <c r="AB50" s="11">
        <f t="shared" si="2"/>
        <v>2024</v>
      </c>
      <c r="AC50" s="11" cm="1">
        <f t="array" ref="AC50">_xlfn.XLOOKUP(1, ('[1]Engagement Summary(Task1)'!$J$2:$J$201=Social_Media_Platform_Analysis!$AA50)*('[1]Engagement Summary(Task1)'!$I$2:$I$201=Social_Media_Platform_Analysis!$Z50)*('[1]Engagement Summary(Task1)'!$H$2:$H$201=Social_Media_Platform_Analysis!$AB50)*('[1]Engagement Summary(Task1)'!$B$2:$B$201=Social_Media_Platform_Analysis!$W50),'[1]Engagement Summary(Task1)'!$G$2:$G$201)</f>
        <v>4996</v>
      </c>
    </row>
    <row r="51" spans="2:29" x14ac:dyDescent="0.25">
      <c r="B51" s="11" t="str">
        <v>Facebook</v>
      </c>
      <c r="C51" s="11">
        <v>9.4600000000000004E-2</v>
      </c>
      <c r="G51" s="11" t="str">
        <v>Facebook</v>
      </c>
      <c r="H51" s="11">
        <v>370070</v>
      </c>
      <c r="I51" s="11">
        <v>2025</v>
      </c>
      <c r="J51" s="11">
        <v>3</v>
      </c>
      <c r="K51" s="11">
        <v>5</v>
      </c>
      <c r="L51" s="11">
        <v>514</v>
      </c>
      <c r="M51" s="11">
        <v>1.0843881856540085</v>
      </c>
      <c r="W51" s="11" t="s">
        <v>13</v>
      </c>
      <c r="X51" s="15">
        <v>45602</v>
      </c>
      <c r="Y51" s="11">
        <f xml:space="preserve"> SUM([1]!Posts[[#This Row],[Likes]],[1]!Posts[[#This Row],[Shares]],[1]!Posts[[#This Row],[Comments]])</f>
        <v>1497</v>
      </c>
      <c r="Z51" s="11">
        <f t="shared" si="0"/>
        <v>11</v>
      </c>
      <c r="AA51" s="11">
        <f t="shared" si="1"/>
        <v>1</v>
      </c>
      <c r="AB51" s="11">
        <f t="shared" si="2"/>
        <v>2024</v>
      </c>
      <c r="AC51" s="11" cm="1">
        <f t="array" ref="AC51">_xlfn.XLOOKUP(1, ('[1]Engagement Summary(Task1)'!$J$2:$J$201=Social_Media_Platform_Analysis!$AA51)*('[1]Engagement Summary(Task1)'!$I$2:$I$201=Social_Media_Platform_Analysis!$Z51)*('[1]Engagement Summary(Task1)'!$H$2:$H$201=Social_Media_Platform_Analysis!$AB51)*('[1]Engagement Summary(Task1)'!$B$2:$B$201=Social_Media_Platform_Analysis!$W51),'[1]Engagement Summary(Task1)'!$G$2:$G$201)</f>
        <v>4996</v>
      </c>
    </row>
    <row r="52" spans="2:29" x14ac:dyDescent="0.25">
      <c r="B52" s="11" t="str">
        <v>Facebook</v>
      </c>
      <c r="C52" s="11">
        <v>2.4900000000000002E-2</v>
      </c>
      <c r="G52" s="11" t="str">
        <v>Facebook</v>
      </c>
      <c r="H52" s="11">
        <v>98596</v>
      </c>
      <c r="I52" s="11">
        <v>2025</v>
      </c>
      <c r="J52" s="11">
        <v>4</v>
      </c>
      <c r="K52" s="11">
        <v>1</v>
      </c>
      <c r="L52" s="11">
        <v>1029</v>
      </c>
      <c r="M52" s="11">
        <v>2.0019455252918288</v>
      </c>
      <c r="W52" s="11" t="s">
        <v>13</v>
      </c>
      <c r="X52" s="15">
        <v>45602</v>
      </c>
      <c r="Y52" s="11">
        <f xml:space="preserve"> SUM([1]!Posts[[#This Row],[Likes]],[1]!Posts[[#This Row],[Shares]],[1]!Posts[[#This Row],[Comments]])</f>
        <v>3609</v>
      </c>
      <c r="Z52" s="11">
        <f t="shared" si="0"/>
        <v>11</v>
      </c>
      <c r="AA52" s="11">
        <f t="shared" si="1"/>
        <v>1</v>
      </c>
      <c r="AB52" s="11">
        <f t="shared" si="2"/>
        <v>2024</v>
      </c>
      <c r="AC52" s="11" cm="1">
        <f t="array" ref="AC52">_xlfn.XLOOKUP(1, ('[1]Engagement Summary(Task1)'!$J$2:$J$201=Social_Media_Platform_Analysis!$AA52)*('[1]Engagement Summary(Task1)'!$I$2:$I$201=Social_Media_Platform_Analysis!$Z52)*('[1]Engagement Summary(Task1)'!$H$2:$H$201=Social_Media_Platform_Analysis!$AB52)*('[1]Engagement Summary(Task1)'!$B$2:$B$201=Social_Media_Platform_Analysis!$W52),'[1]Engagement Summary(Task1)'!$G$2:$G$201)</f>
        <v>4996</v>
      </c>
    </row>
    <row r="53" spans="2:29" x14ac:dyDescent="0.25">
      <c r="B53" s="11" t="str">
        <v>Facebook</v>
      </c>
      <c r="C53" s="11">
        <v>4.8300000000000003E-2</v>
      </c>
      <c r="G53" s="11" t="str">
        <v>Facebook</v>
      </c>
      <c r="H53" s="11">
        <v>70707</v>
      </c>
      <c r="I53" s="11">
        <v>2025</v>
      </c>
      <c r="J53" s="11">
        <v>4</v>
      </c>
      <c r="K53" s="11">
        <v>2</v>
      </c>
      <c r="L53" s="11">
        <v>-175</v>
      </c>
      <c r="M53" s="11">
        <v>-0.17006802721088435</v>
      </c>
      <c r="W53" s="11" t="s">
        <v>13</v>
      </c>
      <c r="X53" s="15">
        <v>45608</v>
      </c>
      <c r="Y53" s="11">
        <f xml:space="preserve"> SUM([1]!Posts[[#This Row],[Likes]],[1]!Posts[[#This Row],[Shares]],[1]!Posts[[#This Row],[Comments]])</f>
        <v>2723</v>
      </c>
      <c r="Z53" s="11">
        <f t="shared" si="0"/>
        <v>11</v>
      </c>
      <c r="AA53" s="11">
        <f t="shared" si="1"/>
        <v>2</v>
      </c>
      <c r="AB53" s="11">
        <f t="shared" si="2"/>
        <v>2024</v>
      </c>
      <c r="AC53" s="11" cm="1">
        <f t="array" ref="AC53">_xlfn.XLOOKUP(1, ('[1]Engagement Summary(Task1)'!$J$2:$J$201=Social_Media_Platform_Analysis!$AA53)*('[1]Engagement Summary(Task1)'!$I$2:$I$201=Social_Media_Platform_Analysis!$Z53)*('[1]Engagement Summary(Task1)'!$H$2:$H$201=Social_Media_Platform_Analysis!$AB53)*('[1]Engagement Summary(Task1)'!$B$2:$B$201=Social_Media_Platform_Analysis!$W53),'[1]Engagement Summary(Task1)'!$G$2:$G$201)</f>
        <v>38452</v>
      </c>
    </row>
    <row r="54" spans="2:29" x14ac:dyDescent="0.25">
      <c r="B54" s="11" t="str">
        <v>Facebook</v>
      </c>
      <c r="C54" s="11">
        <v>2.6000000000000002E-2</v>
      </c>
      <c r="G54" s="11" t="str">
        <v>Facebook</v>
      </c>
      <c r="H54" s="11">
        <v>377382</v>
      </c>
      <c r="I54" s="11">
        <v>2025</v>
      </c>
      <c r="J54" s="11">
        <v>4</v>
      </c>
      <c r="K54" s="11">
        <v>3</v>
      </c>
      <c r="L54" s="11">
        <v>1045</v>
      </c>
      <c r="M54" s="11">
        <v>-5.9714285714285715</v>
      </c>
      <c r="W54" s="11" t="s">
        <v>13</v>
      </c>
      <c r="X54" s="15">
        <v>45613</v>
      </c>
      <c r="Y54" s="11">
        <f xml:space="preserve"> SUM([1]!Posts[[#This Row],[Likes]],[1]!Posts[[#This Row],[Shares]],[1]!Posts[[#This Row],[Comments]])</f>
        <v>2987</v>
      </c>
      <c r="Z54" s="11">
        <f t="shared" si="0"/>
        <v>11</v>
      </c>
      <c r="AA54" s="11">
        <f t="shared" si="1"/>
        <v>3</v>
      </c>
      <c r="AB54" s="11">
        <f t="shared" si="2"/>
        <v>2024</v>
      </c>
      <c r="AC54" s="11" cm="1">
        <f t="array" ref="AC54">_xlfn.XLOOKUP(1, ('[1]Engagement Summary(Task1)'!$J$2:$J$201=Social_Media_Platform_Analysis!$AA54)*('[1]Engagement Summary(Task1)'!$I$2:$I$201=Social_Media_Platform_Analysis!$Z54)*('[1]Engagement Summary(Task1)'!$H$2:$H$201=Social_Media_Platform_Analysis!$AB54)*('[1]Engagement Summary(Task1)'!$B$2:$B$201=Social_Media_Platform_Analysis!$W54),'[1]Engagement Summary(Task1)'!$G$2:$G$201)</f>
        <v>39997</v>
      </c>
    </row>
    <row r="55" spans="2:29" x14ac:dyDescent="0.25">
      <c r="B55" s="11" t="str">
        <v>Facebook</v>
      </c>
      <c r="C55" s="11">
        <v>3.8599999999999995E-2</v>
      </c>
      <c r="G55" s="11" t="str">
        <v>Facebook</v>
      </c>
      <c r="H55" s="11">
        <v>224830</v>
      </c>
      <c r="I55" s="11">
        <v>2025</v>
      </c>
      <c r="J55" s="11">
        <v>4</v>
      </c>
      <c r="K55" s="11">
        <v>4</v>
      </c>
      <c r="L55" s="11">
        <v>453</v>
      </c>
      <c r="M55" s="11">
        <v>0.43349282296650715</v>
      </c>
      <c r="W55" s="11" t="s">
        <v>13</v>
      </c>
      <c r="X55" s="15">
        <v>45613</v>
      </c>
      <c r="Y55" s="11">
        <f xml:space="preserve"> SUM([1]!Posts[[#This Row],[Likes]],[1]!Posts[[#This Row],[Shares]],[1]!Posts[[#This Row],[Comments]])</f>
        <v>2974</v>
      </c>
      <c r="Z55" s="11">
        <f t="shared" si="0"/>
        <v>11</v>
      </c>
      <c r="AA55" s="11">
        <f t="shared" si="1"/>
        <v>3</v>
      </c>
      <c r="AB55" s="11">
        <f t="shared" si="2"/>
        <v>2024</v>
      </c>
      <c r="AC55" s="11" cm="1">
        <f t="array" ref="AC55">_xlfn.XLOOKUP(1, ('[1]Engagement Summary(Task1)'!$J$2:$J$201=Social_Media_Platform_Analysis!$AA55)*('[1]Engagement Summary(Task1)'!$I$2:$I$201=Social_Media_Platform_Analysis!$Z55)*('[1]Engagement Summary(Task1)'!$H$2:$H$201=Social_Media_Platform_Analysis!$AB55)*('[1]Engagement Summary(Task1)'!$B$2:$B$201=Social_Media_Platform_Analysis!$W55),'[1]Engagement Summary(Task1)'!$G$2:$G$201)</f>
        <v>39997</v>
      </c>
    </row>
    <row r="56" spans="2:29" x14ac:dyDescent="0.25">
      <c r="B56" s="11" t="str">
        <v>Facebook</v>
      </c>
      <c r="C56" s="11">
        <v>5.5899999999999998E-2</v>
      </c>
      <c r="G56" s="11" t="str">
        <v>Facebook</v>
      </c>
      <c r="H56" s="11">
        <v>418696</v>
      </c>
      <c r="I56" s="11">
        <v>2025</v>
      </c>
      <c r="J56" s="11">
        <v>5</v>
      </c>
      <c r="K56" s="11">
        <v>1</v>
      </c>
      <c r="L56" s="11">
        <v>339</v>
      </c>
      <c r="M56" s="11">
        <v>0.7483443708609272</v>
      </c>
      <c r="W56" s="11" t="s">
        <v>13</v>
      </c>
      <c r="X56" s="15">
        <v>45621</v>
      </c>
      <c r="Y56" s="11">
        <f xml:space="preserve"> SUM([1]!Posts[[#This Row],[Likes]],[1]!Posts[[#This Row],[Shares]],[1]!Posts[[#This Row],[Comments]])</f>
        <v>2943</v>
      </c>
      <c r="Z56" s="11">
        <f t="shared" si="0"/>
        <v>11</v>
      </c>
      <c r="AA56" s="11">
        <f t="shared" si="1"/>
        <v>4</v>
      </c>
      <c r="AB56" s="11">
        <f t="shared" si="2"/>
        <v>2024</v>
      </c>
      <c r="AC56" s="11" cm="1">
        <f t="array" ref="AC56">_xlfn.XLOOKUP(1, ('[1]Engagement Summary(Task1)'!$J$2:$J$201=Social_Media_Platform_Analysis!$AA56)*('[1]Engagement Summary(Task1)'!$I$2:$I$201=Social_Media_Platform_Analysis!$Z56)*('[1]Engagement Summary(Task1)'!$H$2:$H$201=Social_Media_Platform_Analysis!$AB56)*('[1]Engagement Summary(Task1)'!$B$2:$B$201=Social_Media_Platform_Analysis!$W56),'[1]Engagement Summary(Task1)'!$G$2:$G$201)</f>
        <v>28498</v>
      </c>
    </row>
    <row r="57" spans="2:29" x14ac:dyDescent="0.25">
      <c r="B57" s="11" t="str">
        <v>Facebook</v>
      </c>
      <c r="C57" s="11">
        <v>0.04</v>
      </c>
      <c r="G57" s="11" t="str">
        <v>Facebook</v>
      </c>
      <c r="H57" s="11">
        <v>364820</v>
      </c>
      <c r="I57" s="11">
        <v>2025</v>
      </c>
      <c r="J57" s="11">
        <v>5</v>
      </c>
      <c r="K57" s="11">
        <v>2</v>
      </c>
      <c r="L57" s="11">
        <v>407</v>
      </c>
      <c r="M57" s="11">
        <v>1.2005899705014749</v>
      </c>
      <c r="W57" s="11" t="s">
        <v>13</v>
      </c>
      <c r="X57" s="15">
        <v>45621</v>
      </c>
      <c r="Y57" s="11">
        <f xml:space="preserve"> SUM([1]!Posts[[#This Row],[Likes]],[1]!Posts[[#This Row],[Shares]],[1]!Posts[[#This Row],[Comments]])</f>
        <v>1635</v>
      </c>
      <c r="Z57" s="11">
        <f t="shared" si="0"/>
        <v>11</v>
      </c>
      <c r="AA57" s="11">
        <f t="shared" si="1"/>
        <v>4</v>
      </c>
      <c r="AB57" s="11">
        <f t="shared" si="2"/>
        <v>2024</v>
      </c>
      <c r="AC57" s="11" cm="1">
        <f t="array" ref="AC57">_xlfn.XLOOKUP(1, ('[1]Engagement Summary(Task1)'!$J$2:$J$201=Social_Media_Platform_Analysis!$AA57)*('[1]Engagement Summary(Task1)'!$I$2:$I$201=Social_Media_Platform_Analysis!$Z57)*('[1]Engagement Summary(Task1)'!$H$2:$H$201=Social_Media_Platform_Analysis!$AB57)*('[1]Engagement Summary(Task1)'!$B$2:$B$201=Social_Media_Platform_Analysis!$W57),'[1]Engagement Summary(Task1)'!$G$2:$G$201)</f>
        <v>28498</v>
      </c>
    </row>
    <row r="58" spans="2:29" x14ac:dyDescent="0.25">
      <c r="B58" s="11" t="str">
        <v>Instagram</v>
      </c>
      <c r="C58" s="11">
        <v>8.0600000000000005E-2</v>
      </c>
      <c r="G58" s="11" t="str">
        <v>Instagram</v>
      </c>
      <c r="H58" s="11">
        <v>344084</v>
      </c>
      <c r="I58" s="11">
        <v>2024</v>
      </c>
      <c r="J58" s="11">
        <v>6</v>
      </c>
      <c r="K58" s="11">
        <v>1</v>
      </c>
      <c r="L58" s="11">
        <v>1047</v>
      </c>
      <c r="M58" s="11">
        <v>1</v>
      </c>
      <c r="W58" s="11" t="s">
        <v>13</v>
      </c>
      <c r="X58" s="15">
        <v>45621</v>
      </c>
      <c r="Y58" s="11">
        <f xml:space="preserve"> SUM([1]!Posts[[#This Row],[Likes]],[1]!Posts[[#This Row],[Shares]],[1]!Posts[[#This Row],[Comments]])</f>
        <v>1486</v>
      </c>
      <c r="Z58" s="11">
        <f t="shared" si="0"/>
        <v>11</v>
      </c>
      <c r="AA58" s="11">
        <f t="shared" si="1"/>
        <v>4</v>
      </c>
      <c r="AB58" s="11">
        <f t="shared" si="2"/>
        <v>2024</v>
      </c>
      <c r="AC58" s="11" cm="1">
        <f t="array" ref="AC58">_xlfn.XLOOKUP(1, ('[1]Engagement Summary(Task1)'!$J$2:$J$201=Social_Media_Platform_Analysis!$AA58)*('[1]Engagement Summary(Task1)'!$I$2:$I$201=Social_Media_Platform_Analysis!$Z58)*('[1]Engagement Summary(Task1)'!$H$2:$H$201=Social_Media_Platform_Analysis!$AB58)*('[1]Engagement Summary(Task1)'!$B$2:$B$201=Social_Media_Platform_Analysis!$W58),'[1]Engagement Summary(Task1)'!$G$2:$G$201)</f>
        <v>28498</v>
      </c>
    </row>
    <row r="59" spans="2:29" x14ac:dyDescent="0.25">
      <c r="B59" s="11" t="str">
        <v>Instagram</v>
      </c>
      <c r="C59" s="11">
        <v>9.0500000000000011E-2</v>
      </c>
      <c r="G59" s="11" t="str">
        <v>Instagram</v>
      </c>
      <c r="H59" s="11">
        <v>49157</v>
      </c>
      <c r="I59" s="11">
        <v>2024</v>
      </c>
      <c r="J59" s="11">
        <v>6</v>
      </c>
      <c r="K59" s="11">
        <v>2</v>
      </c>
      <c r="L59" s="11">
        <v>517</v>
      </c>
      <c r="M59" s="11">
        <v>0.49379178605539636</v>
      </c>
      <c r="W59" s="11" t="s">
        <v>13</v>
      </c>
      <c r="X59" s="15">
        <v>45624</v>
      </c>
      <c r="Y59" s="11">
        <f xml:space="preserve"> SUM([1]!Posts[[#This Row],[Likes]],[1]!Posts[[#This Row],[Shares]],[1]!Posts[[#This Row],[Comments]])</f>
        <v>1486</v>
      </c>
      <c r="Z59" s="11">
        <f t="shared" si="0"/>
        <v>11</v>
      </c>
      <c r="AA59" s="11">
        <f t="shared" si="1"/>
        <v>4</v>
      </c>
      <c r="AB59" s="11">
        <f t="shared" si="2"/>
        <v>2024</v>
      </c>
      <c r="AC59" s="11" cm="1">
        <f t="array" ref="AC59">_xlfn.XLOOKUP(1, ('[1]Engagement Summary(Task1)'!$J$2:$J$201=Social_Media_Platform_Analysis!$AA59)*('[1]Engagement Summary(Task1)'!$I$2:$I$201=Social_Media_Platform_Analysis!$Z59)*('[1]Engagement Summary(Task1)'!$H$2:$H$201=Social_Media_Platform_Analysis!$AB59)*('[1]Engagement Summary(Task1)'!$B$2:$B$201=Social_Media_Platform_Analysis!$W59),'[1]Engagement Summary(Task1)'!$G$2:$G$201)</f>
        <v>28498</v>
      </c>
    </row>
    <row r="60" spans="2:29" x14ac:dyDescent="0.25">
      <c r="B60" s="11" t="str">
        <v>Instagram</v>
      </c>
      <c r="C60" s="11">
        <v>2.46E-2</v>
      </c>
      <c r="G60" s="11" t="str">
        <v>Instagram</v>
      </c>
      <c r="H60" s="11">
        <v>456946</v>
      </c>
      <c r="I60" s="11">
        <v>2024</v>
      </c>
      <c r="J60" s="11">
        <v>6</v>
      </c>
      <c r="K60" s="11">
        <v>3</v>
      </c>
      <c r="L60" s="11">
        <v>893</v>
      </c>
      <c r="M60" s="11">
        <v>1.7272727272727273</v>
      </c>
      <c r="W60" s="11" t="s">
        <v>13</v>
      </c>
      <c r="X60" s="15">
        <v>45624</v>
      </c>
      <c r="Y60" s="11">
        <f xml:space="preserve"> SUM([1]!Posts[[#This Row],[Likes]],[1]!Posts[[#This Row],[Shares]],[1]!Posts[[#This Row],[Comments]])</f>
        <v>3062</v>
      </c>
      <c r="Z60" s="11">
        <f t="shared" si="0"/>
        <v>11</v>
      </c>
      <c r="AA60" s="11">
        <f t="shared" si="1"/>
        <v>4</v>
      </c>
      <c r="AB60" s="11">
        <f t="shared" si="2"/>
        <v>2024</v>
      </c>
      <c r="AC60" s="11" cm="1">
        <f t="array" ref="AC60">_xlfn.XLOOKUP(1, ('[1]Engagement Summary(Task1)'!$J$2:$J$201=Social_Media_Platform_Analysis!$AA60)*('[1]Engagement Summary(Task1)'!$I$2:$I$201=Social_Media_Platform_Analysis!$Z60)*('[1]Engagement Summary(Task1)'!$H$2:$H$201=Social_Media_Platform_Analysis!$AB60)*('[1]Engagement Summary(Task1)'!$B$2:$B$201=Social_Media_Platform_Analysis!$W60),'[1]Engagement Summary(Task1)'!$G$2:$G$201)</f>
        <v>28498</v>
      </c>
    </row>
    <row r="61" spans="2:29" x14ac:dyDescent="0.25">
      <c r="B61" s="11" t="str">
        <v>Instagram</v>
      </c>
      <c r="C61" s="11">
        <v>6.9199999999999998E-2</v>
      </c>
      <c r="G61" s="11" t="str">
        <v>Instagram</v>
      </c>
      <c r="H61" s="11">
        <v>35664</v>
      </c>
      <c r="I61" s="11">
        <v>2024</v>
      </c>
      <c r="J61" s="11">
        <v>6</v>
      </c>
      <c r="K61" s="11">
        <v>4</v>
      </c>
      <c r="L61" s="11">
        <v>629</v>
      </c>
      <c r="M61" s="11">
        <v>0.70436730123180291</v>
      </c>
      <c r="W61" s="11" t="s">
        <v>13</v>
      </c>
      <c r="X61" s="15">
        <v>45629</v>
      </c>
      <c r="Y61" s="11">
        <f xml:space="preserve"> SUM([1]!Posts[[#This Row],[Likes]],[1]!Posts[[#This Row],[Shares]],[1]!Posts[[#This Row],[Comments]])</f>
        <v>1352</v>
      </c>
      <c r="Z61" s="11">
        <f t="shared" si="0"/>
        <v>12</v>
      </c>
      <c r="AA61" s="11">
        <f t="shared" si="1"/>
        <v>1</v>
      </c>
      <c r="AB61" s="11">
        <f t="shared" si="2"/>
        <v>2024</v>
      </c>
      <c r="AC61" s="11" cm="1">
        <f t="array" ref="AC61">_xlfn.XLOOKUP(1, ('[1]Engagement Summary(Task1)'!$J$2:$J$201=Social_Media_Platform_Analysis!$AA61)*('[1]Engagement Summary(Task1)'!$I$2:$I$201=Social_Media_Platform_Analysis!$Z61)*('[1]Engagement Summary(Task1)'!$H$2:$H$201=Social_Media_Platform_Analysis!$AB61)*('[1]Engagement Summary(Task1)'!$B$2:$B$201=Social_Media_Platform_Analysis!$W61),'[1]Engagement Summary(Task1)'!$G$2:$G$201)</f>
        <v>26103</v>
      </c>
    </row>
    <row r="62" spans="2:29" x14ac:dyDescent="0.25">
      <c r="B62" s="11" t="str">
        <v>Instagram</v>
      </c>
      <c r="C62" s="11">
        <v>9.3599999999999989E-2</v>
      </c>
      <c r="G62" s="11" t="str">
        <v>Instagram</v>
      </c>
      <c r="H62" s="11">
        <v>419447</v>
      </c>
      <c r="I62" s="11">
        <v>2024</v>
      </c>
      <c r="J62" s="11">
        <v>7</v>
      </c>
      <c r="K62" s="11">
        <v>1</v>
      </c>
      <c r="L62" s="11">
        <v>-219</v>
      </c>
      <c r="M62" s="11">
        <v>-0.3481717011128776</v>
      </c>
      <c r="W62" s="11" t="s">
        <v>13</v>
      </c>
      <c r="X62" s="15">
        <v>45635</v>
      </c>
      <c r="Y62" s="11">
        <f xml:space="preserve"> SUM([1]!Posts[[#This Row],[Likes]],[1]!Posts[[#This Row],[Shares]],[1]!Posts[[#This Row],[Comments]])</f>
        <v>3811</v>
      </c>
      <c r="Z62" s="11">
        <f t="shared" si="0"/>
        <v>12</v>
      </c>
      <c r="AA62" s="11">
        <f t="shared" si="1"/>
        <v>2</v>
      </c>
      <c r="AB62" s="11">
        <f t="shared" si="2"/>
        <v>2024</v>
      </c>
      <c r="AC62" s="11" cm="1">
        <f t="array" ref="AC62">_xlfn.XLOOKUP(1, ('[1]Engagement Summary(Task1)'!$J$2:$J$201=Social_Media_Platform_Analysis!$AA62)*('[1]Engagement Summary(Task1)'!$I$2:$I$201=Social_Media_Platform_Analysis!$Z62)*('[1]Engagement Summary(Task1)'!$H$2:$H$201=Social_Media_Platform_Analysis!$AB62)*('[1]Engagement Summary(Task1)'!$B$2:$B$201=Social_Media_Platform_Analysis!$W62),'[1]Engagement Summary(Task1)'!$G$2:$G$201)</f>
        <v>18601</v>
      </c>
    </row>
    <row r="63" spans="2:29" x14ac:dyDescent="0.25">
      <c r="B63" s="11" t="str">
        <v>Instagram</v>
      </c>
      <c r="C63" s="11">
        <v>8.7400000000000005E-2</v>
      </c>
      <c r="G63" s="11" t="str">
        <v>Instagram</v>
      </c>
      <c r="H63" s="11">
        <v>58223</v>
      </c>
      <c r="I63" s="11">
        <v>2024</v>
      </c>
      <c r="J63" s="11">
        <v>7</v>
      </c>
      <c r="K63" s="11">
        <v>2</v>
      </c>
      <c r="L63" s="11">
        <v>1672</v>
      </c>
      <c r="M63" s="11">
        <v>-7.634703196347032</v>
      </c>
      <c r="W63" s="11" t="s">
        <v>13</v>
      </c>
      <c r="X63" s="15">
        <v>45644</v>
      </c>
      <c r="Y63" s="11">
        <f xml:space="preserve"> SUM([1]!Posts[[#This Row],[Likes]],[1]!Posts[[#This Row],[Shares]],[1]!Posts[[#This Row],[Comments]])</f>
        <v>3655</v>
      </c>
      <c r="Z63" s="11">
        <f t="shared" si="0"/>
        <v>12</v>
      </c>
      <c r="AA63" s="11">
        <f t="shared" si="1"/>
        <v>3</v>
      </c>
      <c r="AB63" s="11">
        <f t="shared" si="2"/>
        <v>2024</v>
      </c>
      <c r="AC63" s="11" cm="1">
        <f t="array" ref="AC63">_xlfn.XLOOKUP(1, ('[1]Engagement Summary(Task1)'!$J$2:$J$201=Social_Media_Platform_Analysis!$AA63)*('[1]Engagement Summary(Task1)'!$I$2:$I$201=Social_Media_Platform_Analysis!$Z63)*('[1]Engagement Summary(Task1)'!$H$2:$H$201=Social_Media_Platform_Analysis!$AB63)*('[1]Engagement Summary(Task1)'!$B$2:$B$201=Social_Media_Platform_Analysis!$W63),'[1]Engagement Summary(Task1)'!$G$2:$G$201)</f>
        <v>18656</v>
      </c>
    </row>
    <row r="64" spans="2:29" x14ac:dyDescent="0.25">
      <c r="B64" s="11" t="str">
        <v>Instagram</v>
      </c>
      <c r="C64" s="11">
        <v>3.7400000000000003E-2</v>
      </c>
      <c r="G64" s="11" t="str">
        <v>Instagram</v>
      </c>
      <c r="H64" s="11">
        <v>154169</v>
      </c>
      <c r="I64" s="11">
        <v>2024</v>
      </c>
      <c r="J64" s="11">
        <v>7</v>
      </c>
      <c r="K64" s="11">
        <v>3</v>
      </c>
      <c r="L64" s="11">
        <v>1845</v>
      </c>
      <c r="M64" s="11">
        <v>1.1034688995215312</v>
      </c>
      <c r="W64" s="11" t="s">
        <v>13</v>
      </c>
      <c r="X64" s="15">
        <v>45648</v>
      </c>
      <c r="Y64" s="11">
        <f xml:space="preserve"> SUM([1]!Posts[[#This Row],[Likes]],[1]!Posts[[#This Row],[Shares]],[1]!Posts[[#This Row],[Comments]])</f>
        <v>892</v>
      </c>
      <c r="Z64" s="11">
        <f t="shared" si="0"/>
        <v>12</v>
      </c>
      <c r="AA64" s="11">
        <f t="shared" si="1"/>
        <v>4</v>
      </c>
      <c r="AB64" s="11">
        <f t="shared" si="2"/>
        <v>2024</v>
      </c>
      <c r="AC64" s="11" cm="1">
        <f t="array" ref="AC64">_xlfn.XLOOKUP(1, ('[1]Engagement Summary(Task1)'!$J$2:$J$201=Social_Media_Platform_Analysis!$AA64)*('[1]Engagement Summary(Task1)'!$I$2:$I$201=Social_Media_Platform_Analysis!$Z64)*('[1]Engagement Summary(Task1)'!$H$2:$H$201=Social_Media_Platform_Analysis!$AB64)*('[1]Engagement Summary(Task1)'!$B$2:$B$201=Social_Media_Platform_Analysis!$W64),'[1]Engagement Summary(Task1)'!$G$2:$G$201)</f>
        <v>47502</v>
      </c>
    </row>
    <row r="65" spans="2:29" x14ac:dyDescent="0.25">
      <c r="B65" s="11" t="str">
        <v>Instagram</v>
      </c>
      <c r="C65" s="11">
        <v>7.8799999999999995E-2</v>
      </c>
      <c r="G65" s="11" t="str">
        <v>Instagram</v>
      </c>
      <c r="H65" s="11">
        <v>473812</v>
      </c>
      <c r="I65" s="11">
        <v>2024</v>
      </c>
      <c r="J65" s="11">
        <v>7</v>
      </c>
      <c r="K65" s="11">
        <v>4</v>
      </c>
      <c r="L65" s="11">
        <v>159</v>
      </c>
      <c r="M65" s="11">
        <v>8.6178861788617889E-2</v>
      </c>
      <c r="W65" s="11" t="s">
        <v>13</v>
      </c>
      <c r="X65" s="15">
        <v>45660</v>
      </c>
      <c r="Y65" s="11">
        <f xml:space="preserve"> SUM([1]!Posts[[#This Row],[Likes]],[1]!Posts[[#This Row],[Shares]],[1]!Posts[[#This Row],[Comments]])</f>
        <v>2830</v>
      </c>
      <c r="Z65" s="11">
        <f t="shared" si="0"/>
        <v>1</v>
      </c>
      <c r="AA65" s="11">
        <f t="shared" si="1"/>
        <v>1</v>
      </c>
      <c r="AB65" s="11">
        <f t="shared" si="2"/>
        <v>2025</v>
      </c>
      <c r="AC65" s="11" cm="1">
        <f t="array" ref="AC65">_xlfn.XLOOKUP(1, ('[1]Engagement Summary(Task1)'!$J$2:$J$201=Social_Media_Platform_Analysis!$AA65)*('[1]Engagement Summary(Task1)'!$I$2:$I$201=Social_Media_Platform_Analysis!$Z65)*('[1]Engagement Summary(Task1)'!$H$2:$H$201=Social_Media_Platform_Analysis!$AB65)*('[1]Engagement Summary(Task1)'!$B$2:$B$201=Social_Media_Platform_Analysis!$W65),'[1]Engagement Summary(Task1)'!$G$2:$G$201)</f>
        <v>17951</v>
      </c>
    </row>
    <row r="66" spans="2:29" x14ac:dyDescent="0.25">
      <c r="B66" s="11" t="str">
        <v>Instagram</v>
      </c>
      <c r="C66" s="11">
        <v>4.0500000000000001E-2</v>
      </c>
      <c r="G66" s="11" t="str">
        <v>Instagram</v>
      </c>
      <c r="H66" s="11">
        <v>23664</v>
      </c>
      <c r="I66" s="11">
        <v>2024</v>
      </c>
      <c r="J66" s="11">
        <v>7</v>
      </c>
      <c r="K66" s="11">
        <v>5</v>
      </c>
      <c r="L66" s="11">
        <v>541</v>
      </c>
      <c r="M66" s="11">
        <v>3.4025157232704402</v>
      </c>
      <c r="W66" s="11" t="s">
        <v>13</v>
      </c>
      <c r="X66" s="15">
        <v>45663</v>
      </c>
      <c r="Y66" s="11">
        <f xml:space="preserve"> SUM([1]!Posts[[#This Row],[Likes]],[1]!Posts[[#This Row],[Shares]],[1]!Posts[[#This Row],[Comments]])</f>
        <v>1940</v>
      </c>
      <c r="Z66" s="11">
        <f t="shared" si="0"/>
        <v>1</v>
      </c>
      <c r="AA66" s="11">
        <f t="shared" si="1"/>
        <v>1</v>
      </c>
      <c r="AB66" s="11">
        <f t="shared" si="2"/>
        <v>2025</v>
      </c>
      <c r="AC66" s="11" cm="1">
        <f t="array" ref="AC66">_xlfn.XLOOKUP(1, ('[1]Engagement Summary(Task1)'!$J$2:$J$201=Social_Media_Platform_Analysis!$AA66)*('[1]Engagement Summary(Task1)'!$I$2:$I$201=Social_Media_Platform_Analysis!$Z66)*('[1]Engagement Summary(Task1)'!$H$2:$H$201=Social_Media_Platform_Analysis!$AB66)*('[1]Engagement Summary(Task1)'!$B$2:$B$201=Social_Media_Platform_Analysis!$W66),'[1]Engagement Summary(Task1)'!$G$2:$G$201)</f>
        <v>17951</v>
      </c>
    </row>
    <row r="67" spans="2:29" x14ac:dyDescent="0.25">
      <c r="B67" s="11" t="str">
        <v>Instagram</v>
      </c>
      <c r="C67" s="11">
        <v>7.8299999999999995E-2</v>
      </c>
      <c r="G67" s="11" t="str">
        <v>Instagram</v>
      </c>
      <c r="H67" s="11">
        <v>437968</v>
      </c>
      <c r="I67" s="11">
        <v>2024</v>
      </c>
      <c r="J67" s="11">
        <v>8</v>
      </c>
      <c r="K67" s="11">
        <v>1</v>
      </c>
      <c r="L67" s="11">
        <v>352</v>
      </c>
      <c r="M67" s="11">
        <v>0.65064695009242146</v>
      </c>
      <c r="W67" s="11" t="s">
        <v>13</v>
      </c>
      <c r="X67" s="15">
        <v>45669</v>
      </c>
      <c r="Y67" s="11">
        <f xml:space="preserve"> SUM([1]!Posts[[#This Row],[Likes]],[1]!Posts[[#This Row],[Shares]],[1]!Posts[[#This Row],[Comments]])</f>
        <v>1940</v>
      </c>
      <c r="Z67" s="11">
        <f t="shared" si="0"/>
        <v>1</v>
      </c>
      <c r="AA67" s="11">
        <f t="shared" si="1"/>
        <v>2</v>
      </c>
      <c r="AB67" s="11">
        <f t="shared" si="2"/>
        <v>2025</v>
      </c>
      <c r="AC67" s="11" cm="1">
        <f t="array" ref="AC67">_xlfn.XLOOKUP(1, ('[1]Engagement Summary(Task1)'!$J$2:$J$201=Social_Media_Platform_Analysis!$AA67)*('[1]Engagement Summary(Task1)'!$I$2:$I$201=Social_Media_Platform_Analysis!$Z67)*('[1]Engagement Summary(Task1)'!$H$2:$H$201=Social_Media_Platform_Analysis!$AB67)*('[1]Engagement Summary(Task1)'!$B$2:$B$201=Social_Media_Platform_Analysis!$W67),'[1]Engagement Summary(Task1)'!$G$2:$G$201)</f>
        <v>45708</v>
      </c>
    </row>
    <row r="68" spans="2:29" x14ac:dyDescent="0.25">
      <c r="B68" s="11" t="str">
        <v>Instagram</v>
      </c>
      <c r="C68" s="11">
        <v>6.2300000000000001E-2</v>
      </c>
      <c r="G68" s="11" t="str">
        <v>Instagram</v>
      </c>
      <c r="H68" s="11">
        <v>489188</v>
      </c>
      <c r="I68" s="11">
        <v>2024</v>
      </c>
      <c r="J68" s="11">
        <v>8</v>
      </c>
      <c r="K68" s="11">
        <v>2</v>
      </c>
      <c r="L68" s="11">
        <v>1325</v>
      </c>
      <c r="M68" s="11">
        <v>3.7642045454545454</v>
      </c>
      <c r="W68" s="11" t="s">
        <v>13</v>
      </c>
      <c r="X68" s="15">
        <v>45675</v>
      </c>
      <c r="Y68" s="11">
        <f xml:space="preserve"> SUM([1]!Posts[[#This Row],[Likes]],[1]!Posts[[#This Row],[Shares]],[1]!Posts[[#This Row],[Comments]])</f>
        <v>1940</v>
      </c>
      <c r="Z68" s="11">
        <f t="shared" si="0"/>
        <v>1</v>
      </c>
      <c r="AA68" s="11">
        <f t="shared" si="1"/>
        <v>3</v>
      </c>
      <c r="AB68" s="11">
        <f t="shared" si="2"/>
        <v>2025</v>
      </c>
      <c r="AC68" s="11" cm="1">
        <f t="array" ref="AC68">_xlfn.XLOOKUP(1, ('[1]Engagement Summary(Task1)'!$J$2:$J$201=Social_Media_Platform_Analysis!$AA68)*('[1]Engagement Summary(Task1)'!$I$2:$I$201=Social_Media_Platform_Analysis!$Z68)*('[1]Engagement Summary(Task1)'!$H$2:$H$201=Social_Media_Platform_Analysis!$AB68)*('[1]Engagement Summary(Task1)'!$B$2:$B$201=Social_Media_Platform_Analysis!$W68),'[1]Engagement Summary(Task1)'!$G$2:$G$201)</f>
        <v>23853</v>
      </c>
    </row>
    <row r="69" spans="2:29" x14ac:dyDescent="0.25">
      <c r="B69" s="11" t="str">
        <v>Instagram</v>
      </c>
      <c r="C69" s="11">
        <v>3.2500000000000001E-2</v>
      </c>
      <c r="G69" s="11" t="str">
        <v>Instagram</v>
      </c>
      <c r="H69" s="11">
        <v>325444</v>
      </c>
      <c r="I69" s="11">
        <v>2024</v>
      </c>
      <c r="J69" s="11">
        <v>8</v>
      </c>
      <c r="K69" s="11">
        <v>3</v>
      </c>
      <c r="L69" s="11">
        <v>76</v>
      </c>
      <c r="M69" s="11">
        <v>5.7358490566037736E-2</v>
      </c>
      <c r="W69" s="11" t="s">
        <v>13</v>
      </c>
      <c r="X69" s="15">
        <v>45680</v>
      </c>
      <c r="Y69" s="11">
        <f xml:space="preserve"> SUM([1]!Posts[[#This Row],[Likes]],[1]!Posts[[#This Row],[Shares]],[1]!Posts[[#This Row],[Comments]])</f>
        <v>6278</v>
      </c>
      <c r="Z69" s="11">
        <f t="shared" si="0"/>
        <v>1</v>
      </c>
      <c r="AA69" s="11">
        <f t="shared" si="1"/>
        <v>4</v>
      </c>
      <c r="AB69" s="11">
        <f t="shared" si="2"/>
        <v>2025</v>
      </c>
      <c r="AC69" s="11" cm="1">
        <f t="array" ref="AC69">_xlfn.XLOOKUP(1, ('[1]Engagement Summary(Task1)'!$J$2:$J$201=Social_Media_Platform_Analysis!$AA69)*('[1]Engagement Summary(Task1)'!$I$2:$I$201=Social_Media_Platform_Analysis!$Z69)*('[1]Engagement Summary(Task1)'!$H$2:$H$201=Social_Media_Platform_Analysis!$AB69)*('[1]Engagement Summary(Task1)'!$B$2:$B$201=Social_Media_Platform_Analysis!$W69),'[1]Engagement Summary(Task1)'!$G$2:$G$201)</f>
        <v>20560</v>
      </c>
    </row>
    <row r="70" spans="2:29" x14ac:dyDescent="0.25">
      <c r="B70" s="11" t="str">
        <v>Instagram</v>
      </c>
      <c r="C70" s="11">
        <v>5.7099999999999998E-2</v>
      </c>
      <c r="G70" s="11" t="str">
        <v>Instagram</v>
      </c>
      <c r="H70" s="11">
        <v>453799</v>
      </c>
      <c r="I70" s="11">
        <v>2024</v>
      </c>
      <c r="J70" s="11">
        <v>8</v>
      </c>
      <c r="K70" s="11">
        <v>4</v>
      </c>
      <c r="L70" s="11">
        <v>1609</v>
      </c>
      <c r="M70" s="11">
        <v>21.171052631578949</v>
      </c>
      <c r="W70" s="11" t="s">
        <v>13</v>
      </c>
      <c r="X70" s="15">
        <v>45684</v>
      </c>
      <c r="Y70" s="11">
        <f xml:space="preserve"> SUM([1]!Posts[[#This Row],[Likes]],[1]!Posts[[#This Row],[Shares]],[1]!Posts[[#This Row],[Comments]])</f>
        <v>513</v>
      </c>
      <c r="Z70" s="11">
        <f t="shared" si="0"/>
        <v>1</v>
      </c>
      <c r="AA70" s="11">
        <f t="shared" si="1"/>
        <v>4</v>
      </c>
      <c r="AB70" s="11">
        <f t="shared" si="2"/>
        <v>2025</v>
      </c>
      <c r="AC70" s="11" cm="1">
        <f t="array" ref="AC70">_xlfn.XLOOKUP(1, ('[1]Engagement Summary(Task1)'!$J$2:$J$201=Social_Media_Platform_Analysis!$AA70)*('[1]Engagement Summary(Task1)'!$I$2:$I$201=Social_Media_Platform_Analysis!$Z70)*('[1]Engagement Summary(Task1)'!$H$2:$H$201=Social_Media_Platform_Analysis!$AB70)*('[1]Engagement Summary(Task1)'!$B$2:$B$201=Social_Media_Platform_Analysis!$W70),'[1]Engagement Summary(Task1)'!$G$2:$G$201)</f>
        <v>20560</v>
      </c>
    </row>
    <row r="71" spans="2:29" x14ac:dyDescent="0.25">
      <c r="B71" s="11" t="str">
        <v>Instagram</v>
      </c>
      <c r="C71" s="11">
        <v>7.1599999999999997E-2</v>
      </c>
      <c r="G71" s="11" t="str">
        <v>Instagram</v>
      </c>
      <c r="H71" s="11">
        <v>101332</v>
      </c>
      <c r="I71" s="11">
        <v>2024</v>
      </c>
      <c r="J71" s="11">
        <v>9</v>
      </c>
      <c r="K71" s="11">
        <v>1</v>
      </c>
      <c r="L71" s="11">
        <v>1247</v>
      </c>
      <c r="M71" s="11">
        <v>0.7750155376009944</v>
      </c>
      <c r="W71" s="11" t="s">
        <v>13</v>
      </c>
      <c r="X71" s="15">
        <v>45690</v>
      </c>
      <c r="Y71" s="11">
        <f xml:space="preserve"> SUM([1]!Posts[[#This Row],[Likes]],[1]!Posts[[#This Row],[Shares]],[1]!Posts[[#This Row],[Comments]])</f>
        <v>4737</v>
      </c>
      <c r="Z71" s="11">
        <f t="shared" ref="Z71:Z134" si="3">MONTH(X71)</f>
        <v>2</v>
      </c>
      <c r="AA71" s="11">
        <f t="shared" ref="AA71:AA134" si="4">INT((DAY(X71)-1)/7)+1</f>
        <v>1</v>
      </c>
      <c r="AB71" s="11">
        <f t="shared" ref="AB71:AB134" si="5">YEAR(X71)</f>
        <v>2025</v>
      </c>
      <c r="AC71" s="11" cm="1">
        <f t="array" ref="AC71">_xlfn.XLOOKUP(1, ('[1]Engagement Summary(Task1)'!$J$2:$J$201=Social_Media_Platform_Analysis!$AA71)*('[1]Engagement Summary(Task1)'!$I$2:$I$201=Social_Media_Platform_Analysis!$Z71)*('[1]Engagement Summary(Task1)'!$H$2:$H$201=Social_Media_Platform_Analysis!$AB71)*('[1]Engagement Summary(Task1)'!$B$2:$B$201=Social_Media_Platform_Analysis!$W71),'[1]Engagement Summary(Task1)'!$G$2:$G$201)</f>
        <v>40323</v>
      </c>
    </row>
    <row r="72" spans="2:29" x14ac:dyDescent="0.25">
      <c r="B72" s="11" t="str">
        <v>Instagram</v>
      </c>
      <c r="C72" s="11">
        <v>9.0899999999999995E-2</v>
      </c>
      <c r="G72" s="11" t="str">
        <v>Instagram</v>
      </c>
      <c r="H72" s="11">
        <v>378054</v>
      </c>
      <c r="I72" s="11">
        <v>2024</v>
      </c>
      <c r="J72" s="11">
        <v>9</v>
      </c>
      <c r="K72" s="11">
        <v>2</v>
      </c>
      <c r="L72" s="11">
        <v>1572</v>
      </c>
      <c r="M72" s="11">
        <v>1.2606255012028869</v>
      </c>
      <c r="W72" s="11" t="s">
        <v>13</v>
      </c>
      <c r="X72" s="15">
        <v>45694</v>
      </c>
      <c r="Y72" s="11">
        <f xml:space="preserve"> SUM([1]!Posts[[#This Row],[Likes]],[1]!Posts[[#This Row],[Shares]],[1]!Posts[[#This Row],[Comments]])</f>
        <v>3542</v>
      </c>
      <c r="Z72" s="11">
        <f t="shared" si="3"/>
        <v>2</v>
      </c>
      <c r="AA72" s="11">
        <f t="shared" si="4"/>
        <v>1</v>
      </c>
      <c r="AB72" s="11">
        <f t="shared" si="5"/>
        <v>2025</v>
      </c>
      <c r="AC72" s="11" cm="1">
        <f t="array" ref="AC72">_xlfn.XLOOKUP(1, ('[1]Engagement Summary(Task1)'!$J$2:$J$201=Social_Media_Platform_Analysis!$AA72)*('[1]Engagement Summary(Task1)'!$I$2:$I$201=Social_Media_Platform_Analysis!$Z72)*('[1]Engagement Summary(Task1)'!$H$2:$H$201=Social_Media_Platform_Analysis!$AB72)*('[1]Engagement Summary(Task1)'!$B$2:$B$201=Social_Media_Platform_Analysis!$W72),'[1]Engagement Summary(Task1)'!$G$2:$G$201)</f>
        <v>40323</v>
      </c>
    </row>
    <row r="73" spans="2:29" x14ac:dyDescent="0.25">
      <c r="B73" s="11" t="str">
        <v>Instagram</v>
      </c>
      <c r="C73" s="11">
        <v>3.4000000000000002E-2</v>
      </c>
      <c r="G73" s="11" t="str">
        <v>Instagram</v>
      </c>
      <c r="H73" s="11">
        <v>50793</v>
      </c>
      <c r="I73" s="11">
        <v>2024</v>
      </c>
      <c r="J73" s="11">
        <v>9</v>
      </c>
      <c r="K73" s="11">
        <v>3</v>
      </c>
      <c r="L73" s="11">
        <v>377</v>
      </c>
      <c r="M73" s="11">
        <v>0.23982188295165394</v>
      </c>
      <c r="W73" s="11" t="s">
        <v>13</v>
      </c>
      <c r="X73" s="15">
        <v>45698</v>
      </c>
      <c r="Y73" s="11">
        <f xml:space="preserve"> SUM([1]!Posts[[#This Row],[Likes]],[1]!Posts[[#This Row],[Shares]],[1]!Posts[[#This Row],[Comments]])</f>
        <v>2481</v>
      </c>
      <c r="Z73" s="11">
        <f t="shared" si="3"/>
        <v>2</v>
      </c>
      <c r="AA73" s="11">
        <f t="shared" si="4"/>
        <v>2</v>
      </c>
      <c r="AB73" s="11">
        <f t="shared" si="5"/>
        <v>2025</v>
      </c>
      <c r="AC73" s="11" cm="1">
        <f t="array" ref="AC73">_xlfn.XLOOKUP(1, ('[1]Engagement Summary(Task1)'!$J$2:$J$201=Social_Media_Platform_Analysis!$AA73)*('[1]Engagement Summary(Task1)'!$I$2:$I$201=Social_Media_Platform_Analysis!$Z73)*('[1]Engagement Summary(Task1)'!$H$2:$H$201=Social_Media_Platform_Analysis!$AB73)*('[1]Engagement Summary(Task1)'!$B$2:$B$201=Social_Media_Platform_Analysis!$W73),'[1]Engagement Summary(Task1)'!$G$2:$G$201)</f>
        <v>23489</v>
      </c>
    </row>
    <row r="74" spans="2:29" x14ac:dyDescent="0.25">
      <c r="B74" s="11" t="str">
        <v>Instagram</v>
      </c>
      <c r="C74" s="11">
        <v>2.3599999999999999E-2</v>
      </c>
      <c r="G74" s="11" t="str">
        <v>Instagram</v>
      </c>
      <c r="H74" s="11">
        <v>422625</v>
      </c>
      <c r="I74" s="11">
        <v>2024</v>
      </c>
      <c r="J74" s="11">
        <v>9</v>
      </c>
      <c r="K74" s="11">
        <v>4</v>
      </c>
      <c r="L74" s="11">
        <v>666</v>
      </c>
      <c r="M74" s="11">
        <v>1.76657824933687</v>
      </c>
      <c r="W74" s="11" t="s">
        <v>13</v>
      </c>
      <c r="X74" s="15">
        <v>45704</v>
      </c>
      <c r="Y74" s="11">
        <f xml:space="preserve"> SUM([1]!Posts[[#This Row],[Likes]],[1]!Posts[[#This Row],[Shares]],[1]!Posts[[#This Row],[Comments]])</f>
        <v>883</v>
      </c>
      <c r="Z74" s="11">
        <f t="shared" si="3"/>
        <v>2</v>
      </c>
      <c r="AA74" s="11">
        <f t="shared" si="4"/>
        <v>3</v>
      </c>
      <c r="AB74" s="11">
        <f t="shared" si="5"/>
        <v>2025</v>
      </c>
      <c r="AC74" s="11" cm="1">
        <f t="array" ref="AC74">_xlfn.XLOOKUP(1, ('[1]Engagement Summary(Task1)'!$J$2:$J$201=Social_Media_Platform_Analysis!$AA74)*('[1]Engagement Summary(Task1)'!$I$2:$I$201=Social_Media_Platform_Analysis!$Z74)*('[1]Engagement Summary(Task1)'!$H$2:$H$201=Social_Media_Platform_Analysis!$AB74)*('[1]Engagement Summary(Task1)'!$B$2:$B$201=Social_Media_Platform_Analysis!$W74),'[1]Engagement Summary(Task1)'!$G$2:$G$201)</f>
        <v>31853</v>
      </c>
    </row>
    <row r="75" spans="2:29" x14ac:dyDescent="0.25">
      <c r="B75" s="11" t="str">
        <v>Instagram</v>
      </c>
      <c r="C75" s="11">
        <v>3.3000000000000002E-2</v>
      </c>
      <c r="G75" s="11" t="str">
        <v>Instagram</v>
      </c>
      <c r="H75" s="11">
        <v>370269</v>
      </c>
      <c r="I75" s="11">
        <v>2024</v>
      </c>
      <c r="J75" s="11">
        <v>9</v>
      </c>
      <c r="K75" s="11">
        <v>5</v>
      </c>
      <c r="L75" s="11">
        <v>1025</v>
      </c>
      <c r="M75" s="11">
        <v>1.5390390390390389</v>
      </c>
      <c r="W75" s="11" t="s">
        <v>13</v>
      </c>
      <c r="X75" s="15">
        <v>45715</v>
      </c>
      <c r="Y75" s="11">
        <f xml:space="preserve"> SUM([1]!Posts[[#This Row],[Likes]],[1]!Posts[[#This Row],[Shares]],[1]!Posts[[#This Row],[Comments]])</f>
        <v>5407</v>
      </c>
      <c r="Z75" s="11">
        <f t="shared" si="3"/>
        <v>2</v>
      </c>
      <c r="AA75" s="11">
        <f t="shared" si="4"/>
        <v>4</v>
      </c>
      <c r="AB75" s="11">
        <f t="shared" si="5"/>
        <v>2025</v>
      </c>
      <c r="AC75" s="11" cm="1">
        <f t="array" ref="AC75">_xlfn.XLOOKUP(1, ('[1]Engagement Summary(Task1)'!$J$2:$J$201=Social_Media_Platform_Analysis!$AA75)*('[1]Engagement Summary(Task1)'!$I$2:$I$201=Social_Media_Platform_Analysis!$Z75)*('[1]Engagement Summary(Task1)'!$H$2:$H$201=Social_Media_Platform_Analysis!$AB75)*('[1]Engagement Summary(Task1)'!$B$2:$B$201=Social_Media_Platform_Analysis!$W75),'[1]Engagement Summary(Task1)'!$G$2:$G$201)</f>
        <v>22713</v>
      </c>
    </row>
    <row r="76" spans="2:29" x14ac:dyDescent="0.25">
      <c r="B76" s="11" t="str">
        <v>Instagram</v>
      </c>
      <c r="C76" s="11">
        <v>6.25E-2</v>
      </c>
      <c r="G76" s="11" t="str">
        <v>Instagram</v>
      </c>
      <c r="H76" s="11">
        <v>187183</v>
      </c>
      <c r="I76" s="11">
        <v>2024</v>
      </c>
      <c r="J76" s="11">
        <v>10</v>
      </c>
      <c r="K76" s="11">
        <v>1</v>
      </c>
      <c r="L76" s="11">
        <v>1872</v>
      </c>
      <c r="M76" s="11">
        <v>1.8263414634146342</v>
      </c>
      <c r="W76" s="11" t="s">
        <v>13</v>
      </c>
      <c r="X76" s="15">
        <v>45720</v>
      </c>
      <c r="Y76" s="11">
        <f xml:space="preserve"> SUM([1]!Posts[[#This Row],[Likes]],[1]!Posts[[#This Row],[Shares]],[1]!Posts[[#This Row],[Comments]])</f>
        <v>3024</v>
      </c>
      <c r="Z76" s="11">
        <f t="shared" si="3"/>
        <v>3</v>
      </c>
      <c r="AA76" s="11">
        <f t="shared" si="4"/>
        <v>1</v>
      </c>
      <c r="AB76" s="11">
        <f t="shared" si="5"/>
        <v>2025</v>
      </c>
      <c r="AC76" s="11" cm="1">
        <f t="array" ref="AC76">_xlfn.XLOOKUP(1, ('[1]Engagement Summary(Task1)'!$J$2:$J$201=Social_Media_Platform_Analysis!$AA76)*('[1]Engagement Summary(Task1)'!$I$2:$I$201=Social_Media_Platform_Analysis!$Z76)*('[1]Engagement Summary(Task1)'!$H$2:$H$201=Social_Media_Platform_Analysis!$AB76)*('[1]Engagement Summary(Task1)'!$B$2:$B$201=Social_Media_Platform_Analysis!$W76),'[1]Engagement Summary(Task1)'!$G$2:$G$201)</f>
        <v>20553</v>
      </c>
    </row>
    <row r="77" spans="2:29" x14ac:dyDescent="0.25">
      <c r="B77" s="11" t="str">
        <v>Instagram</v>
      </c>
      <c r="C77" s="11">
        <v>8.900000000000001E-2</v>
      </c>
      <c r="G77" s="11" t="str">
        <v>Instagram</v>
      </c>
      <c r="H77" s="11">
        <v>388555</v>
      </c>
      <c r="I77" s="11">
        <v>2024</v>
      </c>
      <c r="J77" s="11">
        <v>10</v>
      </c>
      <c r="K77" s="11">
        <v>2</v>
      </c>
      <c r="L77" s="11">
        <v>1224</v>
      </c>
      <c r="M77" s="11">
        <v>0.65384615384615385</v>
      </c>
      <c r="W77" s="11" t="s">
        <v>13</v>
      </c>
      <c r="X77" s="15">
        <v>45724</v>
      </c>
      <c r="Y77" s="11">
        <f xml:space="preserve"> SUM([1]!Posts[[#This Row],[Likes]],[1]!Posts[[#This Row],[Shares]],[1]!Posts[[#This Row],[Comments]])</f>
        <v>2414</v>
      </c>
      <c r="Z77" s="11">
        <f t="shared" si="3"/>
        <v>3</v>
      </c>
      <c r="AA77" s="11">
        <f t="shared" si="4"/>
        <v>2</v>
      </c>
      <c r="AB77" s="11">
        <f t="shared" si="5"/>
        <v>2025</v>
      </c>
      <c r="AC77" s="11" cm="1">
        <f t="array" ref="AC77">_xlfn.XLOOKUP(1, ('[1]Engagement Summary(Task1)'!$J$2:$J$201=Social_Media_Platform_Analysis!$AA77)*('[1]Engagement Summary(Task1)'!$I$2:$I$201=Social_Media_Platform_Analysis!$Z77)*('[1]Engagement Summary(Task1)'!$H$2:$H$201=Social_Media_Platform_Analysis!$AB77)*('[1]Engagement Summary(Task1)'!$B$2:$B$201=Social_Media_Platform_Analysis!$W77),'[1]Engagement Summary(Task1)'!$G$2:$G$201)</f>
        <v>21539</v>
      </c>
    </row>
    <row r="78" spans="2:29" x14ac:dyDescent="0.25">
      <c r="B78" s="11" t="str">
        <v>Instagram</v>
      </c>
      <c r="C78" s="11">
        <v>6.5000000000000002E-2</v>
      </c>
      <c r="G78" s="11" t="str">
        <v>Instagram</v>
      </c>
      <c r="H78" s="11">
        <v>357089</v>
      </c>
      <c r="I78" s="11">
        <v>2024</v>
      </c>
      <c r="J78" s="11">
        <v>10</v>
      </c>
      <c r="K78" s="11">
        <v>3</v>
      </c>
      <c r="L78" s="11">
        <v>262</v>
      </c>
      <c r="M78" s="11">
        <v>0.21405228758169934</v>
      </c>
      <c r="W78" s="11" t="s">
        <v>13</v>
      </c>
      <c r="X78" s="15">
        <v>45727</v>
      </c>
      <c r="Y78" s="11">
        <f xml:space="preserve"> SUM([1]!Posts[[#This Row],[Likes]],[1]!Posts[[#This Row],[Shares]],[1]!Posts[[#This Row],[Comments]])</f>
        <v>1371</v>
      </c>
      <c r="Z78" s="11">
        <f t="shared" si="3"/>
        <v>3</v>
      </c>
      <c r="AA78" s="11">
        <f t="shared" si="4"/>
        <v>2</v>
      </c>
      <c r="AB78" s="11">
        <f t="shared" si="5"/>
        <v>2025</v>
      </c>
      <c r="AC78" s="11" cm="1">
        <f t="array" ref="AC78">_xlfn.XLOOKUP(1, ('[1]Engagement Summary(Task1)'!$J$2:$J$201=Social_Media_Platform_Analysis!$AA78)*('[1]Engagement Summary(Task1)'!$I$2:$I$201=Social_Media_Platform_Analysis!$Z78)*('[1]Engagement Summary(Task1)'!$H$2:$H$201=Social_Media_Platform_Analysis!$AB78)*('[1]Engagement Summary(Task1)'!$B$2:$B$201=Social_Media_Platform_Analysis!$W78),'[1]Engagement Summary(Task1)'!$G$2:$G$201)</f>
        <v>21539</v>
      </c>
    </row>
    <row r="79" spans="2:29" x14ac:dyDescent="0.25">
      <c r="B79" s="11" t="str">
        <v>Instagram</v>
      </c>
      <c r="C79" s="11">
        <v>5.8499999999999996E-2</v>
      </c>
      <c r="G79" s="11" t="str">
        <v>Instagram</v>
      </c>
      <c r="H79" s="11">
        <v>346522</v>
      </c>
      <c r="I79" s="11">
        <v>2024</v>
      </c>
      <c r="J79" s="11">
        <v>10</v>
      </c>
      <c r="K79" s="11">
        <v>4</v>
      </c>
      <c r="L79" s="11">
        <v>576</v>
      </c>
      <c r="M79" s="11">
        <v>2.1984732824427482</v>
      </c>
      <c r="W79" s="11" t="s">
        <v>13</v>
      </c>
      <c r="X79" s="15">
        <v>45739</v>
      </c>
      <c r="Y79" s="11">
        <f xml:space="preserve"> SUM([1]!Posts[[#This Row],[Likes]],[1]!Posts[[#This Row],[Shares]],[1]!Posts[[#This Row],[Comments]])</f>
        <v>3671</v>
      </c>
      <c r="Z79" s="11">
        <f t="shared" si="3"/>
        <v>3</v>
      </c>
      <c r="AA79" s="11">
        <f t="shared" si="4"/>
        <v>4</v>
      </c>
      <c r="AB79" s="11">
        <f t="shared" si="5"/>
        <v>2025</v>
      </c>
      <c r="AC79" s="11" cm="1">
        <f t="array" ref="AC79">_xlfn.XLOOKUP(1, ('[1]Engagement Summary(Task1)'!$J$2:$J$201=Social_Media_Platform_Analysis!$AA79)*('[1]Engagement Summary(Task1)'!$I$2:$I$201=Social_Media_Platform_Analysis!$Z79)*('[1]Engagement Summary(Task1)'!$H$2:$H$201=Social_Media_Platform_Analysis!$AB79)*('[1]Engagement Summary(Task1)'!$B$2:$B$201=Social_Media_Platform_Analysis!$W79),'[1]Engagement Summary(Task1)'!$G$2:$G$201)</f>
        <v>21453</v>
      </c>
    </row>
    <row r="80" spans="2:29" x14ac:dyDescent="0.25">
      <c r="B80" s="11" t="str">
        <v>Instagram</v>
      </c>
      <c r="C80" s="11">
        <v>6.8499999999999991E-2</v>
      </c>
      <c r="G80" s="11" t="str">
        <v>Instagram</v>
      </c>
      <c r="H80" s="11">
        <v>54935</v>
      </c>
      <c r="I80" s="11">
        <v>2024</v>
      </c>
      <c r="J80" s="11">
        <v>11</v>
      </c>
      <c r="K80" s="11">
        <v>1</v>
      </c>
      <c r="L80" s="11">
        <v>1397</v>
      </c>
      <c r="M80" s="11">
        <v>2.4253472222222223</v>
      </c>
      <c r="W80" s="11" t="s">
        <v>13</v>
      </c>
      <c r="X80" s="15">
        <v>45740</v>
      </c>
      <c r="Y80" s="11">
        <f xml:space="preserve"> SUM([1]!Posts[[#This Row],[Likes]],[1]!Posts[[#This Row],[Shares]],[1]!Posts[[#This Row],[Comments]])</f>
        <v>497</v>
      </c>
      <c r="Z80" s="11">
        <f t="shared" si="3"/>
        <v>3</v>
      </c>
      <c r="AA80" s="11">
        <f t="shared" si="4"/>
        <v>4</v>
      </c>
      <c r="AB80" s="11">
        <f t="shared" si="5"/>
        <v>2025</v>
      </c>
      <c r="AC80" s="11" cm="1">
        <f t="array" ref="AC80">_xlfn.XLOOKUP(1, ('[1]Engagement Summary(Task1)'!$J$2:$J$201=Social_Media_Platform_Analysis!$AA80)*('[1]Engagement Summary(Task1)'!$I$2:$I$201=Social_Media_Platform_Analysis!$Z80)*('[1]Engagement Summary(Task1)'!$H$2:$H$201=Social_Media_Platform_Analysis!$AB80)*('[1]Engagement Summary(Task1)'!$B$2:$B$201=Social_Media_Platform_Analysis!$W80),'[1]Engagement Summary(Task1)'!$G$2:$G$201)</f>
        <v>21453</v>
      </c>
    </row>
    <row r="81" spans="2:29" x14ac:dyDescent="0.25">
      <c r="B81" s="11" t="str">
        <v>Instagram</v>
      </c>
      <c r="C81" s="11">
        <v>4.6600000000000003E-2</v>
      </c>
      <c r="G81" s="11" t="str">
        <v>Instagram</v>
      </c>
      <c r="H81" s="11">
        <v>51395</v>
      </c>
      <c r="I81" s="11">
        <v>2024</v>
      </c>
      <c r="J81" s="11">
        <v>11</v>
      </c>
      <c r="K81" s="11">
        <v>2</v>
      </c>
      <c r="L81" s="11">
        <v>902</v>
      </c>
      <c r="M81" s="11">
        <v>0.64566929133858264</v>
      </c>
      <c r="W81" s="11" t="s">
        <v>13</v>
      </c>
      <c r="X81" s="15">
        <v>45740</v>
      </c>
      <c r="Y81" s="11">
        <f xml:space="preserve"> SUM([1]!Posts[[#This Row],[Likes]],[1]!Posts[[#This Row],[Shares]],[1]!Posts[[#This Row],[Comments]])</f>
        <v>5038</v>
      </c>
      <c r="Z81" s="11">
        <f t="shared" si="3"/>
        <v>3</v>
      </c>
      <c r="AA81" s="11">
        <f t="shared" si="4"/>
        <v>4</v>
      </c>
      <c r="AB81" s="11">
        <f t="shared" si="5"/>
        <v>2025</v>
      </c>
      <c r="AC81" s="11" cm="1">
        <f t="array" ref="AC81">_xlfn.XLOOKUP(1, ('[1]Engagement Summary(Task1)'!$J$2:$J$201=Social_Media_Platform_Analysis!$AA81)*('[1]Engagement Summary(Task1)'!$I$2:$I$201=Social_Media_Platform_Analysis!$Z81)*('[1]Engagement Summary(Task1)'!$H$2:$H$201=Social_Media_Platform_Analysis!$AB81)*('[1]Engagement Summary(Task1)'!$B$2:$B$201=Social_Media_Platform_Analysis!$W81),'[1]Engagement Summary(Task1)'!$G$2:$G$201)</f>
        <v>21453</v>
      </c>
    </row>
    <row r="82" spans="2:29" x14ac:dyDescent="0.25">
      <c r="B82" s="11" t="str">
        <v>Instagram</v>
      </c>
      <c r="C82" s="11">
        <v>9.4100000000000003E-2</v>
      </c>
      <c r="G82" s="11" t="str">
        <v>Instagram</v>
      </c>
      <c r="H82" s="11">
        <v>51087</v>
      </c>
      <c r="I82" s="11">
        <v>2024</v>
      </c>
      <c r="J82" s="11">
        <v>11</v>
      </c>
      <c r="K82" s="11">
        <v>3</v>
      </c>
      <c r="L82" s="11">
        <v>-49</v>
      </c>
      <c r="M82" s="11">
        <v>-5.432372505543237E-2</v>
      </c>
      <c r="W82" s="11" t="s">
        <v>13</v>
      </c>
      <c r="X82" s="15">
        <v>45742</v>
      </c>
      <c r="Y82" s="11">
        <f xml:space="preserve"> SUM([1]!Posts[[#This Row],[Likes]],[1]!Posts[[#This Row],[Shares]],[1]!Posts[[#This Row],[Comments]])</f>
        <v>2229</v>
      </c>
      <c r="Z82" s="11">
        <f t="shared" si="3"/>
        <v>3</v>
      </c>
      <c r="AA82" s="11">
        <f t="shared" si="4"/>
        <v>4</v>
      </c>
      <c r="AB82" s="11">
        <f t="shared" si="5"/>
        <v>2025</v>
      </c>
      <c r="AC82" s="11" cm="1">
        <f t="array" ref="AC82">_xlfn.XLOOKUP(1, ('[1]Engagement Summary(Task1)'!$J$2:$J$201=Social_Media_Platform_Analysis!$AA82)*('[1]Engagement Summary(Task1)'!$I$2:$I$201=Social_Media_Platform_Analysis!$Z82)*('[1]Engagement Summary(Task1)'!$H$2:$H$201=Social_Media_Platform_Analysis!$AB82)*('[1]Engagement Summary(Task1)'!$B$2:$B$201=Social_Media_Platform_Analysis!$W82),'[1]Engagement Summary(Task1)'!$G$2:$G$201)</f>
        <v>21453</v>
      </c>
    </row>
    <row r="83" spans="2:29" x14ac:dyDescent="0.25">
      <c r="B83" s="11" t="str">
        <v>Instagram</v>
      </c>
      <c r="C83" s="11">
        <v>5.1699999999999996E-2</v>
      </c>
      <c r="G83" s="11" t="str">
        <v>Instagram</v>
      </c>
      <c r="H83" s="11">
        <v>282466</v>
      </c>
      <c r="I83" s="11">
        <v>2024</v>
      </c>
      <c r="J83" s="11">
        <v>11</v>
      </c>
      <c r="K83" s="11">
        <v>4</v>
      </c>
      <c r="L83" s="11">
        <v>1693</v>
      </c>
      <c r="M83" s="11">
        <v>-34.551020408163268</v>
      </c>
      <c r="W83" s="11" t="s">
        <v>13</v>
      </c>
      <c r="X83" s="15">
        <v>45745</v>
      </c>
      <c r="Y83" s="11">
        <f xml:space="preserve"> SUM([1]!Posts[[#This Row],[Likes]],[1]!Posts[[#This Row],[Shares]],[1]!Posts[[#This Row],[Comments]])</f>
        <v>2640</v>
      </c>
      <c r="Z83" s="11">
        <f t="shared" si="3"/>
        <v>3</v>
      </c>
      <c r="AA83" s="11">
        <f t="shared" si="4"/>
        <v>5</v>
      </c>
      <c r="AB83" s="11">
        <f t="shared" si="5"/>
        <v>2025</v>
      </c>
      <c r="AC83" s="11" cm="1">
        <f t="array" ref="AC83">_xlfn.XLOOKUP(1, ('[1]Engagement Summary(Task1)'!$J$2:$J$201=Social_Media_Platform_Analysis!$AA83)*('[1]Engagement Summary(Task1)'!$I$2:$I$201=Social_Media_Platform_Analysis!$Z83)*('[1]Engagement Summary(Task1)'!$H$2:$H$201=Social_Media_Platform_Analysis!$AB83)*('[1]Engagement Summary(Task1)'!$B$2:$B$201=Social_Media_Platform_Analysis!$W83),'[1]Engagement Summary(Task1)'!$G$2:$G$201)</f>
        <v>23461</v>
      </c>
    </row>
    <row r="84" spans="2:29" x14ac:dyDescent="0.25">
      <c r="B84" s="11" t="str">
        <v>Instagram</v>
      </c>
      <c r="C84" s="11">
        <v>3.7900000000000003E-2</v>
      </c>
      <c r="G84" s="11" t="str">
        <v>Instagram</v>
      </c>
      <c r="H84" s="11">
        <v>421957</v>
      </c>
      <c r="I84" s="11">
        <v>2024</v>
      </c>
      <c r="J84" s="11">
        <v>12</v>
      </c>
      <c r="K84" s="11">
        <v>1</v>
      </c>
      <c r="L84" s="11">
        <v>1625</v>
      </c>
      <c r="M84" s="11">
        <v>0.95983461311281748</v>
      </c>
      <c r="W84" s="11" t="s">
        <v>13</v>
      </c>
      <c r="X84" s="15">
        <v>45748</v>
      </c>
      <c r="Y84" s="11">
        <f xml:space="preserve"> SUM([1]!Posts[[#This Row],[Likes]],[1]!Posts[[#This Row],[Shares]],[1]!Posts[[#This Row],[Comments]])</f>
        <v>1274</v>
      </c>
      <c r="Z84" s="11">
        <f t="shared" si="3"/>
        <v>4</v>
      </c>
      <c r="AA84" s="11">
        <f t="shared" si="4"/>
        <v>1</v>
      </c>
      <c r="AB84" s="11">
        <f t="shared" si="5"/>
        <v>2025</v>
      </c>
      <c r="AC84" s="11" cm="1">
        <f t="array" ref="AC84">_xlfn.XLOOKUP(1, ('[1]Engagement Summary(Task1)'!$J$2:$J$201=Social_Media_Platform_Analysis!$AA84)*('[1]Engagement Summary(Task1)'!$I$2:$I$201=Social_Media_Platform_Analysis!$Z84)*('[1]Engagement Summary(Task1)'!$H$2:$H$201=Social_Media_Platform_Analysis!$AB84)*('[1]Engagement Summary(Task1)'!$B$2:$B$201=Social_Media_Platform_Analysis!$W84),'[1]Engagement Summary(Task1)'!$G$2:$G$201)</f>
        <v>47603</v>
      </c>
    </row>
    <row r="85" spans="2:29" x14ac:dyDescent="0.25">
      <c r="B85" s="11" t="str">
        <v>Instagram</v>
      </c>
      <c r="C85" s="11">
        <v>1.8100000000000002E-2</v>
      </c>
      <c r="G85" s="11" t="str">
        <v>Instagram</v>
      </c>
      <c r="H85" s="11">
        <v>220616</v>
      </c>
      <c r="I85" s="11">
        <v>2024</v>
      </c>
      <c r="J85" s="11">
        <v>12</v>
      </c>
      <c r="K85" s="11">
        <v>2</v>
      </c>
      <c r="L85" s="11">
        <v>1119</v>
      </c>
      <c r="M85" s="11">
        <v>0.68861538461538463</v>
      </c>
      <c r="W85" s="11" t="s">
        <v>13</v>
      </c>
      <c r="X85" s="15">
        <v>45749</v>
      </c>
      <c r="Y85" s="11">
        <f xml:space="preserve"> SUM([1]!Posts[[#This Row],[Likes]],[1]!Posts[[#This Row],[Shares]],[1]!Posts[[#This Row],[Comments]])</f>
        <v>1785</v>
      </c>
      <c r="Z85" s="11">
        <f t="shared" si="3"/>
        <v>4</v>
      </c>
      <c r="AA85" s="11">
        <f t="shared" si="4"/>
        <v>1</v>
      </c>
      <c r="AB85" s="11">
        <f t="shared" si="5"/>
        <v>2025</v>
      </c>
      <c r="AC85" s="11" cm="1">
        <f t="array" ref="AC85">_xlfn.XLOOKUP(1, ('[1]Engagement Summary(Task1)'!$J$2:$J$201=Social_Media_Platform_Analysis!$AA85)*('[1]Engagement Summary(Task1)'!$I$2:$I$201=Social_Media_Platform_Analysis!$Z85)*('[1]Engagement Summary(Task1)'!$H$2:$H$201=Social_Media_Platform_Analysis!$AB85)*('[1]Engagement Summary(Task1)'!$B$2:$B$201=Social_Media_Platform_Analysis!$W85),'[1]Engagement Summary(Task1)'!$G$2:$G$201)</f>
        <v>47603</v>
      </c>
    </row>
    <row r="86" spans="2:29" x14ac:dyDescent="0.25">
      <c r="B86" s="11" t="str">
        <v>Instagram</v>
      </c>
      <c r="C86" s="11">
        <v>3.32E-2</v>
      </c>
      <c r="G86" s="11" t="str">
        <v>Instagram</v>
      </c>
      <c r="H86" s="11">
        <v>465553</v>
      </c>
      <c r="I86" s="11">
        <v>2024</v>
      </c>
      <c r="J86" s="11">
        <v>12</v>
      </c>
      <c r="K86" s="11">
        <v>3</v>
      </c>
      <c r="L86" s="11">
        <v>1432</v>
      </c>
      <c r="M86" s="11">
        <v>1.2797140303842716</v>
      </c>
      <c r="W86" s="11" t="s">
        <v>13</v>
      </c>
      <c r="X86" s="15">
        <v>45750</v>
      </c>
      <c r="Y86" s="11">
        <f xml:space="preserve"> SUM([1]!Posts[[#This Row],[Likes]],[1]!Posts[[#This Row],[Shares]],[1]!Posts[[#This Row],[Comments]])</f>
        <v>1566</v>
      </c>
      <c r="Z86" s="11">
        <f t="shared" si="3"/>
        <v>4</v>
      </c>
      <c r="AA86" s="11">
        <f t="shared" si="4"/>
        <v>1</v>
      </c>
      <c r="AB86" s="11">
        <f t="shared" si="5"/>
        <v>2025</v>
      </c>
      <c r="AC86" s="11" cm="1">
        <f t="array" ref="AC86">_xlfn.XLOOKUP(1, ('[1]Engagement Summary(Task1)'!$J$2:$J$201=Social_Media_Platform_Analysis!$AA86)*('[1]Engagement Summary(Task1)'!$I$2:$I$201=Social_Media_Platform_Analysis!$Z86)*('[1]Engagement Summary(Task1)'!$H$2:$H$201=Social_Media_Platform_Analysis!$AB86)*('[1]Engagement Summary(Task1)'!$B$2:$B$201=Social_Media_Platform_Analysis!$W86),'[1]Engagement Summary(Task1)'!$G$2:$G$201)</f>
        <v>47603</v>
      </c>
    </row>
    <row r="87" spans="2:29" x14ac:dyDescent="0.25">
      <c r="B87" s="11" t="str">
        <v>Instagram</v>
      </c>
      <c r="C87" s="11">
        <v>8.4399999999999989E-2</v>
      </c>
      <c r="G87" s="11" t="str">
        <v>Instagram</v>
      </c>
      <c r="H87" s="11">
        <v>280795</v>
      </c>
      <c r="I87" s="11">
        <v>2024</v>
      </c>
      <c r="J87" s="11">
        <v>12</v>
      </c>
      <c r="K87" s="11">
        <v>4</v>
      </c>
      <c r="L87" s="11">
        <v>684</v>
      </c>
      <c r="M87" s="11">
        <v>0.47765363128491622</v>
      </c>
      <c r="W87" s="11" t="s">
        <v>13</v>
      </c>
      <c r="X87" s="15">
        <v>45753</v>
      </c>
      <c r="Y87" s="11">
        <f xml:space="preserve"> SUM([1]!Posts[[#This Row],[Likes]],[1]!Posts[[#This Row],[Shares]],[1]!Posts[[#This Row],[Comments]])</f>
        <v>3534</v>
      </c>
      <c r="Z87" s="11">
        <f t="shared" si="3"/>
        <v>4</v>
      </c>
      <c r="AA87" s="11">
        <f t="shared" si="4"/>
        <v>1</v>
      </c>
      <c r="AB87" s="11">
        <f t="shared" si="5"/>
        <v>2025</v>
      </c>
      <c r="AC87" s="11" cm="1">
        <f t="array" ref="AC87">_xlfn.XLOOKUP(1, ('[1]Engagement Summary(Task1)'!$J$2:$J$201=Social_Media_Platform_Analysis!$AA87)*('[1]Engagement Summary(Task1)'!$I$2:$I$201=Social_Media_Platform_Analysis!$Z87)*('[1]Engagement Summary(Task1)'!$H$2:$H$201=Social_Media_Platform_Analysis!$AB87)*('[1]Engagement Summary(Task1)'!$B$2:$B$201=Social_Media_Platform_Analysis!$W87),'[1]Engagement Summary(Task1)'!$G$2:$G$201)</f>
        <v>47603</v>
      </c>
    </row>
    <row r="88" spans="2:29" x14ac:dyDescent="0.25">
      <c r="B88" s="11" t="str">
        <v>Instagram</v>
      </c>
      <c r="C88" s="11">
        <v>1.7600000000000001E-2</v>
      </c>
      <c r="G88" s="11" t="str">
        <v>Instagram</v>
      </c>
      <c r="H88" s="11">
        <v>140804</v>
      </c>
      <c r="I88" s="11">
        <v>2024</v>
      </c>
      <c r="J88" s="11">
        <v>12</v>
      </c>
      <c r="K88" s="11">
        <v>5</v>
      </c>
      <c r="L88" s="11">
        <v>1765</v>
      </c>
      <c r="M88" s="11">
        <v>2.5804093567251463</v>
      </c>
      <c r="W88" s="11" t="s">
        <v>13</v>
      </c>
      <c r="X88" s="15">
        <v>45753</v>
      </c>
      <c r="Y88" s="11">
        <f xml:space="preserve"> SUM([1]!Posts[[#This Row],[Likes]],[1]!Posts[[#This Row],[Shares]],[1]!Posts[[#This Row],[Comments]])</f>
        <v>3098</v>
      </c>
      <c r="Z88" s="11">
        <f t="shared" si="3"/>
        <v>4</v>
      </c>
      <c r="AA88" s="11">
        <f t="shared" si="4"/>
        <v>1</v>
      </c>
      <c r="AB88" s="11">
        <f t="shared" si="5"/>
        <v>2025</v>
      </c>
      <c r="AC88" s="11" cm="1">
        <f t="array" ref="AC88">_xlfn.XLOOKUP(1, ('[1]Engagement Summary(Task1)'!$J$2:$J$201=Social_Media_Platform_Analysis!$AA88)*('[1]Engagement Summary(Task1)'!$I$2:$I$201=Social_Media_Platform_Analysis!$Z88)*('[1]Engagement Summary(Task1)'!$H$2:$H$201=Social_Media_Platform_Analysis!$AB88)*('[1]Engagement Summary(Task1)'!$B$2:$B$201=Social_Media_Platform_Analysis!$W88),'[1]Engagement Summary(Task1)'!$G$2:$G$201)</f>
        <v>47603</v>
      </c>
    </row>
    <row r="89" spans="2:29" x14ac:dyDescent="0.25">
      <c r="B89" s="11" t="str">
        <v>Instagram</v>
      </c>
      <c r="C89" s="11">
        <v>5.2999999999999999E-2</v>
      </c>
      <c r="G89" s="11" t="str">
        <v>Instagram</v>
      </c>
      <c r="H89" s="11">
        <v>466382</v>
      </c>
      <c r="I89" s="11">
        <v>2025</v>
      </c>
      <c r="J89" s="11">
        <v>1</v>
      </c>
      <c r="K89" s="11">
        <v>1</v>
      </c>
      <c r="L89" s="11">
        <v>903</v>
      </c>
      <c r="M89" s="11">
        <v>0.51161473087818699</v>
      </c>
      <c r="W89" s="11" t="s">
        <v>13</v>
      </c>
      <c r="X89" s="15">
        <v>45753</v>
      </c>
      <c r="Y89" s="11">
        <f xml:space="preserve"> SUM([1]!Posts[[#This Row],[Likes]],[1]!Posts[[#This Row],[Shares]],[1]!Posts[[#This Row],[Comments]])</f>
        <v>1886</v>
      </c>
      <c r="Z89" s="11">
        <f t="shared" si="3"/>
        <v>4</v>
      </c>
      <c r="AA89" s="11">
        <f t="shared" si="4"/>
        <v>1</v>
      </c>
      <c r="AB89" s="11">
        <f t="shared" si="5"/>
        <v>2025</v>
      </c>
      <c r="AC89" s="11" cm="1">
        <f t="array" ref="AC89">_xlfn.XLOOKUP(1, ('[1]Engagement Summary(Task1)'!$J$2:$J$201=Social_Media_Platform_Analysis!$AA89)*('[1]Engagement Summary(Task1)'!$I$2:$I$201=Social_Media_Platform_Analysis!$Z89)*('[1]Engagement Summary(Task1)'!$H$2:$H$201=Social_Media_Platform_Analysis!$AB89)*('[1]Engagement Summary(Task1)'!$B$2:$B$201=Social_Media_Platform_Analysis!$W89),'[1]Engagement Summary(Task1)'!$G$2:$G$201)</f>
        <v>47603</v>
      </c>
    </row>
    <row r="90" spans="2:29" x14ac:dyDescent="0.25">
      <c r="B90" s="11" t="str">
        <v>Instagram</v>
      </c>
      <c r="C90" s="11">
        <v>3.3000000000000002E-2</v>
      </c>
      <c r="G90" s="11" t="str">
        <v>Instagram</v>
      </c>
      <c r="H90" s="11">
        <v>349413</v>
      </c>
      <c r="I90" s="11">
        <v>2025</v>
      </c>
      <c r="J90" s="11">
        <v>1</v>
      </c>
      <c r="K90" s="11">
        <v>2</v>
      </c>
      <c r="L90" s="11">
        <v>1722</v>
      </c>
      <c r="M90" s="11">
        <v>1.9069767441860466</v>
      </c>
      <c r="W90" s="11" t="s">
        <v>13</v>
      </c>
      <c r="X90" s="15">
        <v>45753</v>
      </c>
      <c r="Y90" s="11">
        <f xml:space="preserve"> SUM([1]!Posts[[#This Row],[Likes]],[1]!Posts[[#This Row],[Shares]],[1]!Posts[[#This Row],[Comments]])</f>
        <v>1241</v>
      </c>
      <c r="Z90" s="11">
        <f t="shared" si="3"/>
        <v>4</v>
      </c>
      <c r="AA90" s="11">
        <f t="shared" si="4"/>
        <v>1</v>
      </c>
      <c r="AB90" s="11">
        <f t="shared" si="5"/>
        <v>2025</v>
      </c>
      <c r="AC90" s="11" cm="1">
        <f t="array" ref="AC90">_xlfn.XLOOKUP(1, ('[1]Engagement Summary(Task1)'!$J$2:$J$201=Social_Media_Platform_Analysis!$AA90)*('[1]Engagement Summary(Task1)'!$I$2:$I$201=Social_Media_Platform_Analysis!$Z90)*('[1]Engagement Summary(Task1)'!$H$2:$H$201=Social_Media_Platform_Analysis!$AB90)*('[1]Engagement Summary(Task1)'!$B$2:$B$201=Social_Media_Platform_Analysis!$W90),'[1]Engagement Summary(Task1)'!$G$2:$G$201)</f>
        <v>47603</v>
      </c>
    </row>
    <row r="91" spans="2:29" x14ac:dyDescent="0.25">
      <c r="B91" s="11" t="str">
        <v>Instagram</v>
      </c>
      <c r="C91" s="11">
        <v>9.2399999999999996E-2</v>
      </c>
      <c r="G91" s="11" t="str">
        <v>Instagram</v>
      </c>
      <c r="H91" s="11">
        <v>383681</v>
      </c>
      <c r="I91" s="11">
        <v>2025</v>
      </c>
      <c r="J91" s="11">
        <v>1</v>
      </c>
      <c r="K91" s="11">
        <v>3</v>
      </c>
      <c r="L91" s="11">
        <v>1572</v>
      </c>
      <c r="M91" s="11">
        <v>0.91289198606271782</v>
      </c>
      <c r="W91" s="11" t="s">
        <v>13</v>
      </c>
      <c r="X91" s="15">
        <v>45754</v>
      </c>
      <c r="Y91" s="11">
        <f xml:space="preserve"> SUM([1]!Posts[[#This Row],[Likes]],[1]!Posts[[#This Row],[Shares]],[1]!Posts[[#This Row],[Comments]])</f>
        <v>1241</v>
      </c>
      <c r="Z91" s="11">
        <f t="shared" si="3"/>
        <v>4</v>
      </c>
      <c r="AA91" s="11">
        <f t="shared" si="4"/>
        <v>1</v>
      </c>
      <c r="AB91" s="11">
        <f t="shared" si="5"/>
        <v>2025</v>
      </c>
      <c r="AC91" s="11" cm="1">
        <f t="array" ref="AC91">_xlfn.XLOOKUP(1, ('[1]Engagement Summary(Task1)'!$J$2:$J$201=Social_Media_Platform_Analysis!$AA91)*('[1]Engagement Summary(Task1)'!$I$2:$I$201=Social_Media_Platform_Analysis!$Z91)*('[1]Engagement Summary(Task1)'!$H$2:$H$201=Social_Media_Platform_Analysis!$AB91)*('[1]Engagement Summary(Task1)'!$B$2:$B$201=Social_Media_Platform_Analysis!$W91),'[1]Engagement Summary(Task1)'!$G$2:$G$201)</f>
        <v>47603</v>
      </c>
    </row>
    <row r="92" spans="2:29" x14ac:dyDescent="0.25">
      <c r="B92" s="11" t="str">
        <v>Instagram</v>
      </c>
      <c r="C92" s="11">
        <v>9.2300000000000007E-2</v>
      </c>
      <c r="G92" s="11" t="str">
        <v>Instagram</v>
      </c>
      <c r="H92" s="11">
        <v>357265</v>
      </c>
      <c r="I92" s="11">
        <v>2025</v>
      </c>
      <c r="J92" s="11">
        <v>1</v>
      </c>
      <c r="K92" s="11">
        <v>4</v>
      </c>
      <c r="L92" s="11">
        <v>-166</v>
      </c>
      <c r="M92" s="11">
        <v>-0.10559796437659033</v>
      </c>
      <c r="W92" s="11" t="s">
        <v>13</v>
      </c>
      <c r="X92" s="15">
        <v>45769</v>
      </c>
      <c r="Y92" s="11">
        <f xml:space="preserve"> SUM([1]!Posts[[#This Row],[Likes]],[1]!Posts[[#This Row],[Shares]],[1]!Posts[[#This Row],[Comments]])</f>
        <v>1241</v>
      </c>
      <c r="Z92" s="11">
        <f t="shared" si="3"/>
        <v>4</v>
      </c>
      <c r="AA92" s="11">
        <f t="shared" si="4"/>
        <v>4</v>
      </c>
      <c r="AB92" s="11">
        <f t="shared" si="5"/>
        <v>2025</v>
      </c>
      <c r="AC92" s="11" cm="1">
        <f t="array" ref="AC92">_xlfn.XLOOKUP(1, ('[1]Engagement Summary(Task1)'!$J$2:$J$201=Social_Media_Platform_Analysis!$AA92)*('[1]Engagement Summary(Task1)'!$I$2:$I$201=Social_Media_Platform_Analysis!$Z92)*('[1]Engagement Summary(Task1)'!$H$2:$H$201=Social_Media_Platform_Analysis!$AB92)*('[1]Engagement Summary(Task1)'!$B$2:$B$201=Social_Media_Platform_Analysis!$W92),'[1]Engagement Summary(Task1)'!$G$2:$G$201)</f>
        <v>3582</v>
      </c>
    </row>
    <row r="93" spans="2:29" x14ac:dyDescent="0.25">
      <c r="B93" s="11" t="str">
        <v>Instagram</v>
      </c>
      <c r="C93" s="11">
        <v>3.8900000000000004E-2</v>
      </c>
      <c r="G93" s="11" t="str">
        <v>Instagram</v>
      </c>
      <c r="H93" s="11">
        <v>351556</v>
      </c>
      <c r="I93" s="11">
        <v>2025</v>
      </c>
      <c r="J93" s="11">
        <v>2</v>
      </c>
      <c r="K93" s="11">
        <v>1</v>
      </c>
      <c r="L93" s="11">
        <v>1080</v>
      </c>
      <c r="M93" s="11">
        <v>-6.5060240963855422</v>
      </c>
      <c r="W93" s="11" t="s">
        <v>13</v>
      </c>
      <c r="X93" s="15">
        <v>45775</v>
      </c>
      <c r="Y93" s="11">
        <f xml:space="preserve"> SUM([1]!Posts[[#This Row],[Likes]],[1]!Posts[[#This Row],[Shares]],[1]!Posts[[#This Row],[Comments]])</f>
        <v>1587</v>
      </c>
      <c r="Z93" s="11">
        <f t="shared" si="3"/>
        <v>4</v>
      </c>
      <c r="AA93" s="11">
        <f t="shared" si="4"/>
        <v>4</v>
      </c>
      <c r="AB93" s="11">
        <f t="shared" si="5"/>
        <v>2025</v>
      </c>
      <c r="AC93" s="11" cm="1">
        <f t="array" ref="AC93">_xlfn.XLOOKUP(1, ('[1]Engagement Summary(Task1)'!$J$2:$J$201=Social_Media_Platform_Analysis!$AA93)*('[1]Engagement Summary(Task1)'!$I$2:$I$201=Social_Media_Platform_Analysis!$Z93)*('[1]Engagement Summary(Task1)'!$H$2:$H$201=Social_Media_Platform_Analysis!$AB93)*('[1]Engagement Summary(Task1)'!$B$2:$B$201=Social_Media_Platform_Analysis!$W93),'[1]Engagement Summary(Task1)'!$G$2:$G$201)</f>
        <v>3582</v>
      </c>
    </row>
    <row r="94" spans="2:29" x14ac:dyDescent="0.25">
      <c r="B94" s="11" t="str">
        <v>Instagram</v>
      </c>
      <c r="C94" s="11">
        <v>4.6100000000000002E-2</v>
      </c>
      <c r="G94" s="11" t="str">
        <v>Instagram</v>
      </c>
      <c r="H94" s="11">
        <v>222126</v>
      </c>
      <c r="I94" s="11">
        <v>2025</v>
      </c>
      <c r="J94" s="11">
        <v>2</v>
      </c>
      <c r="K94" s="11">
        <v>2</v>
      </c>
      <c r="L94" s="11">
        <v>1723</v>
      </c>
      <c r="M94" s="11">
        <v>1.5953703703703703</v>
      </c>
      <c r="W94" s="11" t="s">
        <v>13</v>
      </c>
      <c r="X94" s="15">
        <v>45778</v>
      </c>
      <c r="Y94" s="11">
        <f xml:space="preserve"> SUM([1]!Posts[[#This Row],[Likes]],[1]!Posts[[#This Row],[Shares]],[1]!Posts[[#This Row],[Comments]])</f>
        <v>3034</v>
      </c>
      <c r="Z94" s="11">
        <f t="shared" si="3"/>
        <v>5</v>
      </c>
      <c r="AA94" s="11">
        <f t="shared" si="4"/>
        <v>1</v>
      </c>
      <c r="AB94" s="11">
        <f t="shared" si="5"/>
        <v>2025</v>
      </c>
      <c r="AC94" s="11" cm="1">
        <f t="array" ref="AC94">_xlfn.XLOOKUP(1, ('[1]Engagement Summary(Task1)'!$J$2:$J$201=Social_Media_Platform_Analysis!$AA94)*('[1]Engagement Summary(Task1)'!$I$2:$I$201=Social_Media_Platform_Analysis!$Z94)*('[1]Engagement Summary(Task1)'!$H$2:$H$201=Social_Media_Platform_Analysis!$AB94)*('[1]Engagement Summary(Task1)'!$B$2:$B$201=Social_Media_Platform_Analysis!$W94),'[1]Engagement Summary(Task1)'!$G$2:$G$201)</f>
        <v>48419</v>
      </c>
    </row>
    <row r="95" spans="2:29" x14ac:dyDescent="0.25">
      <c r="B95" s="11" t="str">
        <v>Instagram</v>
      </c>
      <c r="C95" s="11">
        <v>2.86E-2</v>
      </c>
      <c r="G95" s="11" t="str">
        <v>Instagram</v>
      </c>
      <c r="H95" s="11">
        <v>453243</v>
      </c>
      <c r="I95" s="11">
        <v>2025</v>
      </c>
      <c r="J95" s="11">
        <v>2</v>
      </c>
      <c r="K95" s="11">
        <v>3</v>
      </c>
      <c r="L95" s="11">
        <v>965</v>
      </c>
      <c r="M95" s="11">
        <v>0.56006964596633779</v>
      </c>
      <c r="W95" s="11" t="s">
        <v>13</v>
      </c>
      <c r="X95" s="15">
        <v>45782</v>
      </c>
      <c r="Y95" s="11">
        <f xml:space="preserve"> SUM([1]!Posts[[#This Row],[Likes]],[1]!Posts[[#This Row],[Shares]],[1]!Posts[[#This Row],[Comments]])</f>
        <v>4801</v>
      </c>
      <c r="Z95" s="11">
        <f t="shared" si="3"/>
        <v>5</v>
      </c>
      <c r="AA95" s="11">
        <f t="shared" si="4"/>
        <v>1</v>
      </c>
      <c r="AB95" s="11">
        <f t="shared" si="5"/>
        <v>2025</v>
      </c>
      <c r="AC95" s="11" cm="1">
        <f t="array" ref="AC95">_xlfn.XLOOKUP(1, ('[1]Engagement Summary(Task1)'!$J$2:$J$201=Social_Media_Platform_Analysis!$AA95)*('[1]Engagement Summary(Task1)'!$I$2:$I$201=Social_Media_Platform_Analysis!$Z95)*('[1]Engagement Summary(Task1)'!$H$2:$H$201=Social_Media_Platform_Analysis!$AB95)*('[1]Engagement Summary(Task1)'!$B$2:$B$201=Social_Media_Platform_Analysis!$W95),'[1]Engagement Summary(Task1)'!$G$2:$G$201)</f>
        <v>48419</v>
      </c>
    </row>
    <row r="96" spans="2:29" x14ac:dyDescent="0.25">
      <c r="B96" s="11" t="str">
        <v>Instagram</v>
      </c>
      <c r="C96" s="11">
        <v>4.3400000000000001E-2</v>
      </c>
      <c r="G96" s="11" t="str">
        <v>Instagram</v>
      </c>
      <c r="H96" s="11">
        <v>126524</v>
      </c>
      <c r="I96" s="11">
        <v>2025</v>
      </c>
      <c r="J96" s="11">
        <v>2</v>
      </c>
      <c r="K96" s="11">
        <v>4</v>
      </c>
      <c r="L96" s="11">
        <v>1375</v>
      </c>
      <c r="M96" s="11">
        <v>1.4248704663212435</v>
      </c>
      <c r="W96" s="11" t="s">
        <v>13</v>
      </c>
      <c r="X96" s="15">
        <v>45783</v>
      </c>
      <c r="Y96" s="11">
        <f xml:space="preserve"> SUM([1]!Posts[[#This Row],[Likes]],[1]!Posts[[#This Row],[Shares]],[1]!Posts[[#This Row],[Comments]])</f>
        <v>3818</v>
      </c>
      <c r="Z96" s="11">
        <f t="shared" si="3"/>
        <v>5</v>
      </c>
      <c r="AA96" s="11">
        <f t="shared" si="4"/>
        <v>1</v>
      </c>
      <c r="AB96" s="11">
        <f t="shared" si="5"/>
        <v>2025</v>
      </c>
      <c r="AC96" s="11" cm="1">
        <f t="array" ref="AC96">_xlfn.XLOOKUP(1, ('[1]Engagement Summary(Task1)'!$J$2:$J$201=Social_Media_Platform_Analysis!$AA96)*('[1]Engagement Summary(Task1)'!$I$2:$I$201=Social_Media_Platform_Analysis!$Z96)*('[1]Engagement Summary(Task1)'!$H$2:$H$201=Social_Media_Platform_Analysis!$AB96)*('[1]Engagement Summary(Task1)'!$B$2:$B$201=Social_Media_Platform_Analysis!$W96),'[1]Engagement Summary(Task1)'!$G$2:$G$201)</f>
        <v>48419</v>
      </c>
    </row>
    <row r="97" spans="2:29" x14ac:dyDescent="0.25">
      <c r="B97" s="11" t="str">
        <v>Instagram</v>
      </c>
      <c r="C97" s="11">
        <v>8.6199999999999999E-2</v>
      </c>
      <c r="G97" s="11" t="str">
        <v>Instagram</v>
      </c>
      <c r="H97" s="11">
        <v>257579</v>
      </c>
      <c r="I97" s="11">
        <v>2025</v>
      </c>
      <c r="J97" s="11">
        <v>3</v>
      </c>
      <c r="K97" s="11">
        <v>1</v>
      </c>
      <c r="L97" s="11">
        <v>1315</v>
      </c>
      <c r="M97" s="11">
        <v>0.95636363636363642</v>
      </c>
      <c r="W97" s="11" t="s">
        <v>13</v>
      </c>
      <c r="X97" s="15">
        <v>45790</v>
      </c>
      <c r="Y97" s="11">
        <f xml:space="preserve"> SUM([1]!Posts[[#This Row],[Likes]],[1]!Posts[[#This Row],[Shares]],[1]!Posts[[#This Row],[Comments]])</f>
        <v>3818</v>
      </c>
      <c r="Z97" s="11">
        <f t="shared" si="3"/>
        <v>5</v>
      </c>
      <c r="AA97" s="11">
        <f t="shared" si="4"/>
        <v>2</v>
      </c>
      <c r="AB97" s="11">
        <f t="shared" si="5"/>
        <v>2025</v>
      </c>
      <c r="AC97" s="11" cm="1">
        <f t="array" ref="AC97">_xlfn.XLOOKUP(1, ('[1]Engagement Summary(Task1)'!$J$2:$J$201=Social_Media_Platform_Analysis!$AA97)*('[1]Engagement Summary(Task1)'!$I$2:$I$201=Social_Media_Platform_Analysis!$Z97)*('[1]Engagement Summary(Task1)'!$H$2:$H$201=Social_Media_Platform_Analysis!$AB97)*('[1]Engagement Summary(Task1)'!$B$2:$B$201=Social_Media_Platform_Analysis!$W97),'[1]Engagement Summary(Task1)'!$G$2:$G$201)</f>
        <v>49400</v>
      </c>
    </row>
    <row r="98" spans="2:29" x14ac:dyDescent="0.25">
      <c r="B98" s="11" t="str">
        <v>Instagram</v>
      </c>
      <c r="C98" s="11">
        <v>7.2300000000000003E-2</v>
      </c>
      <c r="G98" s="11" t="str">
        <v>Instagram</v>
      </c>
      <c r="H98" s="11">
        <v>462142</v>
      </c>
      <c r="I98" s="11">
        <v>2025</v>
      </c>
      <c r="J98" s="11">
        <v>3</v>
      </c>
      <c r="K98" s="11">
        <v>2</v>
      </c>
      <c r="L98" s="11">
        <v>212</v>
      </c>
      <c r="M98" s="11">
        <v>0.16121673003802281</v>
      </c>
      <c r="W98" s="11" t="s">
        <v>13</v>
      </c>
      <c r="X98" s="15">
        <v>45791</v>
      </c>
      <c r="Y98" s="11">
        <f xml:space="preserve"> SUM([1]!Posts[[#This Row],[Likes]],[1]!Posts[[#This Row],[Shares]],[1]!Posts[[#This Row],[Comments]])</f>
        <v>2697</v>
      </c>
      <c r="Z98" s="11">
        <f t="shared" si="3"/>
        <v>5</v>
      </c>
      <c r="AA98" s="11">
        <f t="shared" si="4"/>
        <v>2</v>
      </c>
      <c r="AB98" s="11">
        <f t="shared" si="5"/>
        <v>2025</v>
      </c>
      <c r="AC98" s="11" cm="1">
        <f t="array" ref="AC98">_xlfn.XLOOKUP(1, ('[1]Engagement Summary(Task1)'!$J$2:$J$201=Social_Media_Platform_Analysis!$AA98)*('[1]Engagement Summary(Task1)'!$I$2:$I$201=Social_Media_Platform_Analysis!$Z98)*('[1]Engagement Summary(Task1)'!$H$2:$H$201=Social_Media_Platform_Analysis!$AB98)*('[1]Engagement Summary(Task1)'!$B$2:$B$201=Social_Media_Platform_Analysis!$W98),'[1]Engagement Summary(Task1)'!$G$2:$G$201)</f>
        <v>49400</v>
      </c>
    </row>
    <row r="99" spans="2:29" x14ac:dyDescent="0.25">
      <c r="B99" s="11" t="str">
        <v>Instagram</v>
      </c>
      <c r="C99" s="11">
        <v>7.7399999999999997E-2</v>
      </c>
      <c r="G99" s="11" t="str">
        <v>Instagram</v>
      </c>
      <c r="H99" s="11">
        <v>410330</v>
      </c>
      <c r="I99" s="11">
        <v>2025</v>
      </c>
      <c r="J99" s="11">
        <v>3</v>
      </c>
      <c r="K99" s="11">
        <v>3</v>
      </c>
      <c r="L99" s="11">
        <v>680</v>
      </c>
      <c r="M99" s="11">
        <v>3.2075471698113209</v>
      </c>
      <c r="W99" s="11" t="s">
        <v>20</v>
      </c>
      <c r="X99" s="15">
        <v>45445</v>
      </c>
      <c r="Y99" s="11">
        <f xml:space="preserve"> SUM([1]!Posts[[#This Row],[Likes]],[1]!Posts[[#This Row],[Shares]],[1]!Posts[[#This Row],[Comments]])</f>
        <v>779</v>
      </c>
      <c r="Z99" s="11">
        <f t="shared" si="3"/>
        <v>6</v>
      </c>
      <c r="AA99" s="11">
        <f t="shared" si="4"/>
        <v>1</v>
      </c>
      <c r="AB99" s="11">
        <f t="shared" si="5"/>
        <v>2024</v>
      </c>
      <c r="AC99" s="11" cm="1">
        <f t="array" ref="AC99">_xlfn.XLOOKUP(1, ('[1]Engagement Summary(Task1)'!$J$2:$J$201=Social_Media_Platform_Analysis!$AA99)*('[1]Engagement Summary(Task1)'!$I$2:$I$201=Social_Media_Platform_Analysis!$Z99)*('[1]Engagement Summary(Task1)'!$H$2:$H$201=Social_Media_Platform_Analysis!$AB99)*('[1]Engagement Summary(Task1)'!$B$2:$B$201=Social_Media_Platform_Analysis!$W99),'[1]Engagement Summary(Task1)'!$G$2:$G$201)</f>
        <v>5904</v>
      </c>
    </row>
    <row r="100" spans="2:29" x14ac:dyDescent="0.25">
      <c r="B100" s="11" t="str">
        <v>Instagram</v>
      </c>
      <c r="C100" s="11">
        <v>1.5300000000000001E-2</v>
      </c>
      <c r="G100" s="11" t="str">
        <v>Instagram</v>
      </c>
      <c r="H100" s="11">
        <v>364810</v>
      </c>
      <c r="I100" s="11">
        <v>2025</v>
      </c>
      <c r="J100" s="11">
        <v>3</v>
      </c>
      <c r="K100" s="11">
        <v>4</v>
      </c>
      <c r="L100" s="11">
        <v>461</v>
      </c>
      <c r="M100" s="11">
        <v>0.67794117647058827</v>
      </c>
      <c r="W100" s="11" t="s">
        <v>20</v>
      </c>
      <c r="X100" s="15">
        <v>45446</v>
      </c>
      <c r="Y100" s="11">
        <f xml:space="preserve"> SUM([1]!Posts[[#This Row],[Likes]],[1]!Posts[[#This Row],[Shares]],[1]!Posts[[#This Row],[Comments]])</f>
        <v>2615</v>
      </c>
      <c r="Z100" s="11">
        <f t="shared" si="3"/>
        <v>6</v>
      </c>
      <c r="AA100" s="11">
        <f t="shared" si="4"/>
        <v>1</v>
      </c>
      <c r="AB100" s="11">
        <f t="shared" si="5"/>
        <v>2024</v>
      </c>
      <c r="AC100" s="11" cm="1">
        <f t="array" ref="AC100">_xlfn.XLOOKUP(1, ('[1]Engagement Summary(Task1)'!$J$2:$J$201=Social_Media_Platform_Analysis!$AA100)*('[1]Engagement Summary(Task1)'!$I$2:$I$201=Social_Media_Platform_Analysis!$Z100)*('[1]Engagement Summary(Task1)'!$H$2:$H$201=Social_Media_Platform_Analysis!$AB100)*('[1]Engagement Summary(Task1)'!$B$2:$B$201=Social_Media_Platform_Analysis!$W100),'[1]Engagement Summary(Task1)'!$G$2:$G$201)</f>
        <v>5904</v>
      </c>
    </row>
    <row r="101" spans="2:29" x14ac:dyDescent="0.25">
      <c r="B101" s="11" t="str">
        <v>Instagram</v>
      </c>
      <c r="C101" s="11">
        <v>6.2699999999999992E-2</v>
      </c>
      <c r="G101" s="11" t="str">
        <v>Instagram</v>
      </c>
      <c r="H101" s="11">
        <v>282780</v>
      </c>
      <c r="I101" s="11">
        <v>2025</v>
      </c>
      <c r="J101" s="11">
        <v>3</v>
      </c>
      <c r="K101" s="11">
        <v>5</v>
      </c>
      <c r="L101" s="11">
        <v>641</v>
      </c>
      <c r="M101" s="11">
        <v>1.3904555314533622</v>
      </c>
      <c r="W101" s="11" t="s">
        <v>20</v>
      </c>
      <c r="X101" s="15">
        <v>45455</v>
      </c>
      <c r="Y101" s="11">
        <f xml:space="preserve"> SUM([1]!Posts[[#This Row],[Likes]],[1]!Posts[[#This Row],[Shares]],[1]!Posts[[#This Row],[Comments]])</f>
        <v>4922</v>
      </c>
      <c r="Z101" s="11">
        <f t="shared" si="3"/>
        <v>6</v>
      </c>
      <c r="AA101" s="11">
        <f t="shared" si="4"/>
        <v>2</v>
      </c>
      <c r="AB101" s="11">
        <f t="shared" si="5"/>
        <v>2024</v>
      </c>
      <c r="AC101" s="11" cm="1">
        <f t="array" ref="AC101">_xlfn.XLOOKUP(1, ('[1]Engagement Summary(Task1)'!$J$2:$J$201=Social_Media_Platform_Analysis!$AA101)*('[1]Engagement Summary(Task1)'!$I$2:$I$201=Social_Media_Platform_Analysis!$Z101)*('[1]Engagement Summary(Task1)'!$H$2:$H$201=Social_Media_Platform_Analysis!$AB101)*('[1]Engagement Summary(Task1)'!$B$2:$B$201=Social_Media_Platform_Analysis!$W101),'[1]Engagement Summary(Task1)'!$G$2:$G$201)</f>
        <v>9920</v>
      </c>
    </row>
    <row r="102" spans="2:29" x14ac:dyDescent="0.25">
      <c r="B102" s="11" t="str">
        <v>Instagram</v>
      </c>
      <c r="C102" s="11">
        <v>3.1899999999999998E-2</v>
      </c>
      <c r="G102" s="11" t="str">
        <v>Instagram</v>
      </c>
      <c r="H102" s="11">
        <v>78789</v>
      </c>
      <c r="I102" s="11">
        <v>2025</v>
      </c>
      <c r="J102" s="11">
        <v>4</v>
      </c>
      <c r="K102" s="11">
        <v>1</v>
      </c>
      <c r="L102" s="11">
        <v>167</v>
      </c>
      <c r="M102" s="11">
        <v>0.26053042121684866</v>
      </c>
      <c r="W102" s="11" t="s">
        <v>20</v>
      </c>
      <c r="X102" s="15">
        <v>45456</v>
      </c>
      <c r="Y102" s="11">
        <f xml:space="preserve"> SUM([1]!Posts[[#This Row],[Likes]],[1]!Posts[[#This Row],[Shares]],[1]!Posts[[#This Row],[Comments]])</f>
        <v>2017</v>
      </c>
      <c r="Z102" s="11">
        <f t="shared" si="3"/>
        <v>6</v>
      </c>
      <c r="AA102" s="11">
        <f t="shared" si="4"/>
        <v>2</v>
      </c>
      <c r="AB102" s="11">
        <f t="shared" si="5"/>
        <v>2024</v>
      </c>
      <c r="AC102" s="11" cm="1">
        <f t="array" ref="AC102">_xlfn.XLOOKUP(1, ('[1]Engagement Summary(Task1)'!$J$2:$J$201=Social_Media_Platform_Analysis!$AA102)*('[1]Engagement Summary(Task1)'!$I$2:$I$201=Social_Media_Platform_Analysis!$Z102)*('[1]Engagement Summary(Task1)'!$H$2:$H$201=Social_Media_Platform_Analysis!$AB102)*('[1]Engagement Summary(Task1)'!$B$2:$B$201=Social_Media_Platform_Analysis!$W102),'[1]Engagement Summary(Task1)'!$G$2:$G$201)</f>
        <v>9920</v>
      </c>
    </row>
    <row r="103" spans="2:29" x14ac:dyDescent="0.25">
      <c r="B103" s="11" t="str">
        <v>Instagram</v>
      </c>
      <c r="C103" s="11">
        <v>6.7299999999999999E-2</v>
      </c>
      <c r="G103" s="11" t="str">
        <v>Instagram</v>
      </c>
      <c r="H103" s="11">
        <v>66682</v>
      </c>
      <c r="I103" s="11">
        <v>2025</v>
      </c>
      <c r="J103" s="11">
        <v>4</v>
      </c>
      <c r="K103" s="11">
        <v>2</v>
      </c>
      <c r="L103" s="11">
        <v>-160</v>
      </c>
      <c r="M103" s="11">
        <v>-0.95808383233532934</v>
      </c>
      <c r="W103" s="11" t="s">
        <v>20</v>
      </c>
      <c r="X103" s="15">
        <v>45457</v>
      </c>
      <c r="Y103" s="11">
        <f xml:space="preserve"> SUM([1]!Posts[[#This Row],[Likes]],[1]!Posts[[#This Row],[Shares]],[1]!Posts[[#This Row],[Comments]])</f>
        <v>5169</v>
      </c>
      <c r="Z103" s="11">
        <f t="shared" si="3"/>
        <v>6</v>
      </c>
      <c r="AA103" s="11">
        <f t="shared" si="4"/>
        <v>2</v>
      </c>
      <c r="AB103" s="11">
        <f t="shared" si="5"/>
        <v>2024</v>
      </c>
      <c r="AC103" s="11" cm="1">
        <f t="array" ref="AC103">_xlfn.XLOOKUP(1, ('[1]Engagement Summary(Task1)'!$J$2:$J$201=Social_Media_Platform_Analysis!$AA103)*('[1]Engagement Summary(Task1)'!$I$2:$I$201=Social_Media_Platform_Analysis!$Z103)*('[1]Engagement Summary(Task1)'!$H$2:$H$201=Social_Media_Platform_Analysis!$AB103)*('[1]Engagement Summary(Task1)'!$B$2:$B$201=Social_Media_Platform_Analysis!$W103),'[1]Engagement Summary(Task1)'!$G$2:$G$201)</f>
        <v>9920</v>
      </c>
    </row>
    <row r="104" spans="2:29" x14ac:dyDescent="0.25">
      <c r="B104" s="11" t="str">
        <v>Instagram</v>
      </c>
      <c r="C104" s="11">
        <v>6.8000000000000005E-2</v>
      </c>
      <c r="G104" s="11" t="str">
        <v>Instagram</v>
      </c>
      <c r="H104" s="11">
        <v>62942</v>
      </c>
      <c r="I104" s="11">
        <v>2025</v>
      </c>
      <c r="J104" s="11">
        <v>4</v>
      </c>
      <c r="K104" s="11">
        <v>3</v>
      </c>
      <c r="L104" s="11">
        <v>603</v>
      </c>
      <c r="M104" s="11">
        <v>-3.7687499999999998</v>
      </c>
      <c r="W104" s="11" t="s">
        <v>20</v>
      </c>
      <c r="X104" s="15">
        <v>45457</v>
      </c>
      <c r="Y104" s="11">
        <f xml:space="preserve"> SUM([1]!Posts[[#This Row],[Likes]],[1]!Posts[[#This Row],[Shares]],[1]!Posts[[#This Row],[Comments]])</f>
        <v>2408</v>
      </c>
      <c r="Z104" s="11">
        <f t="shared" si="3"/>
        <v>6</v>
      </c>
      <c r="AA104" s="11">
        <f t="shared" si="4"/>
        <v>2</v>
      </c>
      <c r="AB104" s="11">
        <f t="shared" si="5"/>
        <v>2024</v>
      </c>
      <c r="AC104" s="11" cm="1">
        <f t="array" ref="AC104">_xlfn.XLOOKUP(1, ('[1]Engagement Summary(Task1)'!$J$2:$J$201=Social_Media_Platform_Analysis!$AA104)*('[1]Engagement Summary(Task1)'!$I$2:$I$201=Social_Media_Platform_Analysis!$Z104)*('[1]Engagement Summary(Task1)'!$H$2:$H$201=Social_Media_Platform_Analysis!$AB104)*('[1]Engagement Summary(Task1)'!$B$2:$B$201=Social_Media_Platform_Analysis!$W104),'[1]Engagement Summary(Task1)'!$G$2:$G$201)</f>
        <v>9920</v>
      </c>
    </row>
    <row r="105" spans="2:29" x14ac:dyDescent="0.25">
      <c r="B105" s="11" t="str">
        <v>Instagram</v>
      </c>
      <c r="C105" s="11">
        <v>5.6900000000000006E-2</v>
      </c>
      <c r="G105" s="11" t="str">
        <v>Instagram</v>
      </c>
      <c r="H105" s="11">
        <v>445944</v>
      </c>
      <c r="I105" s="11">
        <v>2025</v>
      </c>
      <c r="J105" s="11">
        <v>4</v>
      </c>
      <c r="K105" s="11">
        <v>4</v>
      </c>
      <c r="L105" s="11">
        <v>1539</v>
      </c>
      <c r="M105" s="11">
        <v>2.5522388059701493</v>
      </c>
      <c r="W105" s="11" t="s">
        <v>20</v>
      </c>
      <c r="X105" s="15">
        <v>45465</v>
      </c>
      <c r="Y105" s="11">
        <f xml:space="preserve"> SUM([1]!Posts[[#This Row],[Likes]],[1]!Posts[[#This Row],[Shares]],[1]!Posts[[#This Row],[Comments]])</f>
        <v>3121</v>
      </c>
      <c r="Z105" s="11">
        <f t="shared" si="3"/>
        <v>6</v>
      </c>
      <c r="AA105" s="11">
        <f t="shared" si="4"/>
        <v>4</v>
      </c>
      <c r="AB105" s="11">
        <f t="shared" si="5"/>
        <v>2024</v>
      </c>
      <c r="AC105" s="11" cm="1">
        <f t="array" ref="AC105">_xlfn.XLOOKUP(1, ('[1]Engagement Summary(Task1)'!$J$2:$J$201=Social_Media_Platform_Analysis!$AA105)*('[1]Engagement Summary(Task1)'!$I$2:$I$201=Social_Media_Platform_Analysis!$Z105)*('[1]Engagement Summary(Task1)'!$H$2:$H$201=Social_Media_Platform_Analysis!$AB105)*('[1]Engagement Summary(Task1)'!$B$2:$B$201=Social_Media_Platform_Analysis!$W105),'[1]Engagement Summary(Task1)'!$G$2:$G$201)</f>
        <v>18050</v>
      </c>
    </row>
    <row r="106" spans="2:29" x14ac:dyDescent="0.25">
      <c r="B106" s="11" t="str">
        <v>Instagram</v>
      </c>
      <c r="C106" s="11">
        <v>6.0899999999999996E-2</v>
      </c>
      <c r="G106" s="11" t="str">
        <v>Instagram</v>
      </c>
      <c r="H106" s="11">
        <v>447902</v>
      </c>
      <c r="I106" s="11">
        <v>2025</v>
      </c>
      <c r="J106" s="11">
        <v>5</v>
      </c>
      <c r="K106" s="11">
        <v>1</v>
      </c>
      <c r="L106" s="11">
        <v>1881</v>
      </c>
      <c r="M106" s="11">
        <v>1.2222222222222223</v>
      </c>
      <c r="W106" s="11" t="s">
        <v>20</v>
      </c>
      <c r="X106" s="15">
        <v>45466</v>
      </c>
      <c r="Y106" s="11">
        <f xml:space="preserve"> SUM([1]!Posts[[#This Row],[Likes]],[1]!Posts[[#This Row],[Shares]],[1]!Posts[[#This Row],[Comments]])</f>
        <v>3901</v>
      </c>
      <c r="Z106" s="11">
        <f t="shared" si="3"/>
        <v>6</v>
      </c>
      <c r="AA106" s="11">
        <f t="shared" si="4"/>
        <v>4</v>
      </c>
      <c r="AB106" s="11">
        <f t="shared" si="5"/>
        <v>2024</v>
      </c>
      <c r="AC106" s="11" cm="1">
        <f t="array" ref="AC106">_xlfn.XLOOKUP(1, ('[1]Engagement Summary(Task1)'!$J$2:$J$201=Social_Media_Platform_Analysis!$AA106)*('[1]Engagement Summary(Task1)'!$I$2:$I$201=Social_Media_Platform_Analysis!$Z106)*('[1]Engagement Summary(Task1)'!$H$2:$H$201=Social_Media_Platform_Analysis!$AB106)*('[1]Engagement Summary(Task1)'!$B$2:$B$201=Social_Media_Platform_Analysis!$W106),'[1]Engagement Summary(Task1)'!$G$2:$G$201)</f>
        <v>18050</v>
      </c>
    </row>
    <row r="107" spans="2:29" x14ac:dyDescent="0.25">
      <c r="B107" s="11" t="str">
        <v>Instagram</v>
      </c>
      <c r="C107" s="11">
        <v>1.8200000000000001E-2</v>
      </c>
      <c r="G107" s="11" t="str">
        <v>Instagram</v>
      </c>
      <c r="H107" s="11">
        <v>468301</v>
      </c>
      <c r="I107" s="11">
        <v>2025</v>
      </c>
      <c r="J107" s="11">
        <v>5</v>
      </c>
      <c r="K107" s="11">
        <v>2</v>
      </c>
      <c r="L107" s="11">
        <v>1656</v>
      </c>
      <c r="M107" s="11">
        <v>0.88038277511961727</v>
      </c>
      <c r="W107" s="11" t="s">
        <v>20</v>
      </c>
      <c r="X107" s="15">
        <v>45474</v>
      </c>
      <c r="Y107" s="11">
        <f xml:space="preserve"> SUM([1]!Posts[[#This Row],[Likes]],[1]!Posts[[#This Row],[Shares]],[1]!Posts[[#This Row],[Comments]])</f>
        <v>2048</v>
      </c>
      <c r="Z107" s="11">
        <f t="shared" si="3"/>
        <v>7</v>
      </c>
      <c r="AA107" s="11">
        <f t="shared" si="4"/>
        <v>1</v>
      </c>
      <c r="AB107" s="11">
        <f t="shared" si="5"/>
        <v>2024</v>
      </c>
      <c r="AC107" s="11" cm="1">
        <f t="array" ref="AC107">_xlfn.XLOOKUP(1, ('[1]Engagement Summary(Task1)'!$J$2:$J$201=Social_Media_Platform_Analysis!$AA107)*('[1]Engagement Summary(Task1)'!$I$2:$I$201=Social_Media_Platform_Analysis!$Z107)*('[1]Engagement Summary(Task1)'!$H$2:$H$201=Social_Media_Platform_Analysis!$AB107)*('[1]Engagement Summary(Task1)'!$B$2:$B$201=Social_Media_Platform_Analysis!$W107),'[1]Engagement Summary(Task1)'!$G$2:$G$201)</f>
        <v>9566</v>
      </c>
    </row>
    <row r="108" spans="2:29" x14ac:dyDescent="0.25">
      <c r="B108" s="11" t="str">
        <v>Twitter</v>
      </c>
      <c r="C108" s="11">
        <v>8.3100000000000007E-2</v>
      </c>
      <c r="G108" s="11" t="str">
        <v>Twitter</v>
      </c>
      <c r="H108" s="11">
        <v>146834</v>
      </c>
      <c r="I108" s="11">
        <v>2024</v>
      </c>
      <c r="J108" s="11">
        <v>6</v>
      </c>
      <c r="K108" s="11">
        <v>1</v>
      </c>
      <c r="L108" s="11">
        <v>415</v>
      </c>
      <c r="M108" s="11">
        <v>1</v>
      </c>
      <c r="W108" s="11" t="s">
        <v>20</v>
      </c>
      <c r="X108" s="15">
        <v>45476</v>
      </c>
      <c r="Y108" s="11">
        <f xml:space="preserve"> SUM([1]!Posts[[#This Row],[Likes]],[1]!Posts[[#This Row],[Shares]],[1]!Posts[[#This Row],[Comments]])</f>
        <v>5401</v>
      </c>
      <c r="Z108" s="11">
        <f t="shared" si="3"/>
        <v>7</v>
      </c>
      <c r="AA108" s="11">
        <f t="shared" si="4"/>
        <v>1</v>
      </c>
      <c r="AB108" s="11">
        <f t="shared" si="5"/>
        <v>2024</v>
      </c>
      <c r="AC108" s="11" cm="1">
        <f t="array" ref="AC108">_xlfn.XLOOKUP(1, ('[1]Engagement Summary(Task1)'!$J$2:$J$201=Social_Media_Platform_Analysis!$AA108)*('[1]Engagement Summary(Task1)'!$I$2:$I$201=Social_Media_Platform_Analysis!$Z108)*('[1]Engagement Summary(Task1)'!$H$2:$H$201=Social_Media_Platform_Analysis!$AB108)*('[1]Engagement Summary(Task1)'!$B$2:$B$201=Social_Media_Platform_Analysis!$W108),'[1]Engagement Summary(Task1)'!$G$2:$G$201)</f>
        <v>9566</v>
      </c>
    </row>
    <row r="109" spans="2:29" x14ac:dyDescent="0.25">
      <c r="B109" s="11" t="str">
        <v>Twitter</v>
      </c>
      <c r="C109" s="11">
        <v>4.0099999999999997E-2</v>
      </c>
      <c r="G109" s="11" t="str">
        <v>Twitter</v>
      </c>
      <c r="H109" s="11">
        <v>254347</v>
      </c>
      <c r="I109" s="11">
        <v>2024</v>
      </c>
      <c r="J109" s="11">
        <v>6</v>
      </c>
      <c r="K109" s="11">
        <v>2</v>
      </c>
      <c r="L109" s="11">
        <v>186</v>
      </c>
      <c r="M109" s="11">
        <v>0.44819277108433736</v>
      </c>
      <c r="W109" s="11" t="s">
        <v>20</v>
      </c>
      <c r="X109" s="15">
        <v>45483</v>
      </c>
      <c r="Y109" s="11">
        <f xml:space="preserve"> SUM([1]!Posts[[#This Row],[Likes]],[1]!Posts[[#This Row],[Shares]],[1]!Posts[[#This Row],[Comments]])</f>
        <v>5401</v>
      </c>
      <c r="Z109" s="11">
        <f t="shared" si="3"/>
        <v>7</v>
      </c>
      <c r="AA109" s="11">
        <f t="shared" si="4"/>
        <v>2</v>
      </c>
      <c r="AB109" s="11">
        <f t="shared" si="5"/>
        <v>2024</v>
      </c>
      <c r="AC109" s="11" cm="1">
        <f t="array" ref="AC109">_xlfn.XLOOKUP(1, ('[1]Engagement Summary(Task1)'!$J$2:$J$201=Social_Media_Platform_Analysis!$AA109)*('[1]Engagement Summary(Task1)'!$I$2:$I$201=Social_Media_Platform_Analysis!$Z109)*('[1]Engagement Summary(Task1)'!$H$2:$H$201=Social_Media_Platform_Analysis!$AB109)*('[1]Engagement Summary(Task1)'!$B$2:$B$201=Social_Media_Platform_Analysis!$W109),'[1]Engagement Summary(Task1)'!$G$2:$G$201)</f>
        <v>22728</v>
      </c>
    </row>
    <row r="110" spans="2:29" x14ac:dyDescent="0.25">
      <c r="B110" s="11" t="str">
        <v>Twitter</v>
      </c>
      <c r="C110" s="11">
        <v>8.1900000000000001E-2</v>
      </c>
      <c r="G110" s="11" t="str">
        <v>Twitter</v>
      </c>
      <c r="H110" s="11">
        <v>122732</v>
      </c>
      <c r="I110" s="11">
        <v>2024</v>
      </c>
      <c r="J110" s="11">
        <v>6</v>
      </c>
      <c r="K110" s="11">
        <v>3</v>
      </c>
      <c r="L110" s="11">
        <v>1295</v>
      </c>
      <c r="M110" s="11">
        <v>6.9623655913978491</v>
      </c>
      <c r="W110" s="11" t="s">
        <v>20</v>
      </c>
      <c r="X110" s="15">
        <v>45484</v>
      </c>
      <c r="Y110" s="11">
        <f xml:space="preserve"> SUM([1]!Posts[[#This Row],[Likes]],[1]!Posts[[#This Row],[Shares]],[1]!Posts[[#This Row],[Comments]])</f>
        <v>2832</v>
      </c>
      <c r="Z110" s="11">
        <f t="shared" si="3"/>
        <v>7</v>
      </c>
      <c r="AA110" s="11">
        <f t="shared" si="4"/>
        <v>2</v>
      </c>
      <c r="AB110" s="11">
        <f t="shared" si="5"/>
        <v>2024</v>
      </c>
      <c r="AC110" s="11" cm="1">
        <f t="array" ref="AC110">_xlfn.XLOOKUP(1, ('[1]Engagement Summary(Task1)'!$J$2:$J$201=Social_Media_Platform_Analysis!$AA110)*('[1]Engagement Summary(Task1)'!$I$2:$I$201=Social_Media_Platform_Analysis!$Z110)*('[1]Engagement Summary(Task1)'!$H$2:$H$201=Social_Media_Platform_Analysis!$AB110)*('[1]Engagement Summary(Task1)'!$B$2:$B$201=Social_Media_Platform_Analysis!$W110),'[1]Engagement Summary(Task1)'!$G$2:$G$201)</f>
        <v>22728</v>
      </c>
    </row>
    <row r="111" spans="2:29" x14ac:dyDescent="0.25">
      <c r="B111" s="11" t="str">
        <v>Twitter</v>
      </c>
      <c r="C111" s="11">
        <v>3.5000000000000003E-2</v>
      </c>
      <c r="G111" s="11" t="str">
        <v>Twitter</v>
      </c>
      <c r="H111" s="11">
        <v>298421</v>
      </c>
      <c r="I111" s="11">
        <v>2024</v>
      </c>
      <c r="J111" s="11">
        <v>6</v>
      </c>
      <c r="K111" s="11">
        <v>4</v>
      </c>
      <c r="L111" s="11">
        <v>835</v>
      </c>
      <c r="M111" s="11">
        <v>0.64478764478764483</v>
      </c>
      <c r="W111" s="11" t="s">
        <v>20</v>
      </c>
      <c r="X111" s="15">
        <v>45497</v>
      </c>
      <c r="Y111" s="11">
        <f xml:space="preserve"> SUM([1]!Posts[[#This Row],[Likes]],[1]!Posts[[#This Row],[Shares]],[1]!Posts[[#This Row],[Comments]])</f>
        <v>4805</v>
      </c>
      <c r="Z111" s="11">
        <f t="shared" si="3"/>
        <v>7</v>
      </c>
      <c r="AA111" s="11">
        <f t="shared" si="4"/>
        <v>4</v>
      </c>
      <c r="AB111" s="11">
        <f t="shared" si="5"/>
        <v>2024</v>
      </c>
      <c r="AC111" s="11" cm="1">
        <f t="array" ref="AC111">_xlfn.XLOOKUP(1, ('[1]Engagement Summary(Task1)'!$J$2:$J$201=Social_Media_Platform_Analysis!$AA111)*('[1]Engagement Summary(Task1)'!$I$2:$I$201=Social_Media_Platform_Analysis!$Z111)*('[1]Engagement Summary(Task1)'!$H$2:$H$201=Social_Media_Platform_Analysis!$AB111)*('[1]Engagement Summary(Task1)'!$B$2:$B$201=Social_Media_Platform_Analysis!$W111),'[1]Engagement Summary(Task1)'!$G$2:$G$201)</f>
        <v>17328</v>
      </c>
    </row>
    <row r="112" spans="2:29" x14ac:dyDescent="0.25">
      <c r="B112" s="11" t="str">
        <v>Twitter</v>
      </c>
      <c r="C112" s="11">
        <v>6.1900000000000004E-2</v>
      </c>
      <c r="G112" s="11" t="str">
        <v>Twitter</v>
      </c>
      <c r="H112" s="11">
        <v>315305</v>
      </c>
      <c r="I112" s="11">
        <v>2024</v>
      </c>
      <c r="J112" s="11">
        <v>7</v>
      </c>
      <c r="K112" s="11">
        <v>1</v>
      </c>
      <c r="L112" s="11">
        <v>1357</v>
      </c>
      <c r="M112" s="11">
        <v>1.6251497005988025</v>
      </c>
      <c r="W112" s="11" t="s">
        <v>20</v>
      </c>
      <c r="X112" s="15">
        <v>45497</v>
      </c>
      <c r="Y112" s="11">
        <f xml:space="preserve"> SUM([1]!Posts[[#This Row],[Likes]],[1]!Posts[[#This Row],[Shares]],[1]!Posts[[#This Row],[Comments]])</f>
        <v>2282</v>
      </c>
      <c r="Z112" s="11">
        <f t="shared" si="3"/>
        <v>7</v>
      </c>
      <c r="AA112" s="11">
        <f t="shared" si="4"/>
        <v>4</v>
      </c>
      <c r="AB112" s="11">
        <f t="shared" si="5"/>
        <v>2024</v>
      </c>
      <c r="AC112" s="11" cm="1">
        <f t="array" ref="AC112">_xlfn.XLOOKUP(1, ('[1]Engagement Summary(Task1)'!$J$2:$J$201=Social_Media_Platform_Analysis!$AA112)*('[1]Engagement Summary(Task1)'!$I$2:$I$201=Social_Media_Platform_Analysis!$Z112)*('[1]Engagement Summary(Task1)'!$H$2:$H$201=Social_Media_Platform_Analysis!$AB112)*('[1]Engagement Summary(Task1)'!$B$2:$B$201=Social_Media_Platform_Analysis!$W112),'[1]Engagement Summary(Task1)'!$G$2:$G$201)</f>
        <v>17328</v>
      </c>
    </row>
    <row r="113" spans="2:29" x14ac:dyDescent="0.25">
      <c r="B113" s="11" t="str">
        <v>Twitter</v>
      </c>
      <c r="C113" s="11">
        <v>4.6600000000000003E-2</v>
      </c>
      <c r="G113" s="11" t="str">
        <v>Twitter</v>
      </c>
      <c r="H113" s="11">
        <v>389810</v>
      </c>
      <c r="I113" s="11">
        <v>2024</v>
      </c>
      <c r="J113" s="11">
        <v>7</v>
      </c>
      <c r="K113" s="11">
        <v>2</v>
      </c>
      <c r="L113" s="11">
        <v>547</v>
      </c>
      <c r="M113" s="11">
        <v>0.40309506263817246</v>
      </c>
      <c r="W113" s="11" t="s">
        <v>20</v>
      </c>
      <c r="X113" s="15">
        <v>45497</v>
      </c>
      <c r="Y113" s="11">
        <f xml:space="preserve"> SUM([1]!Posts[[#This Row],[Likes]],[1]!Posts[[#This Row],[Shares]],[1]!Posts[[#This Row],[Comments]])</f>
        <v>5576</v>
      </c>
      <c r="Z113" s="11">
        <f t="shared" si="3"/>
        <v>7</v>
      </c>
      <c r="AA113" s="11">
        <f t="shared" si="4"/>
        <v>4</v>
      </c>
      <c r="AB113" s="11">
        <f t="shared" si="5"/>
        <v>2024</v>
      </c>
      <c r="AC113" s="11" cm="1">
        <f t="array" ref="AC113">_xlfn.XLOOKUP(1, ('[1]Engagement Summary(Task1)'!$J$2:$J$201=Social_Media_Platform_Analysis!$AA113)*('[1]Engagement Summary(Task1)'!$I$2:$I$201=Social_Media_Platform_Analysis!$Z113)*('[1]Engagement Summary(Task1)'!$H$2:$H$201=Social_Media_Platform_Analysis!$AB113)*('[1]Engagement Summary(Task1)'!$B$2:$B$201=Social_Media_Platform_Analysis!$W113),'[1]Engagement Summary(Task1)'!$G$2:$G$201)</f>
        <v>17328</v>
      </c>
    </row>
    <row r="114" spans="2:29" x14ac:dyDescent="0.25">
      <c r="B114" s="11" t="str">
        <v>Twitter</v>
      </c>
      <c r="C114" s="11">
        <v>8.5600000000000009E-2</v>
      </c>
      <c r="G114" s="11" t="str">
        <v>Twitter</v>
      </c>
      <c r="H114" s="11">
        <v>226002</v>
      </c>
      <c r="I114" s="11">
        <v>2024</v>
      </c>
      <c r="J114" s="11">
        <v>7</v>
      </c>
      <c r="K114" s="11">
        <v>3</v>
      </c>
      <c r="L114" s="11">
        <v>429</v>
      </c>
      <c r="M114" s="11">
        <v>0.78427787934186477</v>
      </c>
      <c r="W114" s="11" t="s">
        <v>20</v>
      </c>
      <c r="X114" s="15">
        <v>45499</v>
      </c>
      <c r="Y114" s="11">
        <f xml:space="preserve"> SUM([1]!Posts[[#This Row],[Likes]],[1]!Posts[[#This Row],[Shares]],[1]!Posts[[#This Row],[Comments]])</f>
        <v>2140</v>
      </c>
      <c r="Z114" s="11">
        <f t="shared" si="3"/>
        <v>7</v>
      </c>
      <c r="AA114" s="11">
        <f t="shared" si="4"/>
        <v>4</v>
      </c>
      <c r="AB114" s="11">
        <f t="shared" si="5"/>
        <v>2024</v>
      </c>
      <c r="AC114" s="11" cm="1">
        <f t="array" ref="AC114">_xlfn.XLOOKUP(1, ('[1]Engagement Summary(Task1)'!$J$2:$J$201=Social_Media_Platform_Analysis!$AA114)*('[1]Engagement Summary(Task1)'!$I$2:$I$201=Social_Media_Platform_Analysis!$Z114)*('[1]Engagement Summary(Task1)'!$H$2:$H$201=Social_Media_Platform_Analysis!$AB114)*('[1]Engagement Summary(Task1)'!$B$2:$B$201=Social_Media_Platform_Analysis!$W114),'[1]Engagement Summary(Task1)'!$G$2:$G$201)</f>
        <v>17328</v>
      </c>
    </row>
    <row r="115" spans="2:29" x14ac:dyDescent="0.25">
      <c r="B115" s="11" t="str">
        <v>Twitter</v>
      </c>
      <c r="C115" s="11">
        <v>5.3399999999999996E-2</v>
      </c>
      <c r="G115" s="11" t="str">
        <v>Twitter</v>
      </c>
      <c r="H115" s="11">
        <v>198278</v>
      </c>
      <c r="I115" s="11">
        <v>2024</v>
      </c>
      <c r="J115" s="11">
        <v>7</v>
      </c>
      <c r="K115" s="11">
        <v>4</v>
      </c>
      <c r="L115" s="11">
        <v>1316</v>
      </c>
      <c r="M115" s="11">
        <v>3.0675990675990676</v>
      </c>
      <c r="W115" s="11" t="s">
        <v>20</v>
      </c>
      <c r="X115" s="15">
        <v>45502</v>
      </c>
      <c r="Y115" s="11">
        <f xml:space="preserve"> SUM([1]!Posts[[#This Row],[Likes]],[1]!Posts[[#This Row],[Shares]],[1]!Posts[[#This Row],[Comments]])</f>
        <v>4043</v>
      </c>
      <c r="Z115" s="11">
        <f t="shared" si="3"/>
        <v>7</v>
      </c>
      <c r="AA115" s="11">
        <f t="shared" si="4"/>
        <v>5</v>
      </c>
      <c r="AB115" s="11">
        <f t="shared" si="5"/>
        <v>2024</v>
      </c>
      <c r="AC115" s="11" cm="1">
        <f t="array" ref="AC115">_xlfn.XLOOKUP(1, ('[1]Engagement Summary(Task1)'!$J$2:$J$201=Social_Media_Platform_Analysis!$AA115)*('[1]Engagement Summary(Task1)'!$I$2:$I$201=Social_Media_Platform_Analysis!$Z115)*('[1]Engagement Summary(Task1)'!$H$2:$H$201=Social_Media_Platform_Analysis!$AB115)*('[1]Engagement Summary(Task1)'!$B$2:$B$201=Social_Media_Platform_Analysis!$W115),'[1]Engagement Summary(Task1)'!$G$2:$G$201)</f>
        <v>15353</v>
      </c>
    </row>
    <row r="116" spans="2:29" x14ac:dyDescent="0.25">
      <c r="B116" s="11" t="str">
        <v>Twitter</v>
      </c>
      <c r="C116" s="11">
        <v>4.36E-2</v>
      </c>
      <c r="G116" s="11" t="str">
        <v>Twitter</v>
      </c>
      <c r="H116" s="11">
        <v>287574</v>
      </c>
      <c r="I116" s="11">
        <v>2024</v>
      </c>
      <c r="J116" s="11">
        <v>7</v>
      </c>
      <c r="K116" s="11">
        <v>5</v>
      </c>
      <c r="L116" s="11">
        <v>1495</v>
      </c>
      <c r="M116" s="11">
        <v>1.1360182370820668</v>
      </c>
      <c r="W116" s="11" t="s">
        <v>20</v>
      </c>
      <c r="X116" s="15">
        <v>45502</v>
      </c>
      <c r="Y116" s="11">
        <f xml:space="preserve"> SUM([1]!Posts[[#This Row],[Likes]],[1]!Posts[[#This Row],[Shares]],[1]!Posts[[#This Row],[Comments]])</f>
        <v>4509</v>
      </c>
      <c r="Z116" s="11">
        <f t="shared" si="3"/>
        <v>7</v>
      </c>
      <c r="AA116" s="11">
        <f t="shared" si="4"/>
        <v>5</v>
      </c>
      <c r="AB116" s="11">
        <f t="shared" si="5"/>
        <v>2024</v>
      </c>
      <c r="AC116" s="11" cm="1">
        <f t="array" ref="AC116">_xlfn.XLOOKUP(1, ('[1]Engagement Summary(Task1)'!$J$2:$J$201=Social_Media_Platform_Analysis!$AA116)*('[1]Engagement Summary(Task1)'!$I$2:$I$201=Social_Media_Platform_Analysis!$Z116)*('[1]Engagement Summary(Task1)'!$H$2:$H$201=Social_Media_Platform_Analysis!$AB116)*('[1]Engagement Summary(Task1)'!$B$2:$B$201=Social_Media_Platform_Analysis!$W116),'[1]Engagement Summary(Task1)'!$G$2:$G$201)</f>
        <v>15353</v>
      </c>
    </row>
    <row r="117" spans="2:29" x14ac:dyDescent="0.25">
      <c r="B117" s="11" t="str">
        <v>Twitter</v>
      </c>
      <c r="C117" s="11">
        <v>9.4299999999999995E-2</v>
      </c>
      <c r="G117" s="11" t="str">
        <v>Twitter</v>
      </c>
      <c r="H117" s="11">
        <v>449994</v>
      </c>
      <c r="I117" s="11">
        <v>2024</v>
      </c>
      <c r="J117" s="11">
        <v>8</v>
      </c>
      <c r="K117" s="11">
        <v>1</v>
      </c>
      <c r="L117" s="11">
        <v>328</v>
      </c>
      <c r="M117" s="11">
        <v>0.21939799331103679</v>
      </c>
      <c r="W117" s="11" t="s">
        <v>20</v>
      </c>
      <c r="X117" s="15">
        <v>45505</v>
      </c>
      <c r="Y117" s="11">
        <f xml:space="preserve"> SUM([1]!Posts[[#This Row],[Likes]],[1]!Posts[[#This Row],[Shares]],[1]!Posts[[#This Row],[Comments]])</f>
        <v>578</v>
      </c>
      <c r="Z117" s="11">
        <f t="shared" si="3"/>
        <v>8</v>
      </c>
      <c r="AA117" s="11">
        <f t="shared" si="4"/>
        <v>1</v>
      </c>
      <c r="AB117" s="11">
        <f t="shared" si="5"/>
        <v>2024</v>
      </c>
      <c r="AC117" s="11" cm="1">
        <f t="array" ref="AC117">_xlfn.XLOOKUP(1, ('[1]Engagement Summary(Task1)'!$J$2:$J$201=Social_Media_Platform_Analysis!$AA117)*('[1]Engagement Summary(Task1)'!$I$2:$I$201=Social_Media_Platform_Analysis!$Z117)*('[1]Engagement Summary(Task1)'!$H$2:$H$201=Social_Media_Platform_Analysis!$AB117)*('[1]Engagement Summary(Task1)'!$B$2:$B$201=Social_Media_Platform_Analysis!$W117),'[1]Engagement Summary(Task1)'!$G$2:$G$201)</f>
        <v>49303</v>
      </c>
    </row>
    <row r="118" spans="2:29" x14ac:dyDescent="0.25">
      <c r="B118" s="11" t="str">
        <v>Twitter</v>
      </c>
      <c r="C118" s="11">
        <v>8.5500000000000007E-2</v>
      </c>
      <c r="G118" s="11" t="str">
        <v>Twitter</v>
      </c>
      <c r="H118" s="11">
        <v>434883</v>
      </c>
      <c r="I118" s="11">
        <v>2024</v>
      </c>
      <c r="J118" s="11">
        <v>8</v>
      </c>
      <c r="K118" s="11">
        <v>2</v>
      </c>
      <c r="L118" s="11">
        <v>37</v>
      </c>
      <c r="M118" s="11">
        <v>0.11280487804878049</v>
      </c>
      <c r="W118" s="11" t="s">
        <v>20</v>
      </c>
      <c r="X118" s="15">
        <v>45509</v>
      </c>
      <c r="Y118" s="11">
        <f xml:space="preserve"> SUM([1]!Posts[[#This Row],[Likes]],[1]!Posts[[#This Row],[Shares]],[1]!Posts[[#This Row],[Comments]])</f>
        <v>5939</v>
      </c>
      <c r="Z118" s="11">
        <f t="shared" si="3"/>
        <v>8</v>
      </c>
      <c r="AA118" s="11">
        <f t="shared" si="4"/>
        <v>1</v>
      </c>
      <c r="AB118" s="11">
        <f t="shared" si="5"/>
        <v>2024</v>
      </c>
      <c r="AC118" s="11" cm="1">
        <f t="array" ref="AC118">_xlfn.XLOOKUP(1, ('[1]Engagement Summary(Task1)'!$J$2:$J$201=Social_Media_Platform_Analysis!$AA118)*('[1]Engagement Summary(Task1)'!$I$2:$I$201=Social_Media_Platform_Analysis!$Z118)*('[1]Engagement Summary(Task1)'!$H$2:$H$201=Social_Media_Platform_Analysis!$AB118)*('[1]Engagement Summary(Task1)'!$B$2:$B$201=Social_Media_Platform_Analysis!$W118),'[1]Engagement Summary(Task1)'!$G$2:$G$201)</f>
        <v>49303</v>
      </c>
    </row>
    <row r="119" spans="2:29" x14ac:dyDescent="0.25">
      <c r="B119" s="11" t="str">
        <v>Twitter</v>
      </c>
      <c r="C119" s="11">
        <v>7.2400000000000006E-2</v>
      </c>
      <c r="G119" s="11" t="str">
        <v>Twitter</v>
      </c>
      <c r="H119" s="11">
        <v>188655</v>
      </c>
      <c r="I119" s="11">
        <v>2024</v>
      </c>
      <c r="J119" s="11">
        <v>8</v>
      </c>
      <c r="K119" s="11">
        <v>3</v>
      </c>
      <c r="L119" s="11">
        <v>1665</v>
      </c>
      <c r="M119" s="11">
        <v>45</v>
      </c>
      <c r="W119" s="11" t="s">
        <v>20</v>
      </c>
      <c r="X119" s="15">
        <v>45511</v>
      </c>
      <c r="Y119" s="11">
        <f xml:space="preserve"> SUM([1]!Posts[[#This Row],[Likes]],[1]!Posts[[#This Row],[Shares]],[1]!Posts[[#This Row],[Comments]])</f>
        <v>5735</v>
      </c>
      <c r="Z119" s="11">
        <f t="shared" si="3"/>
        <v>8</v>
      </c>
      <c r="AA119" s="11">
        <f t="shared" si="4"/>
        <v>1</v>
      </c>
      <c r="AB119" s="11">
        <f t="shared" si="5"/>
        <v>2024</v>
      </c>
      <c r="AC119" s="11" cm="1">
        <f t="array" ref="AC119">_xlfn.XLOOKUP(1, ('[1]Engagement Summary(Task1)'!$J$2:$J$201=Social_Media_Platform_Analysis!$AA119)*('[1]Engagement Summary(Task1)'!$I$2:$I$201=Social_Media_Platform_Analysis!$Z119)*('[1]Engagement Summary(Task1)'!$H$2:$H$201=Social_Media_Platform_Analysis!$AB119)*('[1]Engagement Summary(Task1)'!$B$2:$B$201=Social_Media_Platform_Analysis!$W119),'[1]Engagement Summary(Task1)'!$G$2:$G$201)</f>
        <v>49303</v>
      </c>
    </row>
    <row r="120" spans="2:29" x14ac:dyDescent="0.25">
      <c r="B120" s="11" t="str">
        <v>Twitter</v>
      </c>
      <c r="C120" s="11">
        <v>3.9100000000000003E-2</v>
      </c>
      <c r="G120" s="11" t="str">
        <v>Twitter</v>
      </c>
      <c r="H120" s="11">
        <v>186454</v>
      </c>
      <c r="I120" s="11">
        <v>2024</v>
      </c>
      <c r="J120" s="11">
        <v>8</v>
      </c>
      <c r="K120" s="11">
        <v>4</v>
      </c>
      <c r="L120" s="11">
        <v>1229</v>
      </c>
      <c r="M120" s="11">
        <v>0.73813813813813811</v>
      </c>
      <c r="W120" s="11" t="s">
        <v>20</v>
      </c>
      <c r="X120" s="15">
        <v>45515</v>
      </c>
      <c r="Y120" s="11">
        <f xml:space="preserve"> SUM([1]!Posts[[#This Row],[Likes]],[1]!Posts[[#This Row],[Shares]],[1]!Posts[[#This Row],[Comments]])</f>
        <v>5268</v>
      </c>
      <c r="Z120" s="11">
        <f t="shared" si="3"/>
        <v>8</v>
      </c>
      <c r="AA120" s="11">
        <f t="shared" si="4"/>
        <v>2</v>
      </c>
      <c r="AB120" s="11">
        <f t="shared" si="5"/>
        <v>2024</v>
      </c>
      <c r="AC120" s="11" cm="1">
        <f t="array" ref="AC120">_xlfn.XLOOKUP(1, ('[1]Engagement Summary(Task1)'!$J$2:$J$201=Social_Media_Platform_Analysis!$AA120)*('[1]Engagement Summary(Task1)'!$I$2:$I$201=Social_Media_Platform_Analysis!$Z120)*('[1]Engagement Summary(Task1)'!$H$2:$H$201=Social_Media_Platform_Analysis!$AB120)*('[1]Engagement Summary(Task1)'!$B$2:$B$201=Social_Media_Platform_Analysis!$W120),'[1]Engagement Summary(Task1)'!$G$2:$G$201)</f>
        <v>47101</v>
      </c>
    </row>
    <row r="121" spans="2:29" x14ac:dyDescent="0.25">
      <c r="B121" s="11" t="str">
        <v>Twitter</v>
      </c>
      <c r="C121" s="11">
        <v>8.0199999999999994E-2</v>
      </c>
      <c r="G121" s="11" t="str">
        <v>Twitter</v>
      </c>
      <c r="H121" s="11">
        <v>318779</v>
      </c>
      <c r="I121" s="11">
        <v>2024</v>
      </c>
      <c r="J121" s="11">
        <v>9</v>
      </c>
      <c r="K121" s="11">
        <v>1</v>
      </c>
      <c r="L121" s="11">
        <v>197</v>
      </c>
      <c r="M121" s="11">
        <v>0.16029292107404394</v>
      </c>
      <c r="W121" s="11" t="s">
        <v>20</v>
      </c>
      <c r="X121" s="15">
        <v>45516</v>
      </c>
      <c r="Y121" s="11">
        <f xml:space="preserve"> SUM([1]!Posts[[#This Row],[Likes]],[1]!Posts[[#This Row],[Shares]],[1]!Posts[[#This Row],[Comments]])</f>
        <v>4277</v>
      </c>
      <c r="Z121" s="11">
        <f t="shared" si="3"/>
        <v>8</v>
      </c>
      <c r="AA121" s="11">
        <f t="shared" si="4"/>
        <v>2</v>
      </c>
      <c r="AB121" s="11">
        <f t="shared" si="5"/>
        <v>2024</v>
      </c>
      <c r="AC121" s="11" cm="1">
        <f t="array" ref="AC121">_xlfn.XLOOKUP(1, ('[1]Engagement Summary(Task1)'!$J$2:$J$201=Social_Media_Platform_Analysis!$AA121)*('[1]Engagement Summary(Task1)'!$I$2:$I$201=Social_Media_Platform_Analysis!$Z121)*('[1]Engagement Summary(Task1)'!$H$2:$H$201=Social_Media_Platform_Analysis!$AB121)*('[1]Engagement Summary(Task1)'!$B$2:$B$201=Social_Media_Platform_Analysis!$W121),'[1]Engagement Summary(Task1)'!$G$2:$G$201)</f>
        <v>47101</v>
      </c>
    </row>
    <row r="122" spans="2:29" x14ac:dyDescent="0.25">
      <c r="B122" s="11" t="str">
        <v>Twitter</v>
      </c>
      <c r="C122" s="11">
        <v>9.2399999999999996E-2</v>
      </c>
      <c r="G122" s="11" t="str">
        <v>Twitter</v>
      </c>
      <c r="H122" s="11">
        <v>434047</v>
      </c>
      <c r="I122" s="11">
        <v>2024</v>
      </c>
      <c r="J122" s="11">
        <v>9</v>
      </c>
      <c r="K122" s="11">
        <v>2</v>
      </c>
      <c r="L122" s="11">
        <v>260</v>
      </c>
      <c r="M122" s="11">
        <v>1.3197969543147208</v>
      </c>
      <c r="W122" s="11" t="s">
        <v>20</v>
      </c>
      <c r="X122" s="15">
        <v>45516</v>
      </c>
      <c r="Y122" s="11">
        <f xml:space="preserve"> SUM([1]!Posts[[#This Row],[Likes]],[1]!Posts[[#This Row],[Shares]],[1]!Posts[[#This Row],[Comments]])</f>
        <v>4758</v>
      </c>
      <c r="Z122" s="11">
        <f t="shared" si="3"/>
        <v>8</v>
      </c>
      <c r="AA122" s="11">
        <f t="shared" si="4"/>
        <v>2</v>
      </c>
      <c r="AB122" s="11">
        <f t="shared" si="5"/>
        <v>2024</v>
      </c>
      <c r="AC122" s="11" cm="1">
        <f t="array" ref="AC122">_xlfn.XLOOKUP(1, ('[1]Engagement Summary(Task1)'!$J$2:$J$201=Social_Media_Platform_Analysis!$AA122)*('[1]Engagement Summary(Task1)'!$I$2:$I$201=Social_Media_Platform_Analysis!$Z122)*('[1]Engagement Summary(Task1)'!$H$2:$H$201=Social_Media_Platform_Analysis!$AB122)*('[1]Engagement Summary(Task1)'!$B$2:$B$201=Social_Media_Platform_Analysis!$W122),'[1]Engagement Summary(Task1)'!$G$2:$G$201)</f>
        <v>47101</v>
      </c>
    </row>
    <row r="123" spans="2:29" x14ac:dyDescent="0.25">
      <c r="B123" s="11" t="str">
        <v>Twitter</v>
      </c>
      <c r="C123" s="11">
        <v>8.5900000000000004E-2</v>
      </c>
      <c r="G123" s="11" t="str">
        <v>Twitter</v>
      </c>
      <c r="H123" s="11">
        <v>392355</v>
      </c>
      <c r="I123" s="11">
        <v>2024</v>
      </c>
      <c r="J123" s="11">
        <v>9</v>
      </c>
      <c r="K123" s="11">
        <v>3</v>
      </c>
      <c r="L123" s="11">
        <v>1125</v>
      </c>
      <c r="M123" s="11">
        <v>4.3269230769230766</v>
      </c>
      <c r="W123" s="11" t="s">
        <v>20</v>
      </c>
      <c r="X123" s="15">
        <v>45517</v>
      </c>
      <c r="Y123" s="11">
        <f xml:space="preserve"> SUM([1]!Posts[[#This Row],[Likes]],[1]!Posts[[#This Row],[Shares]],[1]!Posts[[#This Row],[Comments]])</f>
        <v>3021</v>
      </c>
      <c r="Z123" s="11">
        <f t="shared" si="3"/>
        <v>8</v>
      </c>
      <c r="AA123" s="11">
        <f t="shared" si="4"/>
        <v>2</v>
      </c>
      <c r="AB123" s="11">
        <f t="shared" si="5"/>
        <v>2024</v>
      </c>
      <c r="AC123" s="11" cm="1">
        <f t="array" ref="AC123">_xlfn.XLOOKUP(1, ('[1]Engagement Summary(Task1)'!$J$2:$J$201=Social_Media_Platform_Analysis!$AA123)*('[1]Engagement Summary(Task1)'!$I$2:$I$201=Social_Media_Platform_Analysis!$Z123)*('[1]Engagement Summary(Task1)'!$H$2:$H$201=Social_Media_Platform_Analysis!$AB123)*('[1]Engagement Summary(Task1)'!$B$2:$B$201=Social_Media_Platform_Analysis!$W123),'[1]Engagement Summary(Task1)'!$G$2:$G$201)</f>
        <v>47101</v>
      </c>
    </row>
    <row r="124" spans="2:29" x14ac:dyDescent="0.25">
      <c r="B124" s="11" t="str">
        <v>Twitter</v>
      </c>
      <c r="C124" s="11">
        <v>8.5500000000000007E-2</v>
      </c>
      <c r="G124" s="11" t="str">
        <v>Twitter</v>
      </c>
      <c r="H124" s="11">
        <v>268516</v>
      </c>
      <c r="I124" s="11">
        <v>2024</v>
      </c>
      <c r="J124" s="11">
        <v>9</v>
      </c>
      <c r="K124" s="11">
        <v>4</v>
      </c>
      <c r="L124" s="11">
        <v>1680</v>
      </c>
      <c r="M124" s="11">
        <v>1.4933333333333334</v>
      </c>
      <c r="W124" s="11" t="s">
        <v>20</v>
      </c>
      <c r="X124" s="15">
        <v>45517</v>
      </c>
      <c r="Y124" s="11">
        <f xml:space="preserve"> SUM([1]!Posts[[#This Row],[Likes]],[1]!Posts[[#This Row],[Shares]],[1]!Posts[[#This Row],[Comments]])</f>
        <v>3072</v>
      </c>
      <c r="Z124" s="11">
        <f t="shared" si="3"/>
        <v>8</v>
      </c>
      <c r="AA124" s="11">
        <f t="shared" si="4"/>
        <v>2</v>
      </c>
      <c r="AB124" s="11">
        <f t="shared" si="5"/>
        <v>2024</v>
      </c>
      <c r="AC124" s="11" cm="1">
        <f t="array" ref="AC124">_xlfn.XLOOKUP(1, ('[1]Engagement Summary(Task1)'!$J$2:$J$201=Social_Media_Platform_Analysis!$AA124)*('[1]Engagement Summary(Task1)'!$I$2:$I$201=Social_Media_Platform_Analysis!$Z124)*('[1]Engagement Summary(Task1)'!$H$2:$H$201=Social_Media_Platform_Analysis!$AB124)*('[1]Engagement Summary(Task1)'!$B$2:$B$201=Social_Media_Platform_Analysis!$W124),'[1]Engagement Summary(Task1)'!$G$2:$G$201)</f>
        <v>47101</v>
      </c>
    </row>
    <row r="125" spans="2:29" x14ac:dyDescent="0.25">
      <c r="B125" s="11" t="str">
        <v>Twitter</v>
      </c>
      <c r="C125" s="11">
        <v>2.0899999999999998E-2</v>
      </c>
      <c r="G125" s="11" t="str">
        <v>Twitter</v>
      </c>
      <c r="H125" s="11">
        <v>64906</v>
      </c>
      <c r="I125" s="11">
        <v>2024</v>
      </c>
      <c r="J125" s="11">
        <v>9</v>
      </c>
      <c r="K125" s="11">
        <v>5</v>
      </c>
      <c r="L125" s="11">
        <v>599</v>
      </c>
      <c r="M125" s="11">
        <v>0.35654761904761906</v>
      </c>
      <c r="W125" s="11" t="s">
        <v>20</v>
      </c>
      <c r="X125" s="15">
        <v>45519</v>
      </c>
      <c r="Y125" s="11">
        <f xml:space="preserve"> SUM([1]!Posts[[#This Row],[Likes]],[1]!Posts[[#This Row],[Shares]],[1]!Posts[[#This Row],[Comments]])</f>
        <v>5024</v>
      </c>
      <c r="Z125" s="11">
        <f t="shared" si="3"/>
        <v>8</v>
      </c>
      <c r="AA125" s="11">
        <f t="shared" si="4"/>
        <v>3</v>
      </c>
      <c r="AB125" s="11">
        <f t="shared" si="5"/>
        <v>2024</v>
      </c>
      <c r="AC125" s="11" cm="1">
        <f t="array" ref="AC125">_xlfn.XLOOKUP(1, ('[1]Engagement Summary(Task1)'!$J$2:$J$201=Social_Media_Platform_Analysis!$AA125)*('[1]Engagement Summary(Task1)'!$I$2:$I$201=Social_Media_Platform_Analysis!$Z125)*('[1]Engagement Summary(Task1)'!$H$2:$H$201=Social_Media_Platform_Analysis!$AB125)*('[1]Engagement Summary(Task1)'!$B$2:$B$201=Social_Media_Platform_Analysis!$W125),'[1]Engagement Summary(Task1)'!$G$2:$G$201)</f>
        <v>35501</v>
      </c>
    </row>
    <row r="126" spans="2:29" x14ac:dyDescent="0.25">
      <c r="B126" s="11" t="str">
        <v>Twitter</v>
      </c>
      <c r="C126" s="11">
        <v>4.9699999999999994E-2</v>
      </c>
      <c r="G126" s="11" t="str">
        <v>Twitter</v>
      </c>
      <c r="H126" s="11">
        <v>476486</v>
      </c>
      <c r="I126" s="11">
        <v>2024</v>
      </c>
      <c r="J126" s="11">
        <v>10</v>
      </c>
      <c r="K126" s="11">
        <v>1</v>
      </c>
      <c r="L126" s="11">
        <v>107</v>
      </c>
      <c r="M126" s="11">
        <v>0.17863105175292154</v>
      </c>
      <c r="W126" s="11" t="s">
        <v>20</v>
      </c>
      <c r="X126" s="15">
        <v>45519</v>
      </c>
      <c r="Y126" s="11">
        <f xml:space="preserve"> SUM([1]!Posts[[#This Row],[Likes]],[1]!Posts[[#This Row],[Shares]],[1]!Posts[[#This Row],[Comments]])</f>
        <v>5177</v>
      </c>
      <c r="Z126" s="11">
        <f t="shared" si="3"/>
        <v>8</v>
      </c>
      <c r="AA126" s="11">
        <f t="shared" si="4"/>
        <v>3</v>
      </c>
      <c r="AB126" s="11">
        <f t="shared" si="5"/>
        <v>2024</v>
      </c>
      <c r="AC126" s="11" cm="1">
        <f t="array" ref="AC126">_xlfn.XLOOKUP(1, ('[1]Engagement Summary(Task1)'!$J$2:$J$201=Social_Media_Platform_Analysis!$AA126)*('[1]Engagement Summary(Task1)'!$I$2:$I$201=Social_Media_Platform_Analysis!$Z126)*('[1]Engagement Summary(Task1)'!$H$2:$H$201=Social_Media_Platform_Analysis!$AB126)*('[1]Engagement Summary(Task1)'!$B$2:$B$201=Social_Media_Platform_Analysis!$W126),'[1]Engagement Summary(Task1)'!$G$2:$G$201)</f>
        <v>35501</v>
      </c>
    </row>
    <row r="127" spans="2:29" x14ac:dyDescent="0.25">
      <c r="B127" s="11" t="str">
        <v>Twitter</v>
      </c>
      <c r="C127" s="11">
        <v>5.9000000000000004E-2</v>
      </c>
      <c r="G127" s="11" t="str">
        <v>Twitter</v>
      </c>
      <c r="H127" s="11">
        <v>309772</v>
      </c>
      <c r="I127" s="11">
        <v>2024</v>
      </c>
      <c r="J127" s="11">
        <v>10</v>
      </c>
      <c r="K127" s="11">
        <v>2</v>
      </c>
      <c r="L127" s="11">
        <v>-20</v>
      </c>
      <c r="M127" s="11">
        <v>-0.18691588785046728</v>
      </c>
      <c r="W127" s="11" t="s">
        <v>20</v>
      </c>
      <c r="X127" s="15">
        <v>45519</v>
      </c>
      <c r="Y127" s="11">
        <f xml:space="preserve"> SUM([1]!Posts[[#This Row],[Likes]],[1]!Posts[[#This Row],[Shares]],[1]!Posts[[#This Row],[Comments]])</f>
        <v>2634</v>
      </c>
      <c r="Z127" s="11">
        <f t="shared" si="3"/>
        <v>8</v>
      </c>
      <c r="AA127" s="11">
        <f t="shared" si="4"/>
        <v>3</v>
      </c>
      <c r="AB127" s="11">
        <f t="shared" si="5"/>
        <v>2024</v>
      </c>
      <c r="AC127" s="11" cm="1">
        <f t="array" ref="AC127">_xlfn.XLOOKUP(1, ('[1]Engagement Summary(Task1)'!$J$2:$J$201=Social_Media_Platform_Analysis!$AA127)*('[1]Engagement Summary(Task1)'!$I$2:$I$201=Social_Media_Platform_Analysis!$Z127)*('[1]Engagement Summary(Task1)'!$H$2:$H$201=Social_Media_Platform_Analysis!$AB127)*('[1]Engagement Summary(Task1)'!$B$2:$B$201=Social_Media_Platform_Analysis!$W127),'[1]Engagement Summary(Task1)'!$G$2:$G$201)</f>
        <v>35501</v>
      </c>
    </row>
    <row r="128" spans="2:29" x14ac:dyDescent="0.25">
      <c r="B128" s="11" t="str">
        <v>Twitter</v>
      </c>
      <c r="C128" s="11">
        <v>8.2500000000000004E-2</v>
      </c>
      <c r="G128" s="11" t="str">
        <v>Twitter</v>
      </c>
      <c r="H128" s="11">
        <v>258287</v>
      </c>
      <c r="I128" s="11">
        <v>2024</v>
      </c>
      <c r="J128" s="11">
        <v>10</v>
      </c>
      <c r="K128" s="11">
        <v>3</v>
      </c>
      <c r="L128" s="11">
        <v>636</v>
      </c>
      <c r="M128" s="11">
        <v>-31.8</v>
      </c>
      <c r="W128" s="11" t="s">
        <v>20</v>
      </c>
      <c r="X128" s="15">
        <v>45519</v>
      </c>
      <c r="Y128" s="11">
        <f xml:space="preserve"> SUM([1]!Posts[[#This Row],[Likes]],[1]!Posts[[#This Row],[Shares]],[1]!Posts[[#This Row],[Comments]])</f>
        <v>2634</v>
      </c>
      <c r="Z128" s="11">
        <f t="shared" si="3"/>
        <v>8</v>
      </c>
      <c r="AA128" s="11">
        <f t="shared" si="4"/>
        <v>3</v>
      </c>
      <c r="AB128" s="11">
        <f t="shared" si="5"/>
        <v>2024</v>
      </c>
      <c r="AC128" s="11" cm="1">
        <f t="array" ref="AC128">_xlfn.XLOOKUP(1, ('[1]Engagement Summary(Task1)'!$J$2:$J$201=Social_Media_Platform_Analysis!$AA128)*('[1]Engagement Summary(Task1)'!$I$2:$I$201=Social_Media_Platform_Analysis!$Z128)*('[1]Engagement Summary(Task1)'!$H$2:$H$201=Social_Media_Platform_Analysis!$AB128)*('[1]Engagement Summary(Task1)'!$B$2:$B$201=Social_Media_Platform_Analysis!$W128),'[1]Engagement Summary(Task1)'!$G$2:$G$201)</f>
        <v>35501</v>
      </c>
    </row>
    <row r="129" spans="2:29" x14ac:dyDescent="0.25">
      <c r="B129" s="11" t="str">
        <v>Twitter</v>
      </c>
      <c r="C129" s="11">
        <v>5.2199999999999996E-2</v>
      </c>
      <c r="G129" s="11" t="str">
        <v>Twitter</v>
      </c>
      <c r="H129" s="11">
        <v>240550</v>
      </c>
      <c r="I129" s="11">
        <v>2024</v>
      </c>
      <c r="J129" s="11">
        <v>10</v>
      </c>
      <c r="K129" s="11">
        <v>4</v>
      </c>
      <c r="L129" s="11">
        <v>37</v>
      </c>
      <c r="M129" s="11">
        <v>5.8176100628930819E-2</v>
      </c>
      <c r="W129" s="11" t="s">
        <v>20</v>
      </c>
      <c r="X129" s="15">
        <v>45523</v>
      </c>
      <c r="Y129" s="11">
        <f xml:space="preserve"> SUM([1]!Posts[[#This Row],[Likes]],[1]!Posts[[#This Row],[Shares]],[1]!Posts[[#This Row],[Comments]])</f>
        <v>4348</v>
      </c>
      <c r="Z129" s="11">
        <f t="shared" si="3"/>
        <v>8</v>
      </c>
      <c r="AA129" s="11">
        <f t="shared" si="4"/>
        <v>3</v>
      </c>
      <c r="AB129" s="11">
        <f t="shared" si="5"/>
        <v>2024</v>
      </c>
      <c r="AC129" s="11" cm="1">
        <f t="array" ref="AC129">_xlfn.XLOOKUP(1, ('[1]Engagement Summary(Task1)'!$J$2:$J$201=Social_Media_Platform_Analysis!$AA129)*('[1]Engagement Summary(Task1)'!$I$2:$I$201=Social_Media_Platform_Analysis!$Z129)*('[1]Engagement Summary(Task1)'!$H$2:$H$201=Social_Media_Platform_Analysis!$AB129)*('[1]Engagement Summary(Task1)'!$B$2:$B$201=Social_Media_Platform_Analysis!$W129),'[1]Engagement Summary(Task1)'!$G$2:$G$201)</f>
        <v>35501</v>
      </c>
    </row>
    <row r="130" spans="2:29" x14ac:dyDescent="0.25">
      <c r="B130" s="11" t="str">
        <v>Twitter</v>
      </c>
      <c r="C130" s="11">
        <v>5.6799999999999996E-2</v>
      </c>
      <c r="G130" s="11" t="str">
        <v>Twitter</v>
      </c>
      <c r="H130" s="11">
        <v>439080</v>
      </c>
      <c r="I130" s="11">
        <v>2024</v>
      </c>
      <c r="J130" s="11">
        <v>11</v>
      </c>
      <c r="K130" s="11">
        <v>1</v>
      </c>
      <c r="L130" s="11">
        <v>1603</v>
      </c>
      <c r="M130" s="11">
        <v>43.324324324324323</v>
      </c>
      <c r="W130" s="11" t="s">
        <v>20</v>
      </c>
      <c r="X130" s="15">
        <v>45524</v>
      </c>
      <c r="Y130" s="11">
        <f xml:space="preserve"> SUM([1]!Posts[[#This Row],[Likes]],[1]!Posts[[#This Row],[Shares]],[1]!Posts[[#This Row],[Comments]])</f>
        <v>2462</v>
      </c>
      <c r="Z130" s="11">
        <f t="shared" si="3"/>
        <v>8</v>
      </c>
      <c r="AA130" s="11">
        <f t="shared" si="4"/>
        <v>3</v>
      </c>
      <c r="AB130" s="11">
        <f t="shared" si="5"/>
        <v>2024</v>
      </c>
      <c r="AC130" s="11" cm="1">
        <f t="array" ref="AC130">_xlfn.XLOOKUP(1, ('[1]Engagement Summary(Task1)'!$J$2:$J$201=Social_Media_Platform_Analysis!$AA130)*('[1]Engagement Summary(Task1)'!$I$2:$I$201=Social_Media_Platform_Analysis!$Z130)*('[1]Engagement Summary(Task1)'!$H$2:$H$201=Social_Media_Platform_Analysis!$AB130)*('[1]Engagement Summary(Task1)'!$B$2:$B$201=Social_Media_Platform_Analysis!$W130),'[1]Engagement Summary(Task1)'!$G$2:$G$201)</f>
        <v>35501</v>
      </c>
    </row>
    <row r="131" spans="2:29" x14ac:dyDescent="0.25">
      <c r="B131" s="11" t="str">
        <v>Twitter</v>
      </c>
      <c r="C131" s="11">
        <v>2.46E-2</v>
      </c>
      <c r="G131" s="11" t="str">
        <v>Twitter</v>
      </c>
      <c r="H131" s="11">
        <v>87305</v>
      </c>
      <c r="I131" s="11">
        <v>2024</v>
      </c>
      <c r="J131" s="11">
        <v>11</v>
      </c>
      <c r="K131" s="11">
        <v>2</v>
      </c>
      <c r="L131" s="11">
        <v>1150</v>
      </c>
      <c r="M131" s="11">
        <v>0.71740486587648156</v>
      </c>
      <c r="W131" s="11" t="s">
        <v>20</v>
      </c>
      <c r="X131" s="15">
        <v>45544</v>
      </c>
      <c r="Y131" s="11">
        <f xml:space="preserve"> SUM([1]!Posts[[#This Row],[Likes]],[1]!Posts[[#This Row],[Shares]],[1]!Posts[[#This Row],[Comments]])</f>
        <v>5472</v>
      </c>
      <c r="Z131" s="11">
        <f t="shared" si="3"/>
        <v>9</v>
      </c>
      <c r="AA131" s="11">
        <f t="shared" si="4"/>
        <v>2</v>
      </c>
      <c r="AB131" s="11">
        <f t="shared" si="5"/>
        <v>2024</v>
      </c>
      <c r="AC131" s="11" cm="1">
        <f t="array" ref="AC131">_xlfn.XLOOKUP(1, ('[1]Engagement Summary(Task1)'!$J$2:$J$201=Social_Media_Platform_Analysis!$AA131)*('[1]Engagement Summary(Task1)'!$I$2:$I$201=Social_Media_Platform_Analysis!$Z131)*('[1]Engagement Summary(Task1)'!$H$2:$H$201=Social_Media_Platform_Analysis!$AB131)*('[1]Engagement Summary(Task1)'!$B$2:$B$201=Social_Media_Platform_Analysis!$W131),'[1]Engagement Summary(Task1)'!$G$2:$G$201)</f>
        <v>26663</v>
      </c>
    </row>
    <row r="132" spans="2:29" x14ac:dyDescent="0.25">
      <c r="B132" s="11" t="str">
        <v>Twitter</v>
      </c>
      <c r="C132" s="11">
        <v>7.3200000000000001E-2</v>
      </c>
      <c r="G132" s="11" t="str">
        <v>Twitter</v>
      </c>
      <c r="H132" s="11">
        <v>487523</v>
      </c>
      <c r="I132" s="11">
        <v>2024</v>
      </c>
      <c r="J132" s="11">
        <v>11</v>
      </c>
      <c r="K132" s="11">
        <v>3</v>
      </c>
      <c r="L132" s="11">
        <v>445</v>
      </c>
      <c r="M132" s="11">
        <v>0.38695652173913042</v>
      </c>
      <c r="W132" s="11" t="s">
        <v>20</v>
      </c>
      <c r="X132" s="15">
        <v>45567</v>
      </c>
      <c r="Y132" s="11">
        <f xml:space="preserve"> SUM([1]!Posts[[#This Row],[Likes]],[1]!Posts[[#This Row],[Shares]],[1]!Posts[[#This Row],[Comments]])</f>
        <v>3123</v>
      </c>
      <c r="Z132" s="11">
        <f t="shared" si="3"/>
        <v>10</v>
      </c>
      <c r="AA132" s="11">
        <f t="shared" si="4"/>
        <v>1</v>
      </c>
      <c r="AB132" s="11">
        <f t="shared" si="5"/>
        <v>2024</v>
      </c>
      <c r="AC132" s="11" cm="1">
        <f t="array" ref="AC132">_xlfn.XLOOKUP(1, ('[1]Engagement Summary(Task1)'!$J$2:$J$201=Social_Media_Platform_Analysis!$AA132)*('[1]Engagement Summary(Task1)'!$I$2:$I$201=Social_Media_Platform_Analysis!$Z132)*('[1]Engagement Summary(Task1)'!$H$2:$H$201=Social_Media_Platform_Analysis!$AB132)*('[1]Engagement Summary(Task1)'!$B$2:$B$201=Social_Media_Platform_Analysis!$W132),'[1]Engagement Summary(Task1)'!$G$2:$G$201)</f>
        <v>41215</v>
      </c>
    </row>
    <row r="133" spans="2:29" x14ac:dyDescent="0.25">
      <c r="B133" s="11" t="str">
        <v>Twitter</v>
      </c>
      <c r="C133" s="11">
        <v>2.69E-2</v>
      </c>
      <c r="G133" s="11" t="str">
        <v>Twitter</v>
      </c>
      <c r="H133" s="11">
        <v>88455</v>
      </c>
      <c r="I133" s="11">
        <v>2024</v>
      </c>
      <c r="J133" s="11">
        <v>11</v>
      </c>
      <c r="K133" s="11">
        <v>4</v>
      </c>
      <c r="L133" s="11">
        <v>98</v>
      </c>
      <c r="M133" s="11">
        <v>0.22022471910112359</v>
      </c>
      <c r="W133" s="11" t="s">
        <v>20</v>
      </c>
      <c r="X133" s="15">
        <v>45568</v>
      </c>
      <c r="Y133" s="11">
        <f xml:space="preserve"> SUM([1]!Posts[[#This Row],[Likes]],[1]!Posts[[#This Row],[Shares]],[1]!Posts[[#This Row],[Comments]])</f>
        <v>2009</v>
      </c>
      <c r="Z133" s="11">
        <f t="shared" si="3"/>
        <v>10</v>
      </c>
      <c r="AA133" s="11">
        <f t="shared" si="4"/>
        <v>1</v>
      </c>
      <c r="AB133" s="11">
        <f t="shared" si="5"/>
        <v>2024</v>
      </c>
      <c r="AC133" s="11" cm="1">
        <f t="array" ref="AC133">_xlfn.XLOOKUP(1, ('[1]Engagement Summary(Task1)'!$J$2:$J$201=Social_Media_Platform_Analysis!$AA133)*('[1]Engagement Summary(Task1)'!$I$2:$I$201=Social_Media_Platform_Analysis!$Z133)*('[1]Engagement Summary(Task1)'!$H$2:$H$201=Social_Media_Platform_Analysis!$AB133)*('[1]Engagement Summary(Task1)'!$B$2:$B$201=Social_Media_Platform_Analysis!$W133),'[1]Engagement Summary(Task1)'!$G$2:$G$201)</f>
        <v>41215</v>
      </c>
    </row>
    <row r="134" spans="2:29" x14ac:dyDescent="0.25">
      <c r="B134" s="11" t="str">
        <v>Twitter</v>
      </c>
      <c r="C134" s="11">
        <v>6.3700000000000007E-2</v>
      </c>
      <c r="G134" s="11" t="str">
        <v>Twitter</v>
      </c>
      <c r="H134" s="11">
        <v>309904</v>
      </c>
      <c r="I134" s="11">
        <v>2024</v>
      </c>
      <c r="J134" s="11">
        <v>12</v>
      </c>
      <c r="K134" s="11">
        <v>1</v>
      </c>
      <c r="L134" s="11">
        <v>1173</v>
      </c>
      <c r="M134" s="11">
        <v>11.969387755102041</v>
      </c>
      <c r="W134" s="11" t="s">
        <v>20</v>
      </c>
      <c r="X134" s="15">
        <v>45574</v>
      </c>
      <c r="Y134" s="11">
        <f xml:space="preserve"> SUM([1]!Posts[[#This Row],[Likes]],[1]!Posts[[#This Row],[Shares]],[1]!Posts[[#This Row],[Comments]])</f>
        <v>1611</v>
      </c>
      <c r="Z134" s="11">
        <f t="shared" si="3"/>
        <v>10</v>
      </c>
      <c r="AA134" s="11">
        <f t="shared" si="4"/>
        <v>2</v>
      </c>
      <c r="AB134" s="11">
        <f t="shared" si="5"/>
        <v>2024</v>
      </c>
      <c r="AC134" s="11" cm="1">
        <f t="array" ref="AC134">_xlfn.XLOOKUP(1, ('[1]Engagement Summary(Task1)'!$J$2:$J$201=Social_Media_Platform_Analysis!$AA134)*('[1]Engagement Summary(Task1)'!$I$2:$I$201=Social_Media_Platform_Analysis!$Z134)*('[1]Engagement Summary(Task1)'!$H$2:$H$201=Social_Media_Platform_Analysis!$AB134)*('[1]Engagement Summary(Task1)'!$B$2:$B$201=Social_Media_Platform_Analysis!$W134),'[1]Engagement Summary(Task1)'!$G$2:$G$201)</f>
        <v>36397</v>
      </c>
    </row>
    <row r="135" spans="2:29" x14ac:dyDescent="0.25">
      <c r="B135" s="11" t="str">
        <v>Twitter</v>
      </c>
      <c r="C135" s="11">
        <v>4.2000000000000003E-2</v>
      </c>
      <c r="G135" s="11" t="str">
        <v>Twitter</v>
      </c>
      <c r="H135" s="11">
        <v>20607</v>
      </c>
      <c r="I135" s="11">
        <v>2024</v>
      </c>
      <c r="J135" s="11">
        <v>12</v>
      </c>
      <c r="K135" s="11">
        <v>2</v>
      </c>
      <c r="L135" s="11">
        <v>1727</v>
      </c>
      <c r="M135" s="11">
        <v>1.4722932651321399</v>
      </c>
      <c r="W135" s="11" t="s">
        <v>20</v>
      </c>
      <c r="X135" s="15">
        <v>45574</v>
      </c>
      <c r="Y135" s="11">
        <f xml:space="preserve"> SUM([1]!Posts[[#This Row],[Likes]],[1]!Posts[[#This Row],[Shares]],[1]!Posts[[#This Row],[Comments]])</f>
        <v>4424</v>
      </c>
      <c r="Z135" s="11">
        <f t="shared" ref="Z135:Z198" si="6">MONTH(X135)</f>
        <v>10</v>
      </c>
      <c r="AA135" s="11">
        <f t="shared" ref="AA135:AA198" si="7">INT((DAY(X135)-1)/7)+1</f>
        <v>2</v>
      </c>
      <c r="AB135" s="11">
        <f t="shared" ref="AB135:AB198" si="8">YEAR(X135)</f>
        <v>2024</v>
      </c>
      <c r="AC135" s="11" cm="1">
        <f t="array" ref="AC135">_xlfn.XLOOKUP(1, ('[1]Engagement Summary(Task1)'!$J$2:$J$201=Social_Media_Platform_Analysis!$AA135)*('[1]Engagement Summary(Task1)'!$I$2:$I$201=Social_Media_Platform_Analysis!$Z135)*('[1]Engagement Summary(Task1)'!$H$2:$H$201=Social_Media_Platform_Analysis!$AB135)*('[1]Engagement Summary(Task1)'!$B$2:$B$201=Social_Media_Platform_Analysis!$W135),'[1]Engagement Summary(Task1)'!$G$2:$G$201)</f>
        <v>36397</v>
      </c>
    </row>
    <row r="136" spans="2:29" x14ac:dyDescent="0.25">
      <c r="B136" s="11" t="str">
        <v>Twitter</v>
      </c>
      <c r="C136" s="11">
        <v>6.6600000000000006E-2</v>
      </c>
      <c r="G136" s="11" t="str">
        <v>Twitter</v>
      </c>
      <c r="H136" s="11">
        <v>327183</v>
      </c>
      <c r="I136" s="11">
        <v>2024</v>
      </c>
      <c r="J136" s="11">
        <v>12</v>
      </c>
      <c r="K136" s="11">
        <v>3</v>
      </c>
      <c r="L136" s="11">
        <v>1359</v>
      </c>
      <c r="M136" s="11">
        <v>0.78691372321945574</v>
      </c>
      <c r="W136" s="11" t="s">
        <v>20</v>
      </c>
      <c r="X136" s="15">
        <v>45582</v>
      </c>
      <c r="Y136" s="11">
        <f xml:space="preserve"> SUM([1]!Posts[[#This Row],[Likes]],[1]!Posts[[#This Row],[Shares]],[1]!Posts[[#This Row],[Comments]])</f>
        <v>5152</v>
      </c>
      <c r="Z136" s="11">
        <f t="shared" si="6"/>
        <v>10</v>
      </c>
      <c r="AA136" s="11">
        <f t="shared" si="7"/>
        <v>3</v>
      </c>
      <c r="AB136" s="11">
        <f t="shared" si="8"/>
        <v>2024</v>
      </c>
      <c r="AC136" s="11" cm="1">
        <f t="array" ref="AC136">_xlfn.XLOOKUP(1, ('[1]Engagement Summary(Task1)'!$J$2:$J$201=Social_Media_Platform_Analysis!$AA136)*('[1]Engagement Summary(Task1)'!$I$2:$I$201=Social_Media_Platform_Analysis!$Z136)*('[1]Engagement Summary(Task1)'!$H$2:$H$201=Social_Media_Platform_Analysis!$AB136)*('[1]Engagement Summary(Task1)'!$B$2:$B$201=Social_Media_Platform_Analysis!$W136),'[1]Engagement Summary(Task1)'!$G$2:$G$201)</f>
        <v>32478</v>
      </c>
    </row>
    <row r="137" spans="2:29" x14ac:dyDescent="0.25">
      <c r="B137" s="11" t="str">
        <v>Twitter</v>
      </c>
      <c r="C137" s="11">
        <v>7.7399999999999997E-2</v>
      </c>
      <c r="G137" s="11" t="str">
        <v>Twitter</v>
      </c>
      <c r="H137" s="11">
        <v>81119</v>
      </c>
      <c r="I137" s="11">
        <v>2024</v>
      </c>
      <c r="J137" s="11">
        <v>12</v>
      </c>
      <c r="K137" s="11">
        <v>4</v>
      </c>
      <c r="L137" s="11">
        <v>911</v>
      </c>
      <c r="M137" s="11">
        <v>0.67034584253127294</v>
      </c>
      <c r="W137" s="11" t="s">
        <v>20</v>
      </c>
      <c r="X137" s="15">
        <v>45584</v>
      </c>
      <c r="Y137" s="11">
        <f xml:space="preserve"> SUM([1]!Posts[[#This Row],[Likes]],[1]!Posts[[#This Row],[Shares]],[1]!Posts[[#This Row],[Comments]])</f>
        <v>1732</v>
      </c>
      <c r="Z137" s="11">
        <f t="shared" si="6"/>
        <v>10</v>
      </c>
      <c r="AA137" s="11">
        <f t="shared" si="7"/>
        <v>3</v>
      </c>
      <c r="AB137" s="11">
        <f t="shared" si="8"/>
        <v>2024</v>
      </c>
      <c r="AC137" s="11" cm="1">
        <f t="array" ref="AC137">_xlfn.XLOOKUP(1, ('[1]Engagement Summary(Task1)'!$J$2:$J$201=Social_Media_Platform_Analysis!$AA137)*('[1]Engagement Summary(Task1)'!$I$2:$I$201=Social_Media_Platform_Analysis!$Z137)*('[1]Engagement Summary(Task1)'!$H$2:$H$201=Social_Media_Platform_Analysis!$AB137)*('[1]Engagement Summary(Task1)'!$B$2:$B$201=Social_Media_Platform_Analysis!$W137),'[1]Engagement Summary(Task1)'!$G$2:$G$201)</f>
        <v>32478</v>
      </c>
    </row>
    <row r="138" spans="2:29" x14ac:dyDescent="0.25">
      <c r="B138" s="11" t="str">
        <v>Twitter</v>
      </c>
      <c r="C138" s="11">
        <v>4.6799999999999994E-2</v>
      </c>
      <c r="G138" s="11" t="str">
        <v>Twitter</v>
      </c>
      <c r="H138" s="11">
        <v>274831</v>
      </c>
      <c r="I138" s="11">
        <v>2024</v>
      </c>
      <c r="J138" s="11">
        <v>12</v>
      </c>
      <c r="K138" s="11">
        <v>5</v>
      </c>
      <c r="L138" s="11">
        <v>1529</v>
      </c>
      <c r="M138" s="11">
        <v>1.6783754116355654</v>
      </c>
      <c r="W138" s="11" t="s">
        <v>20</v>
      </c>
      <c r="X138" s="15">
        <v>45586</v>
      </c>
      <c r="Y138" s="11">
        <f xml:space="preserve"> SUM([1]!Posts[[#This Row],[Likes]],[1]!Posts[[#This Row],[Shares]],[1]!Posts[[#This Row],[Comments]])</f>
        <v>4893</v>
      </c>
      <c r="Z138" s="11">
        <f t="shared" si="6"/>
        <v>10</v>
      </c>
      <c r="AA138" s="11">
        <f t="shared" si="7"/>
        <v>3</v>
      </c>
      <c r="AB138" s="11">
        <f t="shared" si="8"/>
        <v>2024</v>
      </c>
      <c r="AC138" s="11" cm="1">
        <f t="array" ref="AC138">_xlfn.XLOOKUP(1, ('[1]Engagement Summary(Task1)'!$J$2:$J$201=Social_Media_Platform_Analysis!$AA138)*('[1]Engagement Summary(Task1)'!$I$2:$I$201=Social_Media_Platform_Analysis!$Z138)*('[1]Engagement Summary(Task1)'!$H$2:$H$201=Social_Media_Platform_Analysis!$AB138)*('[1]Engagement Summary(Task1)'!$B$2:$B$201=Social_Media_Platform_Analysis!$W138),'[1]Engagement Summary(Task1)'!$G$2:$G$201)</f>
        <v>32478</v>
      </c>
    </row>
    <row r="139" spans="2:29" x14ac:dyDescent="0.25">
      <c r="B139" s="11" t="str">
        <v>Twitter</v>
      </c>
      <c r="C139" s="11">
        <v>2.2200000000000001E-2</v>
      </c>
      <c r="G139" s="11" t="str">
        <v>Twitter</v>
      </c>
      <c r="H139" s="11">
        <v>371156</v>
      </c>
      <c r="I139" s="11">
        <v>2025</v>
      </c>
      <c r="J139" s="11">
        <v>1</v>
      </c>
      <c r="K139" s="11">
        <v>1</v>
      </c>
      <c r="L139" s="11">
        <v>1188</v>
      </c>
      <c r="M139" s="11">
        <v>0.7769784172661871</v>
      </c>
      <c r="W139" s="11" t="s">
        <v>20</v>
      </c>
      <c r="X139" s="15">
        <v>45586</v>
      </c>
      <c r="Y139" s="11">
        <f xml:space="preserve"> SUM([1]!Posts[[#This Row],[Likes]],[1]!Posts[[#This Row],[Shares]],[1]!Posts[[#This Row],[Comments]])</f>
        <v>4566</v>
      </c>
      <c r="Z139" s="11">
        <f t="shared" si="6"/>
        <v>10</v>
      </c>
      <c r="AA139" s="11">
        <f t="shared" si="7"/>
        <v>3</v>
      </c>
      <c r="AB139" s="11">
        <f t="shared" si="8"/>
        <v>2024</v>
      </c>
      <c r="AC139" s="11" cm="1">
        <f t="array" ref="AC139">_xlfn.XLOOKUP(1, ('[1]Engagement Summary(Task1)'!$J$2:$J$201=Social_Media_Platform_Analysis!$AA139)*('[1]Engagement Summary(Task1)'!$I$2:$I$201=Social_Media_Platform_Analysis!$Z139)*('[1]Engagement Summary(Task1)'!$H$2:$H$201=Social_Media_Platform_Analysis!$AB139)*('[1]Engagement Summary(Task1)'!$B$2:$B$201=Social_Media_Platform_Analysis!$W139),'[1]Engagement Summary(Task1)'!$G$2:$G$201)</f>
        <v>32478</v>
      </c>
    </row>
    <row r="140" spans="2:29" x14ac:dyDescent="0.25">
      <c r="B140" s="11" t="str">
        <v>Twitter</v>
      </c>
      <c r="C140" s="11">
        <v>2.5600000000000001E-2</v>
      </c>
      <c r="G140" s="11" t="str">
        <v>Twitter</v>
      </c>
      <c r="H140" s="11">
        <v>487896</v>
      </c>
      <c r="I140" s="11">
        <v>2025</v>
      </c>
      <c r="J140" s="11">
        <v>1</v>
      </c>
      <c r="K140" s="11">
        <v>2</v>
      </c>
      <c r="L140" s="11">
        <v>-144</v>
      </c>
      <c r="M140" s="11">
        <v>-0.12121212121212122</v>
      </c>
      <c r="W140" s="11" t="s">
        <v>20</v>
      </c>
      <c r="X140" s="15">
        <v>45587</v>
      </c>
      <c r="Y140" s="11">
        <f xml:space="preserve"> SUM([1]!Posts[[#This Row],[Likes]],[1]!Posts[[#This Row],[Shares]],[1]!Posts[[#This Row],[Comments]])</f>
        <v>4546</v>
      </c>
      <c r="Z140" s="11">
        <f t="shared" si="6"/>
        <v>10</v>
      </c>
      <c r="AA140" s="11">
        <f t="shared" si="7"/>
        <v>4</v>
      </c>
      <c r="AB140" s="11">
        <f t="shared" si="8"/>
        <v>2024</v>
      </c>
      <c r="AC140" s="11" cm="1">
        <f t="array" ref="AC140">_xlfn.XLOOKUP(1, ('[1]Engagement Summary(Task1)'!$J$2:$J$201=Social_Media_Platform_Analysis!$AA140)*('[1]Engagement Summary(Task1)'!$I$2:$I$201=Social_Media_Platform_Analysis!$Z140)*('[1]Engagement Summary(Task1)'!$H$2:$H$201=Social_Media_Platform_Analysis!$AB140)*('[1]Engagement Summary(Task1)'!$B$2:$B$201=Social_Media_Platform_Analysis!$W140),'[1]Engagement Summary(Task1)'!$G$2:$G$201)</f>
        <v>13116</v>
      </c>
    </row>
    <row r="141" spans="2:29" x14ac:dyDescent="0.25">
      <c r="B141" s="11" t="str">
        <v>Twitter</v>
      </c>
      <c r="C141" s="11">
        <v>5.2300000000000006E-2</v>
      </c>
      <c r="G141" s="11" t="str">
        <v>Twitter</v>
      </c>
      <c r="H141" s="11">
        <v>124404</v>
      </c>
      <c r="I141" s="11">
        <v>2025</v>
      </c>
      <c r="J141" s="11">
        <v>1</v>
      </c>
      <c r="K141" s="11">
        <v>3</v>
      </c>
      <c r="L141" s="11">
        <v>891</v>
      </c>
      <c r="M141" s="11">
        <v>-6.1875</v>
      </c>
      <c r="W141" s="11" t="s">
        <v>20</v>
      </c>
      <c r="X141" s="15">
        <v>45592</v>
      </c>
      <c r="Y141" s="11">
        <f xml:space="preserve"> SUM([1]!Posts[[#This Row],[Likes]],[1]!Posts[[#This Row],[Shares]],[1]!Posts[[#This Row],[Comments]])</f>
        <v>3489</v>
      </c>
      <c r="Z141" s="11">
        <f t="shared" si="6"/>
        <v>10</v>
      </c>
      <c r="AA141" s="11">
        <f t="shared" si="7"/>
        <v>4</v>
      </c>
      <c r="AB141" s="11">
        <f t="shared" si="8"/>
        <v>2024</v>
      </c>
      <c r="AC141" s="11" cm="1">
        <f t="array" ref="AC141">_xlfn.XLOOKUP(1, ('[1]Engagement Summary(Task1)'!$J$2:$J$201=Social_Media_Platform_Analysis!$AA141)*('[1]Engagement Summary(Task1)'!$I$2:$I$201=Social_Media_Platform_Analysis!$Z141)*('[1]Engagement Summary(Task1)'!$H$2:$H$201=Social_Media_Platform_Analysis!$AB141)*('[1]Engagement Summary(Task1)'!$B$2:$B$201=Social_Media_Platform_Analysis!$W141),'[1]Engagement Summary(Task1)'!$G$2:$G$201)</f>
        <v>13116</v>
      </c>
    </row>
    <row r="142" spans="2:29" x14ac:dyDescent="0.25">
      <c r="B142" s="11" t="str">
        <v>Twitter</v>
      </c>
      <c r="C142" s="11">
        <v>2.0099999999999996E-2</v>
      </c>
      <c r="G142" s="11" t="str">
        <v>Twitter</v>
      </c>
      <c r="H142" s="11">
        <v>262569</v>
      </c>
      <c r="I142" s="11">
        <v>2025</v>
      </c>
      <c r="J142" s="11">
        <v>1</v>
      </c>
      <c r="K142" s="11">
        <v>4</v>
      </c>
      <c r="L142" s="11">
        <v>1426</v>
      </c>
      <c r="M142" s="11">
        <v>1.6004489337822672</v>
      </c>
      <c r="W142" s="11" t="s">
        <v>20</v>
      </c>
      <c r="X142" s="15">
        <v>45601</v>
      </c>
      <c r="Y142" s="11">
        <f xml:space="preserve"> SUM([1]!Posts[[#This Row],[Likes]],[1]!Posts[[#This Row],[Shares]],[1]!Posts[[#This Row],[Comments]])</f>
        <v>2970</v>
      </c>
      <c r="Z142" s="11">
        <f t="shared" si="6"/>
        <v>11</v>
      </c>
      <c r="AA142" s="11">
        <f t="shared" si="7"/>
        <v>1</v>
      </c>
      <c r="AB142" s="11">
        <f t="shared" si="8"/>
        <v>2024</v>
      </c>
      <c r="AC142" s="11" cm="1">
        <f t="array" ref="AC142">_xlfn.XLOOKUP(1, ('[1]Engagement Summary(Task1)'!$J$2:$J$201=Social_Media_Platform_Analysis!$AA142)*('[1]Engagement Summary(Task1)'!$I$2:$I$201=Social_Media_Platform_Analysis!$Z142)*('[1]Engagement Summary(Task1)'!$H$2:$H$201=Social_Media_Platform_Analysis!$AB142)*('[1]Engagement Summary(Task1)'!$B$2:$B$201=Social_Media_Platform_Analysis!$W142),'[1]Engagement Summary(Task1)'!$G$2:$G$201)</f>
        <v>36484</v>
      </c>
    </row>
    <row r="143" spans="2:29" x14ac:dyDescent="0.25">
      <c r="B143" s="11" t="str">
        <v>Twitter</v>
      </c>
      <c r="C143" s="11">
        <v>6.9500000000000006E-2</v>
      </c>
      <c r="G143" s="11" t="str">
        <v>Twitter</v>
      </c>
      <c r="H143" s="11">
        <v>177554</v>
      </c>
      <c r="I143" s="11">
        <v>2025</v>
      </c>
      <c r="J143" s="11">
        <v>2</v>
      </c>
      <c r="K143" s="11">
        <v>1</v>
      </c>
      <c r="L143" s="11">
        <v>569</v>
      </c>
      <c r="M143" s="11">
        <v>0.39901823281907434</v>
      </c>
      <c r="W143" s="11" t="s">
        <v>20</v>
      </c>
      <c r="X143" s="15">
        <v>45603</v>
      </c>
      <c r="Y143" s="11">
        <f xml:space="preserve"> SUM([1]!Posts[[#This Row],[Likes]],[1]!Posts[[#This Row],[Shares]],[1]!Posts[[#This Row],[Comments]])</f>
        <v>3419</v>
      </c>
      <c r="Z143" s="11">
        <f t="shared" si="6"/>
        <v>11</v>
      </c>
      <c r="AA143" s="11">
        <f t="shared" si="7"/>
        <v>1</v>
      </c>
      <c r="AB143" s="11">
        <f t="shared" si="8"/>
        <v>2024</v>
      </c>
      <c r="AC143" s="11" cm="1">
        <f t="array" ref="AC143">_xlfn.XLOOKUP(1, ('[1]Engagement Summary(Task1)'!$J$2:$J$201=Social_Media_Platform_Analysis!$AA143)*('[1]Engagement Summary(Task1)'!$I$2:$I$201=Social_Media_Platform_Analysis!$Z143)*('[1]Engagement Summary(Task1)'!$H$2:$H$201=Social_Media_Platform_Analysis!$AB143)*('[1]Engagement Summary(Task1)'!$B$2:$B$201=Social_Media_Platform_Analysis!$W143),'[1]Engagement Summary(Task1)'!$G$2:$G$201)</f>
        <v>36484</v>
      </c>
    </row>
    <row r="144" spans="2:29" x14ac:dyDescent="0.25">
      <c r="B144" s="11" t="str">
        <v>Twitter</v>
      </c>
      <c r="C144" s="11">
        <v>6.9900000000000004E-2</v>
      </c>
      <c r="G144" s="11" t="str">
        <v>Twitter</v>
      </c>
      <c r="H144" s="11">
        <v>126582</v>
      </c>
      <c r="I144" s="11">
        <v>2025</v>
      </c>
      <c r="J144" s="11">
        <v>2</v>
      </c>
      <c r="K144" s="11">
        <v>2</v>
      </c>
      <c r="L144" s="11">
        <v>1202</v>
      </c>
      <c r="M144" s="11">
        <v>2.1124780316344465</v>
      </c>
      <c r="W144" s="11" t="s">
        <v>20</v>
      </c>
      <c r="X144" s="15">
        <v>45603</v>
      </c>
      <c r="Y144" s="11">
        <f xml:space="preserve"> SUM([1]!Posts[[#This Row],[Likes]],[1]!Posts[[#This Row],[Shares]],[1]!Posts[[#This Row],[Comments]])</f>
        <v>5709</v>
      </c>
      <c r="Z144" s="11">
        <f t="shared" si="6"/>
        <v>11</v>
      </c>
      <c r="AA144" s="11">
        <f t="shared" si="7"/>
        <v>1</v>
      </c>
      <c r="AB144" s="11">
        <f t="shared" si="8"/>
        <v>2024</v>
      </c>
      <c r="AC144" s="11" cm="1">
        <f t="array" ref="AC144">_xlfn.XLOOKUP(1, ('[1]Engagement Summary(Task1)'!$J$2:$J$201=Social_Media_Platform_Analysis!$AA144)*('[1]Engagement Summary(Task1)'!$I$2:$I$201=Social_Media_Platform_Analysis!$Z144)*('[1]Engagement Summary(Task1)'!$H$2:$H$201=Social_Media_Platform_Analysis!$AB144)*('[1]Engagement Summary(Task1)'!$B$2:$B$201=Social_Media_Platform_Analysis!$W144),'[1]Engagement Summary(Task1)'!$G$2:$G$201)</f>
        <v>36484</v>
      </c>
    </row>
    <row r="145" spans="2:29" x14ac:dyDescent="0.25">
      <c r="B145" s="11" t="str">
        <v>Twitter</v>
      </c>
      <c r="C145" s="11">
        <v>7.2999999999999995E-2</v>
      </c>
      <c r="G145" s="11" t="str">
        <v>Twitter</v>
      </c>
      <c r="H145" s="11">
        <v>145608</v>
      </c>
      <c r="I145" s="11">
        <v>2025</v>
      </c>
      <c r="J145" s="11">
        <v>2</v>
      </c>
      <c r="K145" s="11">
        <v>3</v>
      </c>
      <c r="L145" s="11">
        <v>-37</v>
      </c>
      <c r="M145" s="11">
        <v>-3.0782029950083195E-2</v>
      </c>
      <c r="W145" s="11" t="s">
        <v>20</v>
      </c>
      <c r="X145" s="15">
        <v>45604</v>
      </c>
      <c r="Y145" s="11">
        <f xml:space="preserve"> SUM([1]!Posts[[#This Row],[Likes]],[1]!Posts[[#This Row],[Shares]],[1]!Posts[[#This Row],[Comments]])</f>
        <v>2890</v>
      </c>
      <c r="Z145" s="11">
        <f t="shared" si="6"/>
        <v>11</v>
      </c>
      <c r="AA145" s="11">
        <f t="shared" si="7"/>
        <v>2</v>
      </c>
      <c r="AB145" s="11">
        <f t="shared" si="8"/>
        <v>2024</v>
      </c>
      <c r="AC145" s="11" cm="1">
        <f t="array" ref="AC145">_xlfn.XLOOKUP(1, ('[1]Engagement Summary(Task1)'!$J$2:$J$201=Social_Media_Platform_Analysis!$AA145)*('[1]Engagement Summary(Task1)'!$I$2:$I$201=Social_Media_Platform_Analysis!$Z145)*('[1]Engagement Summary(Task1)'!$H$2:$H$201=Social_Media_Platform_Analysis!$AB145)*('[1]Engagement Summary(Task1)'!$B$2:$B$201=Social_Media_Platform_Analysis!$W145),'[1]Engagement Summary(Task1)'!$G$2:$G$201)</f>
        <v>47812</v>
      </c>
    </row>
    <row r="146" spans="2:29" x14ac:dyDescent="0.25">
      <c r="B146" s="11" t="str">
        <v>Twitter</v>
      </c>
      <c r="C146" s="11">
        <v>3.85E-2</v>
      </c>
      <c r="G146" s="11" t="str">
        <v>Twitter</v>
      </c>
      <c r="H146" s="11">
        <v>317007</v>
      </c>
      <c r="I146" s="11">
        <v>2025</v>
      </c>
      <c r="J146" s="11">
        <v>2</v>
      </c>
      <c r="K146" s="11">
        <v>4</v>
      </c>
      <c r="L146" s="11">
        <v>708</v>
      </c>
      <c r="M146" s="11">
        <v>-19.135135135135137</v>
      </c>
      <c r="W146" s="11" t="s">
        <v>20</v>
      </c>
      <c r="X146" s="15">
        <v>45617</v>
      </c>
      <c r="Y146" s="11">
        <f xml:space="preserve"> SUM([1]!Posts[[#This Row],[Likes]],[1]!Posts[[#This Row],[Shares]],[1]!Posts[[#This Row],[Comments]])</f>
        <v>2675</v>
      </c>
      <c r="Z146" s="11">
        <f t="shared" si="6"/>
        <v>11</v>
      </c>
      <c r="AA146" s="11">
        <f t="shared" si="7"/>
        <v>3</v>
      </c>
      <c r="AB146" s="11">
        <f t="shared" si="8"/>
        <v>2024</v>
      </c>
      <c r="AC146" s="11" cm="1">
        <f t="array" ref="AC146">_xlfn.XLOOKUP(1, ('[1]Engagement Summary(Task1)'!$J$2:$J$201=Social_Media_Platform_Analysis!$AA146)*('[1]Engagement Summary(Task1)'!$I$2:$I$201=Social_Media_Platform_Analysis!$Z146)*('[1]Engagement Summary(Task1)'!$H$2:$H$201=Social_Media_Platform_Analysis!$AB146)*('[1]Engagement Summary(Task1)'!$B$2:$B$201=Social_Media_Platform_Analysis!$W146),'[1]Engagement Summary(Task1)'!$G$2:$G$201)</f>
        <v>29533</v>
      </c>
    </row>
    <row r="147" spans="2:29" x14ac:dyDescent="0.25">
      <c r="B147" s="11" t="str">
        <v>Twitter</v>
      </c>
      <c r="C147" s="11">
        <v>8.3299999999999999E-2</v>
      </c>
      <c r="G147" s="11" t="str">
        <v>Twitter</v>
      </c>
      <c r="H147" s="11">
        <v>466575</v>
      </c>
      <c r="I147" s="11">
        <v>2025</v>
      </c>
      <c r="J147" s="11">
        <v>3</v>
      </c>
      <c r="K147" s="11">
        <v>1</v>
      </c>
      <c r="L147" s="11">
        <v>899</v>
      </c>
      <c r="M147" s="11">
        <v>1.2697740112994351</v>
      </c>
      <c r="W147" s="11" t="s">
        <v>20</v>
      </c>
      <c r="X147" s="15">
        <v>45624</v>
      </c>
      <c r="Y147" s="11">
        <f xml:space="preserve"> SUM([1]!Posts[[#This Row],[Likes]],[1]!Posts[[#This Row],[Shares]],[1]!Posts[[#This Row],[Comments]])</f>
        <v>3981</v>
      </c>
      <c r="Z147" s="11">
        <f t="shared" si="6"/>
        <v>11</v>
      </c>
      <c r="AA147" s="11">
        <f t="shared" si="7"/>
        <v>4</v>
      </c>
      <c r="AB147" s="11">
        <f t="shared" si="8"/>
        <v>2024</v>
      </c>
      <c r="AC147" s="11" cm="1">
        <f t="array" ref="AC147">_xlfn.XLOOKUP(1, ('[1]Engagement Summary(Task1)'!$J$2:$J$201=Social_Media_Platform_Analysis!$AA147)*('[1]Engagement Summary(Task1)'!$I$2:$I$201=Social_Media_Platform_Analysis!$Z147)*('[1]Engagement Summary(Task1)'!$H$2:$H$201=Social_Media_Platform_Analysis!$AB147)*('[1]Engagement Summary(Task1)'!$B$2:$B$201=Social_Media_Platform_Analysis!$W147),'[1]Engagement Summary(Task1)'!$G$2:$G$201)</f>
        <v>1810</v>
      </c>
    </row>
    <row r="148" spans="2:29" x14ac:dyDescent="0.25">
      <c r="B148" s="11" t="str">
        <v>Twitter</v>
      </c>
      <c r="C148" s="11">
        <v>5.1200000000000002E-2</v>
      </c>
      <c r="G148" s="11" t="str">
        <v>Twitter</v>
      </c>
      <c r="H148" s="11">
        <v>12471</v>
      </c>
      <c r="I148" s="11">
        <v>2025</v>
      </c>
      <c r="J148" s="11">
        <v>3</v>
      </c>
      <c r="K148" s="11">
        <v>2</v>
      </c>
      <c r="L148" s="11">
        <v>1350</v>
      </c>
      <c r="M148" s="11">
        <v>1.5016685205784204</v>
      </c>
      <c r="W148" s="11" t="s">
        <v>20</v>
      </c>
      <c r="X148" s="15">
        <v>45625</v>
      </c>
      <c r="Y148" s="11">
        <f xml:space="preserve"> SUM([1]!Posts[[#This Row],[Likes]],[1]!Posts[[#This Row],[Shares]],[1]!Posts[[#This Row],[Comments]])</f>
        <v>4900</v>
      </c>
      <c r="Z148" s="11">
        <f t="shared" si="6"/>
        <v>11</v>
      </c>
      <c r="AA148" s="11">
        <f t="shared" si="7"/>
        <v>5</v>
      </c>
      <c r="AB148" s="11">
        <f t="shared" si="8"/>
        <v>2024</v>
      </c>
      <c r="AC148" s="11">
        <v>0</v>
      </c>
    </row>
    <row r="149" spans="2:29" x14ac:dyDescent="0.25">
      <c r="B149" s="11" t="str">
        <v>Twitter</v>
      </c>
      <c r="C149" s="11">
        <v>1.8000000000000002E-2</v>
      </c>
      <c r="G149" s="11" t="str">
        <v>Twitter</v>
      </c>
      <c r="H149" s="11">
        <v>12447</v>
      </c>
      <c r="I149" s="11">
        <v>2025</v>
      </c>
      <c r="J149" s="11">
        <v>3</v>
      </c>
      <c r="K149" s="11">
        <v>3</v>
      </c>
      <c r="L149" s="11">
        <v>861</v>
      </c>
      <c r="M149" s="11">
        <v>0.63777777777777778</v>
      </c>
      <c r="W149" s="11" t="s">
        <v>20</v>
      </c>
      <c r="X149" s="15">
        <v>45626</v>
      </c>
      <c r="Y149" s="11">
        <f xml:space="preserve"> SUM([1]!Posts[[#This Row],[Likes]],[1]!Posts[[#This Row],[Shares]],[1]!Posts[[#This Row],[Comments]])</f>
        <v>4466</v>
      </c>
      <c r="Z149" s="11">
        <f t="shared" si="6"/>
        <v>11</v>
      </c>
      <c r="AA149" s="11">
        <f t="shared" si="7"/>
        <v>5</v>
      </c>
      <c r="AB149" s="11">
        <f t="shared" si="8"/>
        <v>2024</v>
      </c>
      <c r="AC149" s="11">
        <v>0</v>
      </c>
    </row>
    <row r="150" spans="2:29" x14ac:dyDescent="0.25">
      <c r="B150" s="11" t="str">
        <v>Twitter</v>
      </c>
      <c r="C150" s="11">
        <v>5.5300000000000002E-2</v>
      </c>
      <c r="G150" s="11" t="str">
        <v>Twitter</v>
      </c>
      <c r="H150" s="11">
        <v>211090</v>
      </c>
      <c r="I150" s="11">
        <v>2025</v>
      </c>
      <c r="J150" s="11">
        <v>3</v>
      </c>
      <c r="K150" s="11">
        <v>4</v>
      </c>
      <c r="L150" s="11">
        <v>292</v>
      </c>
      <c r="M150" s="11">
        <v>0.33914053426248547</v>
      </c>
      <c r="W150" s="11" t="s">
        <v>20</v>
      </c>
      <c r="X150" s="15">
        <v>45634</v>
      </c>
      <c r="Y150" s="11">
        <f xml:space="preserve"> SUM([1]!Posts[[#This Row],[Likes]],[1]!Posts[[#This Row],[Shares]],[1]!Posts[[#This Row],[Comments]])</f>
        <v>3139</v>
      </c>
      <c r="Z150" s="11">
        <f t="shared" si="6"/>
        <v>12</v>
      </c>
      <c r="AA150" s="11">
        <f t="shared" si="7"/>
        <v>2</v>
      </c>
      <c r="AB150" s="11">
        <f t="shared" si="8"/>
        <v>2024</v>
      </c>
      <c r="AC150" s="11" cm="1">
        <f t="array" ref="AC150">_xlfn.XLOOKUP(1, ('[1]Engagement Summary(Task1)'!$J$2:$J$201=Social_Media_Platform_Analysis!$AA150)*('[1]Engagement Summary(Task1)'!$I$2:$I$201=Social_Media_Platform_Analysis!$Z150)*('[1]Engagement Summary(Task1)'!$H$2:$H$201=Social_Media_Platform_Analysis!$AB150)*('[1]Engagement Summary(Task1)'!$B$2:$B$201=Social_Media_Platform_Analysis!$W150),'[1]Engagement Summary(Task1)'!$G$2:$G$201)</f>
        <v>22724</v>
      </c>
    </row>
    <row r="151" spans="2:29" x14ac:dyDescent="0.25">
      <c r="B151" s="11" t="str">
        <v>Twitter</v>
      </c>
      <c r="C151" s="11">
        <v>7.4999999999999997E-2</v>
      </c>
      <c r="G151" s="11" t="str">
        <v>Twitter</v>
      </c>
      <c r="H151" s="11">
        <v>198350</v>
      </c>
      <c r="I151" s="11">
        <v>2025</v>
      </c>
      <c r="J151" s="11">
        <v>3</v>
      </c>
      <c r="K151" s="11">
        <v>5</v>
      </c>
      <c r="L151" s="11">
        <v>1676</v>
      </c>
      <c r="M151" s="11">
        <v>5.7397260273972606</v>
      </c>
      <c r="W151" s="11" t="s">
        <v>20</v>
      </c>
      <c r="X151" s="15">
        <v>45637</v>
      </c>
      <c r="Y151" s="11">
        <f xml:space="preserve"> SUM([1]!Posts[[#This Row],[Likes]],[1]!Posts[[#This Row],[Shares]],[1]!Posts[[#This Row],[Comments]])</f>
        <v>735</v>
      </c>
      <c r="Z151" s="11">
        <f t="shared" si="6"/>
        <v>12</v>
      </c>
      <c r="AA151" s="11">
        <f t="shared" si="7"/>
        <v>2</v>
      </c>
      <c r="AB151" s="11">
        <f t="shared" si="8"/>
        <v>2024</v>
      </c>
      <c r="AC151" s="11" cm="1">
        <f t="array" ref="AC151">_xlfn.XLOOKUP(1, ('[1]Engagement Summary(Task1)'!$J$2:$J$201=Social_Media_Platform_Analysis!$AA151)*('[1]Engagement Summary(Task1)'!$I$2:$I$201=Social_Media_Platform_Analysis!$Z151)*('[1]Engagement Summary(Task1)'!$H$2:$H$201=Social_Media_Platform_Analysis!$AB151)*('[1]Engagement Summary(Task1)'!$B$2:$B$201=Social_Media_Platform_Analysis!$W151),'[1]Engagement Summary(Task1)'!$G$2:$G$201)</f>
        <v>22724</v>
      </c>
    </row>
    <row r="152" spans="2:29" x14ac:dyDescent="0.25">
      <c r="B152" s="11" t="str">
        <v>Twitter</v>
      </c>
      <c r="C152" s="11">
        <v>4.4999999999999998E-2</v>
      </c>
      <c r="G152" s="11" t="str">
        <v>Twitter</v>
      </c>
      <c r="H152" s="11">
        <v>29589</v>
      </c>
      <c r="I152" s="11">
        <v>2025</v>
      </c>
      <c r="J152" s="11">
        <v>4</v>
      </c>
      <c r="K152" s="11">
        <v>1</v>
      </c>
      <c r="L152" s="11">
        <v>1007</v>
      </c>
      <c r="M152" s="11">
        <v>0.60083532219570401</v>
      </c>
      <c r="W152" s="11" t="s">
        <v>20</v>
      </c>
      <c r="X152" s="15">
        <v>45640</v>
      </c>
      <c r="Y152" s="11">
        <f xml:space="preserve"> SUM([1]!Posts[[#This Row],[Likes]],[1]!Posts[[#This Row],[Shares]],[1]!Posts[[#This Row],[Comments]])</f>
        <v>3105</v>
      </c>
      <c r="Z152" s="11">
        <f t="shared" si="6"/>
        <v>12</v>
      </c>
      <c r="AA152" s="11">
        <f t="shared" si="7"/>
        <v>2</v>
      </c>
      <c r="AB152" s="11">
        <f t="shared" si="8"/>
        <v>2024</v>
      </c>
      <c r="AC152" s="11" cm="1">
        <f t="array" ref="AC152">_xlfn.XLOOKUP(1, ('[1]Engagement Summary(Task1)'!$J$2:$J$201=Social_Media_Platform_Analysis!$AA152)*('[1]Engagement Summary(Task1)'!$I$2:$I$201=Social_Media_Platform_Analysis!$Z152)*('[1]Engagement Summary(Task1)'!$H$2:$H$201=Social_Media_Platform_Analysis!$AB152)*('[1]Engagement Summary(Task1)'!$B$2:$B$201=Social_Media_Platform_Analysis!$W152),'[1]Engagement Summary(Task1)'!$G$2:$G$201)</f>
        <v>22724</v>
      </c>
    </row>
    <row r="153" spans="2:29" x14ac:dyDescent="0.25">
      <c r="B153" s="11" t="str">
        <v>Twitter</v>
      </c>
      <c r="C153" s="11">
        <v>5.2999999999999999E-2</v>
      </c>
      <c r="G153" s="11" t="str">
        <v>Twitter</v>
      </c>
      <c r="H153" s="11">
        <v>142507</v>
      </c>
      <c r="I153" s="11">
        <v>2025</v>
      </c>
      <c r="J153" s="11">
        <v>4</v>
      </c>
      <c r="K153" s="11">
        <v>2</v>
      </c>
      <c r="L153" s="11">
        <v>53</v>
      </c>
      <c r="M153" s="11">
        <v>5.2631578947368418E-2</v>
      </c>
      <c r="W153" s="11" t="s">
        <v>20</v>
      </c>
      <c r="X153" s="15">
        <v>45642</v>
      </c>
      <c r="Y153" s="11">
        <f xml:space="preserve"> SUM([1]!Posts[[#This Row],[Likes]],[1]!Posts[[#This Row],[Shares]],[1]!Posts[[#This Row],[Comments]])</f>
        <v>2854</v>
      </c>
      <c r="Z153" s="11">
        <f t="shared" si="6"/>
        <v>12</v>
      </c>
      <c r="AA153" s="11">
        <f t="shared" si="7"/>
        <v>3</v>
      </c>
      <c r="AB153" s="11">
        <f t="shared" si="8"/>
        <v>2024</v>
      </c>
      <c r="AC153" s="11" cm="1">
        <f t="array" ref="AC153">_xlfn.XLOOKUP(1, ('[1]Engagement Summary(Task1)'!$J$2:$J$201=Social_Media_Platform_Analysis!$AA153)*('[1]Engagement Summary(Task1)'!$I$2:$I$201=Social_Media_Platform_Analysis!$Z153)*('[1]Engagement Summary(Task1)'!$H$2:$H$201=Social_Media_Platform_Analysis!$AB153)*('[1]Engagement Summary(Task1)'!$B$2:$B$201=Social_Media_Platform_Analysis!$W153),'[1]Engagement Summary(Task1)'!$G$2:$G$201)</f>
        <v>20692</v>
      </c>
    </row>
    <row r="154" spans="2:29" x14ac:dyDescent="0.25">
      <c r="B154" s="11" t="str">
        <v>Twitter</v>
      </c>
      <c r="C154" s="11">
        <v>2.4399999999999998E-2</v>
      </c>
      <c r="G154" s="11" t="str">
        <v>Twitter</v>
      </c>
      <c r="H154" s="11">
        <v>333851</v>
      </c>
      <c r="I154" s="11">
        <v>2025</v>
      </c>
      <c r="J154" s="11">
        <v>4</v>
      </c>
      <c r="K154" s="11">
        <v>3</v>
      </c>
      <c r="L154" s="11">
        <v>759</v>
      </c>
      <c r="M154" s="11">
        <v>14.320754716981131</v>
      </c>
      <c r="W154" s="11" t="s">
        <v>20</v>
      </c>
      <c r="X154" s="15">
        <v>45643</v>
      </c>
      <c r="Y154" s="11">
        <f xml:space="preserve"> SUM([1]!Posts[[#This Row],[Likes]],[1]!Posts[[#This Row],[Shares]],[1]!Posts[[#This Row],[Comments]])</f>
        <v>2854</v>
      </c>
      <c r="Z154" s="11">
        <f t="shared" si="6"/>
        <v>12</v>
      </c>
      <c r="AA154" s="11">
        <f t="shared" si="7"/>
        <v>3</v>
      </c>
      <c r="AB154" s="11">
        <f t="shared" si="8"/>
        <v>2024</v>
      </c>
      <c r="AC154" s="11" cm="1">
        <f t="array" ref="AC154">_xlfn.XLOOKUP(1, ('[1]Engagement Summary(Task1)'!$J$2:$J$201=Social_Media_Platform_Analysis!$AA154)*('[1]Engagement Summary(Task1)'!$I$2:$I$201=Social_Media_Platform_Analysis!$Z154)*('[1]Engagement Summary(Task1)'!$H$2:$H$201=Social_Media_Platform_Analysis!$AB154)*('[1]Engagement Summary(Task1)'!$B$2:$B$201=Social_Media_Platform_Analysis!$W154),'[1]Engagement Summary(Task1)'!$G$2:$G$201)</f>
        <v>20692</v>
      </c>
    </row>
    <row r="155" spans="2:29" x14ac:dyDescent="0.25">
      <c r="B155" s="11" t="str">
        <v>Twitter</v>
      </c>
      <c r="C155" s="11">
        <v>3.1600000000000003E-2</v>
      </c>
      <c r="G155" s="11" t="str">
        <v>Twitter</v>
      </c>
      <c r="H155" s="11">
        <v>487289</v>
      </c>
      <c r="I155" s="11">
        <v>2025</v>
      </c>
      <c r="J155" s="11">
        <v>4</v>
      </c>
      <c r="K155" s="11">
        <v>4</v>
      </c>
      <c r="L155" s="11">
        <v>948</v>
      </c>
      <c r="M155" s="11">
        <v>1.2490118577075098</v>
      </c>
      <c r="W155" s="11" t="s">
        <v>20</v>
      </c>
      <c r="X155" s="15">
        <v>45645</v>
      </c>
      <c r="Y155" s="11">
        <f xml:space="preserve"> SUM([1]!Posts[[#This Row],[Likes]],[1]!Posts[[#This Row],[Shares]],[1]!Posts[[#This Row],[Comments]])</f>
        <v>4406</v>
      </c>
      <c r="Z155" s="11">
        <f t="shared" si="6"/>
        <v>12</v>
      </c>
      <c r="AA155" s="11">
        <f t="shared" si="7"/>
        <v>3</v>
      </c>
      <c r="AB155" s="11">
        <f t="shared" si="8"/>
        <v>2024</v>
      </c>
      <c r="AC155" s="11" cm="1">
        <f t="array" ref="AC155">_xlfn.XLOOKUP(1, ('[1]Engagement Summary(Task1)'!$J$2:$J$201=Social_Media_Platform_Analysis!$AA155)*('[1]Engagement Summary(Task1)'!$I$2:$I$201=Social_Media_Platform_Analysis!$Z155)*('[1]Engagement Summary(Task1)'!$H$2:$H$201=Social_Media_Platform_Analysis!$AB155)*('[1]Engagement Summary(Task1)'!$B$2:$B$201=Social_Media_Platform_Analysis!$W155),'[1]Engagement Summary(Task1)'!$G$2:$G$201)</f>
        <v>20692</v>
      </c>
    </row>
    <row r="156" spans="2:29" x14ac:dyDescent="0.25">
      <c r="B156" s="11" t="str">
        <v>Twitter</v>
      </c>
      <c r="C156" s="11">
        <v>3.5499999999999997E-2</v>
      </c>
      <c r="G156" s="11" t="str">
        <v>Twitter</v>
      </c>
      <c r="H156" s="11">
        <v>484364</v>
      </c>
      <c r="I156" s="11">
        <v>2025</v>
      </c>
      <c r="J156" s="11">
        <v>5</v>
      </c>
      <c r="K156" s="11">
        <v>1</v>
      </c>
      <c r="L156" s="11">
        <v>1510</v>
      </c>
      <c r="M156" s="11">
        <v>1.5928270042194093</v>
      </c>
      <c r="W156" s="11" t="s">
        <v>20</v>
      </c>
      <c r="X156" s="15">
        <v>45646</v>
      </c>
      <c r="Y156" s="11">
        <f xml:space="preserve"> SUM([1]!Posts[[#This Row],[Likes]],[1]!Posts[[#This Row],[Shares]],[1]!Posts[[#This Row],[Comments]])</f>
        <v>2731</v>
      </c>
      <c r="Z156" s="11">
        <f t="shared" si="6"/>
        <v>12</v>
      </c>
      <c r="AA156" s="11">
        <f t="shared" si="7"/>
        <v>3</v>
      </c>
      <c r="AB156" s="11">
        <f t="shared" si="8"/>
        <v>2024</v>
      </c>
      <c r="AC156" s="11" cm="1">
        <f t="array" ref="AC156">_xlfn.XLOOKUP(1, ('[1]Engagement Summary(Task1)'!$J$2:$J$201=Social_Media_Platform_Analysis!$AA156)*('[1]Engagement Summary(Task1)'!$I$2:$I$201=Social_Media_Platform_Analysis!$Z156)*('[1]Engagement Summary(Task1)'!$H$2:$H$201=Social_Media_Platform_Analysis!$AB156)*('[1]Engagement Summary(Task1)'!$B$2:$B$201=Social_Media_Platform_Analysis!$W156),'[1]Engagement Summary(Task1)'!$G$2:$G$201)</f>
        <v>20692</v>
      </c>
    </row>
    <row r="157" spans="2:29" x14ac:dyDescent="0.25">
      <c r="B157" s="11" t="str">
        <v>Twitter</v>
      </c>
      <c r="C157" s="11">
        <v>7.5700000000000003E-2</v>
      </c>
      <c r="G157" s="11" t="str">
        <v>Twitter</v>
      </c>
      <c r="H157" s="11">
        <v>456298</v>
      </c>
      <c r="I157" s="11">
        <v>2025</v>
      </c>
      <c r="J157" s="11">
        <v>5</v>
      </c>
      <c r="K157" s="11">
        <v>2</v>
      </c>
      <c r="L157" s="11">
        <v>269</v>
      </c>
      <c r="M157" s="11">
        <v>0.17814569536423841</v>
      </c>
      <c r="W157" s="11" t="s">
        <v>20</v>
      </c>
      <c r="X157" s="15">
        <v>45649</v>
      </c>
      <c r="Y157" s="11">
        <f xml:space="preserve"> SUM([1]!Posts[[#This Row],[Likes]],[1]!Posts[[#This Row],[Shares]],[1]!Posts[[#This Row],[Comments]])</f>
        <v>522</v>
      </c>
      <c r="Z157" s="11">
        <f t="shared" si="6"/>
        <v>12</v>
      </c>
      <c r="AA157" s="11">
        <f t="shared" si="7"/>
        <v>4</v>
      </c>
      <c r="AB157" s="11">
        <f t="shared" si="8"/>
        <v>2024</v>
      </c>
      <c r="AC157" s="11" cm="1">
        <f t="array" ref="AC157">_xlfn.XLOOKUP(1, ('[1]Engagement Summary(Task1)'!$J$2:$J$201=Social_Media_Platform_Analysis!$AA157)*('[1]Engagement Summary(Task1)'!$I$2:$I$201=Social_Media_Platform_Analysis!$Z157)*('[1]Engagement Summary(Task1)'!$H$2:$H$201=Social_Media_Platform_Analysis!$AB157)*('[1]Engagement Summary(Task1)'!$B$2:$B$201=Social_Media_Platform_Analysis!$W157),'[1]Engagement Summary(Task1)'!$G$2:$G$201)</f>
        <v>4683</v>
      </c>
    </row>
    <row r="158" spans="2:29" x14ac:dyDescent="0.25">
      <c r="B158" s="11" t="str">
        <v>YouTube</v>
      </c>
      <c r="C158" s="11">
        <v>4.1100000000000005E-2</v>
      </c>
      <c r="G158" s="11" t="str">
        <v>YouTube</v>
      </c>
      <c r="H158" s="11">
        <v>395536</v>
      </c>
      <c r="I158" s="11">
        <v>2024</v>
      </c>
      <c r="J158" s="11">
        <v>6</v>
      </c>
      <c r="K158" s="11">
        <v>1</v>
      </c>
      <c r="L158" s="11">
        <v>1090</v>
      </c>
      <c r="M158" s="11">
        <v>1</v>
      </c>
      <c r="W158" s="11" t="s">
        <v>20</v>
      </c>
      <c r="X158" s="15">
        <v>45658</v>
      </c>
      <c r="Y158" s="11">
        <f xml:space="preserve"> SUM([1]!Posts[[#This Row],[Likes]],[1]!Posts[[#This Row],[Shares]],[1]!Posts[[#This Row],[Comments]])</f>
        <v>6130</v>
      </c>
      <c r="Z158" s="11">
        <f t="shared" si="6"/>
        <v>1</v>
      </c>
      <c r="AA158" s="11">
        <f t="shared" si="7"/>
        <v>1</v>
      </c>
      <c r="AB158" s="11">
        <f t="shared" si="8"/>
        <v>2025</v>
      </c>
      <c r="AC158" s="11" cm="1">
        <f t="array" ref="AC158">_xlfn.XLOOKUP(1, ('[1]Engagement Summary(Task1)'!$J$2:$J$201=Social_Media_Platform_Analysis!$AA158)*('[1]Engagement Summary(Task1)'!$I$2:$I$201=Social_Media_Platform_Analysis!$Z158)*('[1]Engagement Summary(Task1)'!$H$2:$H$201=Social_Media_Platform_Analysis!$AB158)*('[1]Engagement Summary(Task1)'!$B$2:$B$201=Social_Media_Platform_Analysis!$W158),'[1]Engagement Summary(Task1)'!$G$2:$G$201)</f>
        <v>37132</v>
      </c>
    </row>
    <row r="159" spans="2:29" x14ac:dyDescent="0.25">
      <c r="B159" s="11" t="str">
        <v>YouTube</v>
      </c>
      <c r="C159" s="11">
        <v>3.1600000000000003E-2</v>
      </c>
      <c r="G159" s="11" t="str">
        <v>YouTube</v>
      </c>
      <c r="H159" s="11">
        <v>413878</v>
      </c>
      <c r="I159" s="11">
        <v>2024</v>
      </c>
      <c r="J159" s="11">
        <v>6</v>
      </c>
      <c r="K159" s="11">
        <v>2</v>
      </c>
      <c r="L159" s="11">
        <v>994</v>
      </c>
      <c r="M159" s="11">
        <v>0.91192660550458715</v>
      </c>
      <c r="W159" s="11" t="s">
        <v>20</v>
      </c>
      <c r="X159" s="15">
        <v>45661</v>
      </c>
      <c r="Y159" s="11">
        <f xml:space="preserve"> SUM([1]!Posts[[#This Row],[Likes]],[1]!Posts[[#This Row],[Shares]],[1]!Posts[[#This Row],[Comments]])</f>
        <v>2119</v>
      </c>
      <c r="Z159" s="11">
        <f t="shared" si="6"/>
        <v>1</v>
      </c>
      <c r="AA159" s="11">
        <f t="shared" si="7"/>
        <v>1</v>
      </c>
      <c r="AB159" s="11">
        <f t="shared" si="8"/>
        <v>2025</v>
      </c>
      <c r="AC159" s="11" cm="1">
        <f t="array" ref="AC159">_xlfn.XLOOKUP(1, ('[1]Engagement Summary(Task1)'!$J$2:$J$201=Social_Media_Platform_Analysis!$AA159)*('[1]Engagement Summary(Task1)'!$I$2:$I$201=Social_Media_Platform_Analysis!$Z159)*('[1]Engagement Summary(Task1)'!$H$2:$H$201=Social_Media_Platform_Analysis!$AB159)*('[1]Engagement Summary(Task1)'!$B$2:$B$201=Social_Media_Platform_Analysis!$W159),'[1]Engagement Summary(Task1)'!$G$2:$G$201)</f>
        <v>37132</v>
      </c>
    </row>
    <row r="160" spans="2:29" x14ac:dyDescent="0.25">
      <c r="B160" s="11" t="str">
        <v>YouTube</v>
      </c>
      <c r="C160" s="11">
        <v>3.49E-2</v>
      </c>
      <c r="G160" s="11" t="str">
        <v>YouTube</v>
      </c>
      <c r="H160" s="11">
        <v>382851</v>
      </c>
      <c r="I160" s="11">
        <v>2024</v>
      </c>
      <c r="J160" s="11">
        <v>6</v>
      </c>
      <c r="K160" s="11">
        <v>3</v>
      </c>
      <c r="L160" s="11">
        <v>337</v>
      </c>
      <c r="M160" s="11">
        <v>0.33903420523138833</v>
      </c>
      <c r="W160" s="11" t="s">
        <v>20</v>
      </c>
      <c r="X160" s="15">
        <v>45668</v>
      </c>
      <c r="Y160" s="11">
        <f xml:space="preserve"> SUM([1]!Posts[[#This Row],[Likes]],[1]!Posts[[#This Row],[Shares]],[1]!Posts[[#This Row],[Comments]])</f>
        <v>3979</v>
      </c>
      <c r="Z160" s="11">
        <f t="shared" si="6"/>
        <v>1</v>
      </c>
      <c r="AA160" s="11">
        <f t="shared" si="7"/>
        <v>2</v>
      </c>
      <c r="AB160" s="11">
        <f t="shared" si="8"/>
        <v>2025</v>
      </c>
      <c r="AC160" s="11" cm="1">
        <f t="array" ref="AC160">_xlfn.XLOOKUP(1, ('[1]Engagement Summary(Task1)'!$J$2:$J$201=Social_Media_Platform_Analysis!$AA160)*('[1]Engagement Summary(Task1)'!$I$2:$I$201=Social_Media_Platform_Analysis!$Z160)*('[1]Engagement Summary(Task1)'!$H$2:$H$201=Social_Media_Platform_Analysis!$AB160)*('[1]Engagement Summary(Task1)'!$B$2:$B$201=Social_Media_Platform_Analysis!$W160),'[1]Engagement Summary(Task1)'!$G$2:$G$201)</f>
        <v>14548</v>
      </c>
    </row>
    <row r="161" spans="2:29" x14ac:dyDescent="0.25">
      <c r="B161" s="11" t="str">
        <v>YouTube</v>
      </c>
      <c r="C161" s="11">
        <v>2.6200000000000001E-2</v>
      </c>
      <c r="G161" s="11" t="str">
        <v>YouTube</v>
      </c>
      <c r="H161" s="11">
        <v>426184</v>
      </c>
      <c r="I161" s="11">
        <v>2024</v>
      </c>
      <c r="J161" s="11">
        <v>6</v>
      </c>
      <c r="K161" s="11">
        <v>4</v>
      </c>
      <c r="L161" s="11">
        <v>-123</v>
      </c>
      <c r="M161" s="11">
        <v>-0.36498516320474778</v>
      </c>
      <c r="W161" s="11" t="s">
        <v>20</v>
      </c>
      <c r="X161" s="15">
        <v>45674</v>
      </c>
      <c r="Y161" s="11">
        <f xml:space="preserve"> SUM([1]!Posts[[#This Row],[Likes]],[1]!Posts[[#This Row],[Shares]],[1]!Posts[[#This Row],[Comments]])</f>
        <v>3979</v>
      </c>
      <c r="Z161" s="11">
        <f t="shared" si="6"/>
        <v>1</v>
      </c>
      <c r="AA161" s="11">
        <f t="shared" si="7"/>
        <v>3</v>
      </c>
      <c r="AB161" s="11">
        <f t="shared" si="8"/>
        <v>2025</v>
      </c>
      <c r="AC161" s="11" cm="1">
        <f t="array" ref="AC161">_xlfn.XLOOKUP(1, ('[1]Engagement Summary(Task1)'!$J$2:$J$201=Social_Media_Platform_Analysis!$AA161)*('[1]Engagement Summary(Task1)'!$I$2:$I$201=Social_Media_Platform_Analysis!$Z161)*('[1]Engagement Summary(Task1)'!$H$2:$H$201=Social_Media_Platform_Analysis!$AB161)*('[1]Engagement Summary(Task1)'!$B$2:$B$201=Social_Media_Platform_Analysis!$W161),'[1]Engagement Summary(Task1)'!$G$2:$G$201)</f>
        <v>43122</v>
      </c>
    </row>
    <row r="162" spans="2:29" x14ac:dyDescent="0.25">
      <c r="B162" s="11" t="str">
        <v>YouTube</v>
      </c>
      <c r="C162" s="11">
        <v>8.72E-2</v>
      </c>
      <c r="G162" s="11" t="str">
        <v>YouTube</v>
      </c>
      <c r="H162" s="11">
        <v>113678</v>
      </c>
      <c r="I162" s="11">
        <v>2024</v>
      </c>
      <c r="J162" s="11">
        <v>7</v>
      </c>
      <c r="K162" s="11">
        <v>1</v>
      </c>
      <c r="L162" s="11">
        <v>91</v>
      </c>
      <c r="M162" s="11">
        <v>-0.73983739837398377</v>
      </c>
      <c r="W162" s="11" t="s">
        <v>20</v>
      </c>
      <c r="X162" s="15">
        <v>45685</v>
      </c>
      <c r="Y162" s="11">
        <f xml:space="preserve"> SUM([1]!Posts[[#This Row],[Likes]],[1]!Posts[[#This Row],[Shares]],[1]!Posts[[#This Row],[Comments]])</f>
        <v>3981</v>
      </c>
      <c r="Z162" s="11">
        <f t="shared" si="6"/>
        <v>1</v>
      </c>
      <c r="AA162" s="11">
        <f t="shared" si="7"/>
        <v>4</v>
      </c>
      <c r="AB162" s="11">
        <f t="shared" si="8"/>
        <v>2025</v>
      </c>
      <c r="AC162" s="11" cm="1">
        <f t="array" ref="AC162">_xlfn.XLOOKUP(1, ('[1]Engagement Summary(Task1)'!$J$2:$J$201=Social_Media_Platform_Analysis!$AA162)*('[1]Engagement Summary(Task1)'!$I$2:$I$201=Social_Media_Platform_Analysis!$Z162)*('[1]Engagement Summary(Task1)'!$H$2:$H$201=Social_Media_Platform_Analysis!$AB162)*('[1]Engagement Summary(Task1)'!$B$2:$B$201=Social_Media_Platform_Analysis!$W162),'[1]Engagement Summary(Task1)'!$G$2:$G$201)</f>
        <v>25525</v>
      </c>
    </row>
    <row r="163" spans="2:29" x14ac:dyDescent="0.25">
      <c r="B163" s="11" t="str">
        <v>YouTube</v>
      </c>
      <c r="C163" s="11">
        <v>2.8799999999999999E-2</v>
      </c>
      <c r="G163" s="11" t="str">
        <v>YouTube</v>
      </c>
      <c r="H163" s="11">
        <v>233694</v>
      </c>
      <c r="I163" s="11">
        <v>2024</v>
      </c>
      <c r="J163" s="11">
        <v>7</v>
      </c>
      <c r="K163" s="11">
        <v>2</v>
      </c>
      <c r="L163" s="11">
        <v>514</v>
      </c>
      <c r="M163" s="11">
        <v>5.6483516483516487</v>
      </c>
      <c r="W163" s="11" t="s">
        <v>20</v>
      </c>
      <c r="X163" s="15">
        <v>45685</v>
      </c>
      <c r="Y163" s="11">
        <f xml:space="preserve"> SUM([1]!Posts[[#This Row],[Likes]],[1]!Posts[[#This Row],[Shares]],[1]!Posts[[#This Row],[Comments]])</f>
        <v>4926</v>
      </c>
      <c r="Z163" s="11">
        <f t="shared" si="6"/>
        <v>1</v>
      </c>
      <c r="AA163" s="11">
        <f t="shared" si="7"/>
        <v>4</v>
      </c>
      <c r="AB163" s="11">
        <f t="shared" si="8"/>
        <v>2025</v>
      </c>
      <c r="AC163" s="11" cm="1">
        <f t="array" ref="AC163">_xlfn.XLOOKUP(1, ('[1]Engagement Summary(Task1)'!$J$2:$J$201=Social_Media_Platform_Analysis!$AA163)*('[1]Engagement Summary(Task1)'!$I$2:$I$201=Social_Media_Platform_Analysis!$Z163)*('[1]Engagement Summary(Task1)'!$H$2:$H$201=Social_Media_Platform_Analysis!$AB163)*('[1]Engagement Summary(Task1)'!$B$2:$B$201=Social_Media_Platform_Analysis!$W163),'[1]Engagement Summary(Task1)'!$G$2:$G$201)</f>
        <v>25525</v>
      </c>
    </row>
    <row r="164" spans="2:29" x14ac:dyDescent="0.25">
      <c r="B164" s="11" t="str">
        <v>YouTube</v>
      </c>
      <c r="C164" s="11">
        <v>4.5599999999999995E-2</v>
      </c>
      <c r="G164" s="11" t="str">
        <v>YouTube</v>
      </c>
      <c r="H164" s="11">
        <v>156683</v>
      </c>
      <c r="I164" s="11">
        <v>2024</v>
      </c>
      <c r="J164" s="11">
        <v>7</v>
      </c>
      <c r="K164" s="11">
        <v>3</v>
      </c>
      <c r="L164" s="11">
        <v>160</v>
      </c>
      <c r="M164" s="11">
        <v>0.31128404669260701</v>
      </c>
      <c r="W164" s="11" t="s">
        <v>20</v>
      </c>
      <c r="X164" s="15">
        <v>45685</v>
      </c>
      <c r="Y164" s="11">
        <f xml:space="preserve"> SUM([1]!Posts[[#This Row],[Likes]],[1]!Posts[[#This Row],[Shares]],[1]!Posts[[#This Row],[Comments]])</f>
        <v>2631</v>
      </c>
      <c r="Z164" s="11">
        <f t="shared" si="6"/>
        <v>1</v>
      </c>
      <c r="AA164" s="11">
        <f t="shared" si="7"/>
        <v>4</v>
      </c>
      <c r="AB164" s="11">
        <f t="shared" si="8"/>
        <v>2025</v>
      </c>
      <c r="AC164" s="11" cm="1">
        <f t="array" ref="AC164">_xlfn.XLOOKUP(1, ('[1]Engagement Summary(Task1)'!$J$2:$J$201=Social_Media_Platform_Analysis!$AA164)*('[1]Engagement Summary(Task1)'!$I$2:$I$201=Social_Media_Platform_Analysis!$Z164)*('[1]Engagement Summary(Task1)'!$H$2:$H$201=Social_Media_Platform_Analysis!$AB164)*('[1]Engagement Summary(Task1)'!$B$2:$B$201=Social_Media_Platform_Analysis!$W164),'[1]Engagement Summary(Task1)'!$G$2:$G$201)</f>
        <v>25525</v>
      </c>
    </row>
    <row r="165" spans="2:29" x14ac:dyDescent="0.25">
      <c r="B165" s="11" t="str">
        <v>YouTube</v>
      </c>
      <c r="C165" s="11">
        <v>5.5199999999999999E-2</v>
      </c>
      <c r="G165" s="11" t="str">
        <v>YouTube</v>
      </c>
      <c r="H165" s="11">
        <v>306564</v>
      </c>
      <c r="I165" s="11">
        <v>2024</v>
      </c>
      <c r="J165" s="11">
        <v>7</v>
      </c>
      <c r="K165" s="11">
        <v>4</v>
      </c>
      <c r="L165" s="11">
        <v>317</v>
      </c>
      <c r="M165" s="11">
        <v>1.98125</v>
      </c>
      <c r="W165" s="11" t="s">
        <v>20</v>
      </c>
      <c r="X165" s="15">
        <v>45688</v>
      </c>
      <c r="Y165" s="11">
        <f xml:space="preserve"> SUM([1]!Posts[[#This Row],[Likes]],[1]!Posts[[#This Row],[Shares]],[1]!Posts[[#This Row],[Comments]])</f>
        <v>5473</v>
      </c>
      <c r="Z165" s="11">
        <f t="shared" si="6"/>
        <v>1</v>
      </c>
      <c r="AA165" s="11">
        <f t="shared" si="7"/>
        <v>5</v>
      </c>
      <c r="AB165" s="11">
        <f t="shared" si="8"/>
        <v>2025</v>
      </c>
      <c r="AC165" s="11">
        <v>0</v>
      </c>
    </row>
    <row r="166" spans="2:29" x14ac:dyDescent="0.25">
      <c r="B166" s="11" t="str">
        <v>YouTube</v>
      </c>
      <c r="C166" s="11">
        <v>3.4799999999999998E-2</v>
      </c>
      <c r="G166" s="11" t="str">
        <v>YouTube</v>
      </c>
      <c r="H166" s="11">
        <v>62499</v>
      </c>
      <c r="I166" s="11">
        <v>2024</v>
      </c>
      <c r="J166" s="11">
        <v>7</v>
      </c>
      <c r="K166" s="11">
        <v>5</v>
      </c>
      <c r="L166" s="11">
        <v>475</v>
      </c>
      <c r="M166" s="11">
        <v>1.498422712933754</v>
      </c>
      <c r="W166" s="11" t="s">
        <v>20</v>
      </c>
      <c r="X166" s="15">
        <v>45690</v>
      </c>
      <c r="Y166" s="11">
        <f xml:space="preserve"> SUM([1]!Posts[[#This Row],[Likes]],[1]!Posts[[#This Row],[Shares]],[1]!Posts[[#This Row],[Comments]])</f>
        <v>3907</v>
      </c>
      <c r="Z166" s="11">
        <f t="shared" si="6"/>
        <v>2</v>
      </c>
      <c r="AA166" s="11">
        <f t="shared" si="7"/>
        <v>1</v>
      </c>
      <c r="AB166" s="11">
        <f t="shared" si="8"/>
        <v>2025</v>
      </c>
      <c r="AC166" s="11" cm="1">
        <f t="array" ref="AC166">_xlfn.XLOOKUP(1, ('[1]Engagement Summary(Task1)'!$J$2:$J$201=Social_Media_Platform_Analysis!$AA166)*('[1]Engagement Summary(Task1)'!$I$2:$I$201=Social_Media_Platform_Analysis!$Z166)*('[1]Engagement Summary(Task1)'!$H$2:$H$201=Social_Media_Platform_Analysis!$AB166)*('[1]Engagement Summary(Task1)'!$B$2:$B$201=Social_Media_Platform_Analysis!$W166),'[1]Engagement Summary(Task1)'!$G$2:$G$201)</f>
        <v>10825</v>
      </c>
    </row>
    <row r="167" spans="2:29" x14ac:dyDescent="0.25">
      <c r="B167" s="11" t="str">
        <v>YouTube</v>
      </c>
      <c r="C167" s="11">
        <v>4.0399999999999998E-2</v>
      </c>
      <c r="G167" s="11" t="str">
        <v>YouTube</v>
      </c>
      <c r="H167" s="11">
        <v>320650</v>
      </c>
      <c r="I167" s="11">
        <v>2024</v>
      </c>
      <c r="J167" s="11">
        <v>8</v>
      </c>
      <c r="K167" s="11">
        <v>1</v>
      </c>
      <c r="L167" s="11">
        <v>319</v>
      </c>
      <c r="M167" s="11">
        <v>0.67157894736842105</v>
      </c>
      <c r="W167" s="11" t="s">
        <v>20</v>
      </c>
      <c r="X167" s="15">
        <v>45692</v>
      </c>
      <c r="Y167" s="11">
        <f xml:space="preserve"> SUM([1]!Posts[[#This Row],[Likes]],[1]!Posts[[#This Row],[Shares]],[1]!Posts[[#This Row],[Comments]])</f>
        <v>5624</v>
      </c>
      <c r="Z167" s="11">
        <f t="shared" si="6"/>
        <v>2</v>
      </c>
      <c r="AA167" s="11">
        <f t="shared" si="7"/>
        <v>1</v>
      </c>
      <c r="AB167" s="11">
        <f t="shared" si="8"/>
        <v>2025</v>
      </c>
      <c r="AC167" s="11" cm="1">
        <f t="array" ref="AC167">_xlfn.XLOOKUP(1, ('[1]Engagement Summary(Task1)'!$J$2:$J$201=Social_Media_Platform_Analysis!$AA167)*('[1]Engagement Summary(Task1)'!$I$2:$I$201=Social_Media_Platform_Analysis!$Z167)*('[1]Engagement Summary(Task1)'!$H$2:$H$201=Social_Media_Platform_Analysis!$AB167)*('[1]Engagement Summary(Task1)'!$B$2:$B$201=Social_Media_Platform_Analysis!$W167),'[1]Engagement Summary(Task1)'!$G$2:$G$201)</f>
        <v>10825</v>
      </c>
    </row>
    <row r="168" spans="2:29" x14ac:dyDescent="0.25">
      <c r="B168" s="11" t="str">
        <v>YouTube</v>
      </c>
      <c r="C168" s="11">
        <v>5.4199999999999998E-2</v>
      </c>
      <c r="G168" s="11" t="str">
        <v>YouTube</v>
      </c>
      <c r="H168" s="11">
        <v>102042</v>
      </c>
      <c r="I168" s="11">
        <v>2024</v>
      </c>
      <c r="J168" s="11">
        <v>8</v>
      </c>
      <c r="K168" s="11">
        <v>2</v>
      </c>
      <c r="L168" s="11">
        <v>1032</v>
      </c>
      <c r="M168" s="11">
        <v>3.2351097178683386</v>
      </c>
      <c r="W168" s="11" t="s">
        <v>20</v>
      </c>
      <c r="X168" s="15">
        <v>45695</v>
      </c>
      <c r="Y168" s="11">
        <f xml:space="preserve"> SUM([1]!Posts[[#This Row],[Likes]],[1]!Posts[[#This Row],[Shares]],[1]!Posts[[#This Row],[Comments]])</f>
        <v>1208</v>
      </c>
      <c r="Z168" s="11">
        <f t="shared" si="6"/>
        <v>2</v>
      </c>
      <c r="AA168" s="11">
        <f t="shared" si="7"/>
        <v>1</v>
      </c>
      <c r="AB168" s="11">
        <f t="shared" si="8"/>
        <v>2025</v>
      </c>
      <c r="AC168" s="11" cm="1">
        <f t="array" ref="AC168">_xlfn.XLOOKUP(1, ('[1]Engagement Summary(Task1)'!$J$2:$J$201=Social_Media_Platform_Analysis!$AA168)*('[1]Engagement Summary(Task1)'!$I$2:$I$201=Social_Media_Platform_Analysis!$Z168)*('[1]Engagement Summary(Task1)'!$H$2:$H$201=Social_Media_Platform_Analysis!$AB168)*('[1]Engagement Summary(Task1)'!$B$2:$B$201=Social_Media_Platform_Analysis!$W168),'[1]Engagement Summary(Task1)'!$G$2:$G$201)</f>
        <v>10825</v>
      </c>
    </row>
    <row r="169" spans="2:29" x14ac:dyDescent="0.25">
      <c r="B169" s="11" t="str">
        <v>YouTube</v>
      </c>
      <c r="C169" s="11">
        <v>6.1900000000000004E-2</v>
      </c>
      <c r="G169" s="11" t="str">
        <v>YouTube</v>
      </c>
      <c r="H169" s="11">
        <v>87443</v>
      </c>
      <c r="I169" s="11">
        <v>2024</v>
      </c>
      <c r="J169" s="11">
        <v>8</v>
      </c>
      <c r="K169" s="11">
        <v>3</v>
      </c>
      <c r="L169" s="11">
        <v>190</v>
      </c>
      <c r="M169" s="11">
        <v>0.18410852713178294</v>
      </c>
      <c r="W169" s="11" t="s">
        <v>20</v>
      </c>
      <c r="X169" s="15">
        <v>45700</v>
      </c>
      <c r="Y169" s="11">
        <f xml:space="preserve"> SUM([1]!Posts[[#This Row],[Likes]],[1]!Posts[[#This Row],[Shares]],[1]!Posts[[#This Row],[Comments]])</f>
        <v>2204</v>
      </c>
      <c r="Z169" s="11">
        <f t="shared" si="6"/>
        <v>2</v>
      </c>
      <c r="AA169" s="11">
        <f t="shared" si="7"/>
        <v>2</v>
      </c>
      <c r="AB169" s="11">
        <f t="shared" si="8"/>
        <v>2025</v>
      </c>
      <c r="AC169" s="11" cm="1">
        <f t="array" ref="AC169">_xlfn.XLOOKUP(1, ('[1]Engagement Summary(Task1)'!$J$2:$J$201=Social_Media_Platform_Analysis!$AA169)*('[1]Engagement Summary(Task1)'!$I$2:$I$201=Social_Media_Platform_Analysis!$Z169)*('[1]Engagement Summary(Task1)'!$H$2:$H$201=Social_Media_Platform_Analysis!$AB169)*('[1]Engagement Summary(Task1)'!$B$2:$B$201=Social_Media_Platform_Analysis!$W169),'[1]Engagement Summary(Task1)'!$G$2:$G$201)</f>
        <v>3314</v>
      </c>
    </row>
    <row r="170" spans="2:29" x14ac:dyDescent="0.25">
      <c r="B170" s="11" t="str">
        <v>YouTube</v>
      </c>
      <c r="C170" s="11">
        <v>7.8299999999999995E-2</v>
      </c>
      <c r="G170" s="11" t="str">
        <v>YouTube</v>
      </c>
      <c r="H170" s="11">
        <v>239044</v>
      </c>
      <c r="I170" s="11">
        <v>2024</v>
      </c>
      <c r="J170" s="11">
        <v>8</v>
      </c>
      <c r="K170" s="11">
        <v>4</v>
      </c>
      <c r="L170" s="11">
        <v>28</v>
      </c>
      <c r="M170" s="11">
        <v>0.14736842105263157</v>
      </c>
      <c r="W170" s="11" t="s">
        <v>20</v>
      </c>
      <c r="X170" s="15">
        <v>45700</v>
      </c>
      <c r="Y170" s="11">
        <f xml:space="preserve"> SUM([1]!Posts[[#This Row],[Likes]],[1]!Posts[[#This Row],[Shares]],[1]!Posts[[#This Row],[Comments]])</f>
        <v>2623</v>
      </c>
      <c r="Z170" s="11">
        <f t="shared" si="6"/>
        <v>2</v>
      </c>
      <c r="AA170" s="11">
        <f t="shared" si="7"/>
        <v>2</v>
      </c>
      <c r="AB170" s="11">
        <f t="shared" si="8"/>
        <v>2025</v>
      </c>
      <c r="AC170" s="11" cm="1">
        <f t="array" ref="AC170">_xlfn.XLOOKUP(1, ('[1]Engagement Summary(Task1)'!$J$2:$J$201=Social_Media_Platform_Analysis!$AA170)*('[1]Engagement Summary(Task1)'!$I$2:$I$201=Social_Media_Platform_Analysis!$Z170)*('[1]Engagement Summary(Task1)'!$H$2:$H$201=Social_Media_Platform_Analysis!$AB170)*('[1]Engagement Summary(Task1)'!$B$2:$B$201=Social_Media_Platform_Analysis!$W170),'[1]Engagement Summary(Task1)'!$G$2:$G$201)</f>
        <v>3314</v>
      </c>
    </row>
    <row r="171" spans="2:29" x14ac:dyDescent="0.25">
      <c r="B171" s="11" t="str">
        <v>YouTube</v>
      </c>
      <c r="C171" s="11">
        <v>3.8599999999999995E-2</v>
      </c>
      <c r="G171" s="11" t="str">
        <v>YouTube</v>
      </c>
      <c r="H171" s="11">
        <v>370971</v>
      </c>
      <c r="I171" s="11">
        <v>2024</v>
      </c>
      <c r="J171" s="11">
        <v>9</v>
      </c>
      <c r="K171" s="11">
        <v>1</v>
      </c>
      <c r="L171" s="11">
        <v>333</v>
      </c>
      <c r="M171" s="11">
        <v>11.892857142857142</v>
      </c>
      <c r="W171" s="11" t="s">
        <v>20</v>
      </c>
      <c r="X171" s="15">
        <v>45700</v>
      </c>
      <c r="Y171" s="11">
        <f xml:space="preserve"> SUM([1]!Posts[[#This Row],[Likes]],[1]!Posts[[#This Row],[Shares]],[1]!Posts[[#This Row],[Comments]])</f>
        <v>4775</v>
      </c>
      <c r="Z171" s="11">
        <f t="shared" si="6"/>
        <v>2</v>
      </c>
      <c r="AA171" s="11">
        <f t="shared" si="7"/>
        <v>2</v>
      </c>
      <c r="AB171" s="11">
        <f t="shared" si="8"/>
        <v>2025</v>
      </c>
      <c r="AC171" s="11" cm="1">
        <f t="array" ref="AC171">_xlfn.XLOOKUP(1, ('[1]Engagement Summary(Task1)'!$J$2:$J$201=Social_Media_Platform_Analysis!$AA171)*('[1]Engagement Summary(Task1)'!$I$2:$I$201=Social_Media_Platform_Analysis!$Z171)*('[1]Engagement Summary(Task1)'!$H$2:$H$201=Social_Media_Platform_Analysis!$AB171)*('[1]Engagement Summary(Task1)'!$B$2:$B$201=Social_Media_Platform_Analysis!$W171),'[1]Engagement Summary(Task1)'!$G$2:$G$201)</f>
        <v>3314</v>
      </c>
    </row>
    <row r="172" spans="2:29" x14ac:dyDescent="0.25">
      <c r="B172" s="11" t="str">
        <v>YouTube</v>
      </c>
      <c r="C172" s="11">
        <v>8.9900000000000008E-2</v>
      </c>
      <c r="G172" s="11" t="str">
        <v>YouTube</v>
      </c>
      <c r="H172" s="11">
        <v>64583</v>
      </c>
      <c r="I172" s="11">
        <v>2024</v>
      </c>
      <c r="J172" s="11">
        <v>9</v>
      </c>
      <c r="K172" s="11">
        <v>2</v>
      </c>
      <c r="L172" s="11">
        <v>1100</v>
      </c>
      <c r="M172" s="11">
        <v>3.3033033033033035</v>
      </c>
      <c r="W172" s="11" t="s">
        <v>20</v>
      </c>
      <c r="X172" s="15">
        <v>45713</v>
      </c>
      <c r="Y172" s="11">
        <f xml:space="preserve"> SUM([1]!Posts[[#This Row],[Likes]],[1]!Posts[[#This Row],[Shares]],[1]!Posts[[#This Row],[Comments]])</f>
        <v>5154</v>
      </c>
      <c r="Z172" s="11">
        <f t="shared" si="6"/>
        <v>2</v>
      </c>
      <c r="AA172" s="11">
        <f t="shared" si="7"/>
        <v>4</v>
      </c>
      <c r="AB172" s="11">
        <f t="shared" si="8"/>
        <v>2025</v>
      </c>
      <c r="AC172" s="11" cm="1">
        <f t="array" ref="AC172">_xlfn.XLOOKUP(1, ('[1]Engagement Summary(Task1)'!$J$2:$J$201=Social_Media_Platform_Analysis!$AA172)*('[1]Engagement Summary(Task1)'!$I$2:$I$201=Social_Media_Platform_Analysis!$Z172)*('[1]Engagement Summary(Task1)'!$H$2:$H$201=Social_Media_Platform_Analysis!$AB172)*('[1]Engagement Summary(Task1)'!$B$2:$B$201=Social_Media_Platform_Analysis!$W172),'[1]Engagement Summary(Task1)'!$G$2:$G$201)</f>
        <v>49772</v>
      </c>
    </row>
    <row r="173" spans="2:29" x14ac:dyDescent="0.25">
      <c r="B173" s="11" t="str">
        <v>YouTube</v>
      </c>
      <c r="C173" s="11">
        <v>3.5000000000000003E-2</v>
      </c>
      <c r="G173" s="11" t="str">
        <v>YouTube</v>
      </c>
      <c r="H173" s="11">
        <v>119934</v>
      </c>
      <c r="I173" s="11">
        <v>2024</v>
      </c>
      <c r="J173" s="11">
        <v>9</v>
      </c>
      <c r="K173" s="11">
        <v>3</v>
      </c>
      <c r="L173" s="11">
        <v>-32</v>
      </c>
      <c r="M173" s="11">
        <v>-2.9090909090909091E-2</v>
      </c>
      <c r="W173" s="11" t="s">
        <v>20</v>
      </c>
      <c r="X173" s="15">
        <v>45720</v>
      </c>
      <c r="Y173" s="11">
        <f xml:space="preserve"> SUM([1]!Posts[[#This Row],[Likes]],[1]!Posts[[#This Row],[Shares]],[1]!Posts[[#This Row],[Comments]])</f>
        <v>2590</v>
      </c>
      <c r="Z173" s="11">
        <f t="shared" si="6"/>
        <v>3</v>
      </c>
      <c r="AA173" s="11">
        <f t="shared" si="7"/>
        <v>1</v>
      </c>
      <c r="AB173" s="11">
        <f t="shared" si="8"/>
        <v>2025</v>
      </c>
      <c r="AC173" s="11" cm="1">
        <f t="array" ref="AC173">_xlfn.XLOOKUP(1, ('[1]Engagement Summary(Task1)'!$J$2:$J$201=Social_Media_Platform_Analysis!$AA173)*('[1]Engagement Summary(Task1)'!$I$2:$I$201=Social_Media_Platform_Analysis!$Z173)*('[1]Engagement Summary(Task1)'!$H$2:$H$201=Social_Media_Platform_Analysis!$AB173)*('[1]Engagement Summary(Task1)'!$B$2:$B$201=Social_Media_Platform_Analysis!$W173),'[1]Engagement Summary(Task1)'!$G$2:$G$201)</f>
        <v>33799</v>
      </c>
    </row>
    <row r="174" spans="2:29" x14ac:dyDescent="0.25">
      <c r="B174" s="11" t="str">
        <v>YouTube</v>
      </c>
      <c r="C174" s="11">
        <v>8.1300000000000011E-2</v>
      </c>
      <c r="G174" s="11" t="str">
        <v>YouTube</v>
      </c>
      <c r="H174" s="11">
        <v>63177</v>
      </c>
      <c r="I174" s="11">
        <v>2024</v>
      </c>
      <c r="J174" s="11">
        <v>9</v>
      </c>
      <c r="K174" s="11">
        <v>4</v>
      </c>
      <c r="L174" s="11">
        <v>1006</v>
      </c>
      <c r="M174" s="11">
        <v>-31.4375</v>
      </c>
      <c r="W174" s="11" t="s">
        <v>20</v>
      </c>
      <c r="X174" s="15">
        <v>45720</v>
      </c>
      <c r="Y174" s="11">
        <f xml:space="preserve"> SUM([1]!Posts[[#This Row],[Likes]],[1]!Posts[[#This Row],[Shares]],[1]!Posts[[#This Row],[Comments]])</f>
        <v>2766</v>
      </c>
      <c r="Z174" s="11">
        <f t="shared" si="6"/>
        <v>3</v>
      </c>
      <c r="AA174" s="11">
        <f t="shared" si="7"/>
        <v>1</v>
      </c>
      <c r="AB174" s="11">
        <f t="shared" si="8"/>
        <v>2025</v>
      </c>
      <c r="AC174" s="11" cm="1">
        <f t="array" ref="AC174">_xlfn.XLOOKUP(1, ('[1]Engagement Summary(Task1)'!$J$2:$J$201=Social_Media_Platform_Analysis!$AA174)*('[1]Engagement Summary(Task1)'!$I$2:$I$201=Social_Media_Platform_Analysis!$Z174)*('[1]Engagement Summary(Task1)'!$H$2:$H$201=Social_Media_Platform_Analysis!$AB174)*('[1]Engagement Summary(Task1)'!$B$2:$B$201=Social_Media_Platform_Analysis!$W174),'[1]Engagement Summary(Task1)'!$G$2:$G$201)</f>
        <v>33799</v>
      </c>
    </row>
    <row r="175" spans="2:29" x14ac:dyDescent="0.25">
      <c r="B175" s="11" t="str">
        <v>YouTube</v>
      </c>
      <c r="C175" s="11">
        <v>7.3599999999999999E-2</v>
      </c>
      <c r="G175" s="11" t="str">
        <v>YouTube</v>
      </c>
      <c r="H175" s="11">
        <v>94360</v>
      </c>
      <c r="I175" s="11">
        <v>2024</v>
      </c>
      <c r="J175" s="11">
        <v>9</v>
      </c>
      <c r="K175" s="11">
        <v>5</v>
      </c>
      <c r="L175" s="11">
        <v>1706</v>
      </c>
      <c r="M175" s="11">
        <v>1.6958250497017893</v>
      </c>
      <c r="W175" s="11" t="s">
        <v>20</v>
      </c>
      <c r="X175" s="15">
        <v>45724</v>
      </c>
      <c r="Y175" s="11">
        <f xml:space="preserve"> SUM([1]!Posts[[#This Row],[Likes]],[1]!Posts[[#This Row],[Shares]],[1]!Posts[[#This Row],[Comments]])</f>
        <v>1775</v>
      </c>
      <c r="Z175" s="11">
        <f t="shared" si="6"/>
        <v>3</v>
      </c>
      <c r="AA175" s="11">
        <f t="shared" si="7"/>
        <v>2</v>
      </c>
      <c r="AB175" s="11">
        <f t="shared" si="8"/>
        <v>2025</v>
      </c>
      <c r="AC175" s="11" cm="1">
        <f t="array" ref="AC175">_xlfn.XLOOKUP(1, ('[1]Engagement Summary(Task1)'!$J$2:$J$201=Social_Media_Platform_Analysis!$AA175)*('[1]Engagement Summary(Task1)'!$I$2:$I$201=Social_Media_Platform_Analysis!$Z175)*('[1]Engagement Summary(Task1)'!$H$2:$H$201=Social_Media_Platform_Analysis!$AB175)*('[1]Engagement Summary(Task1)'!$B$2:$B$201=Social_Media_Platform_Analysis!$W175),'[1]Engagement Summary(Task1)'!$G$2:$G$201)</f>
        <v>6296</v>
      </c>
    </row>
    <row r="176" spans="2:29" x14ac:dyDescent="0.25">
      <c r="B176" s="11" t="str">
        <v>YouTube</v>
      </c>
      <c r="C176" s="11">
        <v>9.3000000000000013E-2</v>
      </c>
      <c r="G176" s="11" t="str">
        <v>YouTube</v>
      </c>
      <c r="H176" s="11">
        <v>117767</v>
      </c>
      <c r="I176" s="11">
        <v>2024</v>
      </c>
      <c r="J176" s="11">
        <v>10</v>
      </c>
      <c r="K176" s="11">
        <v>1</v>
      </c>
      <c r="L176" s="11">
        <v>118</v>
      </c>
      <c r="M176" s="11">
        <v>6.9167643610785465E-2</v>
      </c>
      <c r="W176" s="11" t="s">
        <v>20</v>
      </c>
      <c r="X176" s="15">
        <v>45743</v>
      </c>
      <c r="Y176" s="11">
        <f xml:space="preserve"> SUM([1]!Posts[[#This Row],[Likes]],[1]!Posts[[#This Row],[Shares]],[1]!Posts[[#This Row],[Comments]])</f>
        <v>5913</v>
      </c>
      <c r="Z176" s="11">
        <f t="shared" si="6"/>
        <v>3</v>
      </c>
      <c r="AA176" s="11">
        <f t="shared" si="7"/>
        <v>4</v>
      </c>
      <c r="AB176" s="11">
        <f t="shared" si="8"/>
        <v>2025</v>
      </c>
      <c r="AC176" s="11" cm="1">
        <f t="array" ref="AC176">_xlfn.XLOOKUP(1, ('[1]Engagement Summary(Task1)'!$J$2:$J$201=Social_Media_Platform_Analysis!$AA176)*('[1]Engagement Summary(Task1)'!$I$2:$I$201=Social_Media_Platform_Analysis!$Z176)*('[1]Engagement Summary(Task1)'!$H$2:$H$201=Social_Media_Platform_Analysis!$AB176)*('[1]Engagement Summary(Task1)'!$B$2:$B$201=Social_Media_Platform_Analysis!$W176),'[1]Engagement Summary(Task1)'!$G$2:$G$201)</f>
        <v>49077</v>
      </c>
    </row>
    <row r="177" spans="2:29" x14ac:dyDescent="0.25">
      <c r="B177" s="11" t="str">
        <v>YouTube</v>
      </c>
      <c r="C177" s="11">
        <v>1.5300000000000001E-2</v>
      </c>
      <c r="G177" s="11" t="str">
        <v>YouTube</v>
      </c>
      <c r="H177" s="11">
        <v>199178</v>
      </c>
      <c r="I177" s="11">
        <v>2024</v>
      </c>
      <c r="J177" s="11">
        <v>10</v>
      </c>
      <c r="K177" s="11">
        <v>2</v>
      </c>
      <c r="L177" s="11">
        <v>367</v>
      </c>
      <c r="M177" s="11">
        <v>3.1101694915254239</v>
      </c>
      <c r="W177" s="11" t="s">
        <v>20</v>
      </c>
      <c r="X177" s="15">
        <v>45743</v>
      </c>
      <c r="Y177" s="11">
        <f xml:space="preserve"> SUM([1]!Posts[[#This Row],[Likes]],[1]!Posts[[#This Row],[Shares]],[1]!Posts[[#This Row],[Comments]])</f>
        <v>4160</v>
      </c>
      <c r="Z177" s="11">
        <f t="shared" si="6"/>
        <v>3</v>
      </c>
      <c r="AA177" s="11">
        <f t="shared" si="7"/>
        <v>4</v>
      </c>
      <c r="AB177" s="11">
        <f t="shared" si="8"/>
        <v>2025</v>
      </c>
      <c r="AC177" s="11" cm="1">
        <f t="array" ref="AC177">_xlfn.XLOOKUP(1, ('[1]Engagement Summary(Task1)'!$J$2:$J$201=Social_Media_Platform_Analysis!$AA177)*('[1]Engagement Summary(Task1)'!$I$2:$I$201=Social_Media_Platform_Analysis!$Z177)*('[1]Engagement Summary(Task1)'!$H$2:$H$201=Social_Media_Platform_Analysis!$AB177)*('[1]Engagement Summary(Task1)'!$B$2:$B$201=Social_Media_Platform_Analysis!$W177),'[1]Engagement Summary(Task1)'!$G$2:$G$201)</f>
        <v>49077</v>
      </c>
    </row>
    <row r="178" spans="2:29" x14ac:dyDescent="0.25">
      <c r="B178" s="11" t="str">
        <v>YouTube</v>
      </c>
      <c r="C178" s="11">
        <v>5.4100000000000002E-2</v>
      </c>
      <c r="G178" s="11" t="str">
        <v>YouTube</v>
      </c>
      <c r="H178" s="11">
        <v>256910</v>
      </c>
      <c r="I178" s="11">
        <v>2024</v>
      </c>
      <c r="J178" s="11">
        <v>10</v>
      </c>
      <c r="K178" s="11">
        <v>3</v>
      </c>
      <c r="L178" s="11">
        <v>1484</v>
      </c>
      <c r="M178" s="11">
        <v>4.0435967302452314</v>
      </c>
      <c r="W178" s="11" t="s">
        <v>20</v>
      </c>
      <c r="X178" s="15">
        <v>45744</v>
      </c>
      <c r="Y178" s="11">
        <f xml:space="preserve"> SUM([1]!Posts[[#This Row],[Likes]],[1]!Posts[[#This Row],[Shares]],[1]!Posts[[#This Row],[Comments]])</f>
        <v>5199</v>
      </c>
      <c r="Z178" s="11">
        <f t="shared" si="6"/>
        <v>3</v>
      </c>
      <c r="AA178" s="11">
        <f t="shared" si="7"/>
        <v>4</v>
      </c>
      <c r="AB178" s="11">
        <f t="shared" si="8"/>
        <v>2025</v>
      </c>
      <c r="AC178" s="11" cm="1">
        <f t="array" ref="AC178">_xlfn.XLOOKUP(1, ('[1]Engagement Summary(Task1)'!$J$2:$J$201=Social_Media_Platform_Analysis!$AA178)*('[1]Engagement Summary(Task1)'!$I$2:$I$201=Social_Media_Platform_Analysis!$Z178)*('[1]Engagement Summary(Task1)'!$H$2:$H$201=Social_Media_Platform_Analysis!$AB178)*('[1]Engagement Summary(Task1)'!$B$2:$B$201=Social_Media_Platform_Analysis!$W178),'[1]Engagement Summary(Task1)'!$G$2:$G$201)</f>
        <v>49077</v>
      </c>
    </row>
    <row r="179" spans="2:29" x14ac:dyDescent="0.25">
      <c r="B179" s="11" t="str">
        <v>YouTube</v>
      </c>
      <c r="C179" s="11">
        <v>1.9900000000000001E-2</v>
      </c>
      <c r="G179" s="11" t="str">
        <v>YouTube</v>
      </c>
      <c r="H179" s="11">
        <v>305827</v>
      </c>
      <c r="I179" s="11">
        <v>2024</v>
      </c>
      <c r="J179" s="11">
        <v>10</v>
      </c>
      <c r="K179" s="11">
        <v>4</v>
      </c>
      <c r="L179" s="11">
        <v>1657</v>
      </c>
      <c r="M179" s="11">
        <v>1.116576819407008</v>
      </c>
      <c r="W179" s="11" t="s">
        <v>20</v>
      </c>
      <c r="X179" s="15">
        <v>45744</v>
      </c>
      <c r="Y179" s="11">
        <f xml:space="preserve"> SUM([1]!Posts[[#This Row],[Likes]],[1]!Posts[[#This Row],[Shares]],[1]!Posts[[#This Row],[Comments]])</f>
        <v>6061</v>
      </c>
      <c r="Z179" s="11">
        <f t="shared" si="6"/>
        <v>3</v>
      </c>
      <c r="AA179" s="11">
        <f t="shared" si="7"/>
        <v>4</v>
      </c>
      <c r="AB179" s="11">
        <f t="shared" si="8"/>
        <v>2025</v>
      </c>
      <c r="AC179" s="11" cm="1">
        <f t="array" ref="AC179">_xlfn.XLOOKUP(1, ('[1]Engagement Summary(Task1)'!$J$2:$J$201=Social_Media_Platform_Analysis!$AA179)*('[1]Engagement Summary(Task1)'!$I$2:$I$201=Social_Media_Platform_Analysis!$Z179)*('[1]Engagement Summary(Task1)'!$H$2:$H$201=Social_Media_Platform_Analysis!$AB179)*('[1]Engagement Summary(Task1)'!$B$2:$B$201=Social_Media_Platform_Analysis!$W179),'[1]Engagement Summary(Task1)'!$G$2:$G$201)</f>
        <v>49077</v>
      </c>
    </row>
    <row r="180" spans="2:29" x14ac:dyDescent="0.25">
      <c r="B180" s="11" t="str">
        <v>YouTube</v>
      </c>
      <c r="C180" s="11">
        <v>6.08E-2</v>
      </c>
      <c r="G180" s="11" t="str">
        <v>YouTube</v>
      </c>
      <c r="H180" s="11">
        <v>258944</v>
      </c>
      <c r="I180" s="11">
        <v>2024</v>
      </c>
      <c r="J180" s="11">
        <v>11</v>
      </c>
      <c r="K180" s="11">
        <v>1</v>
      </c>
      <c r="L180" s="11">
        <v>1044</v>
      </c>
      <c r="M180" s="11">
        <v>0.63005431502715747</v>
      </c>
      <c r="W180" s="11" t="s">
        <v>20</v>
      </c>
      <c r="X180" s="15">
        <v>45755</v>
      </c>
      <c r="Y180" s="11">
        <f xml:space="preserve"> SUM([1]!Posts[[#This Row],[Likes]],[1]!Posts[[#This Row],[Shares]],[1]!Posts[[#This Row],[Comments]])</f>
        <v>6061</v>
      </c>
      <c r="Z180" s="11">
        <f t="shared" si="6"/>
        <v>4</v>
      </c>
      <c r="AA180" s="11">
        <f t="shared" si="7"/>
        <v>2</v>
      </c>
      <c r="AB180" s="11">
        <f t="shared" si="8"/>
        <v>2025</v>
      </c>
      <c r="AC180" s="11" cm="1">
        <f t="array" ref="AC180">_xlfn.XLOOKUP(1, ('[1]Engagement Summary(Task1)'!$J$2:$J$201=Social_Media_Platform_Analysis!$AA180)*('[1]Engagement Summary(Task1)'!$I$2:$I$201=Social_Media_Platform_Analysis!$Z180)*('[1]Engagement Summary(Task1)'!$H$2:$H$201=Social_Media_Platform_Analysis!$AB180)*('[1]Engagement Summary(Task1)'!$B$2:$B$201=Social_Media_Platform_Analysis!$W180),'[1]Engagement Summary(Task1)'!$G$2:$G$201)</f>
        <v>2293</v>
      </c>
    </row>
    <row r="181" spans="2:29" x14ac:dyDescent="0.25">
      <c r="B181" s="11" t="str">
        <v>YouTube</v>
      </c>
      <c r="C181" s="11">
        <v>7.9699999999999993E-2</v>
      </c>
      <c r="G181" s="11" t="str">
        <v>YouTube</v>
      </c>
      <c r="H181" s="11">
        <v>121091</v>
      </c>
      <c r="I181" s="11">
        <v>2024</v>
      </c>
      <c r="J181" s="11">
        <v>11</v>
      </c>
      <c r="K181" s="11">
        <v>2</v>
      </c>
      <c r="L181" s="11">
        <v>349</v>
      </c>
      <c r="M181" s="11">
        <v>0.33429118773946359</v>
      </c>
      <c r="W181" s="11" t="s">
        <v>20</v>
      </c>
      <c r="X181" s="15">
        <v>45760</v>
      </c>
      <c r="Y181" s="11">
        <f xml:space="preserve"> SUM([1]!Posts[[#This Row],[Likes]],[1]!Posts[[#This Row],[Shares]],[1]!Posts[[#This Row],[Comments]])</f>
        <v>3493</v>
      </c>
      <c r="Z181" s="11">
        <f t="shared" si="6"/>
        <v>4</v>
      </c>
      <c r="AA181" s="11">
        <f t="shared" si="7"/>
        <v>2</v>
      </c>
      <c r="AB181" s="11">
        <f t="shared" si="8"/>
        <v>2025</v>
      </c>
      <c r="AC181" s="11" cm="1">
        <f t="array" ref="AC181">_xlfn.XLOOKUP(1, ('[1]Engagement Summary(Task1)'!$J$2:$J$201=Social_Media_Platform_Analysis!$AA181)*('[1]Engagement Summary(Task1)'!$I$2:$I$201=Social_Media_Platform_Analysis!$Z181)*('[1]Engagement Summary(Task1)'!$H$2:$H$201=Social_Media_Platform_Analysis!$AB181)*('[1]Engagement Summary(Task1)'!$B$2:$B$201=Social_Media_Platform_Analysis!$W181),'[1]Engagement Summary(Task1)'!$G$2:$G$201)</f>
        <v>2293</v>
      </c>
    </row>
    <row r="182" spans="2:29" x14ac:dyDescent="0.25">
      <c r="B182" s="11" t="str">
        <v>YouTube</v>
      </c>
      <c r="C182" s="11">
        <v>4.6799999999999994E-2</v>
      </c>
      <c r="G182" s="11" t="str">
        <v>YouTube</v>
      </c>
      <c r="H182" s="11">
        <v>301695</v>
      </c>
      <c r="I182" s="11">
        <v>2024</v>
      </c>
      <c r="J182" s="11">
        <v>11</v>
      </c>
      <c r="K182" s="11">
        <v>3</v>
      </c>
      <c r="L182" s="11">
        <v>60</v>
      </c>
      <c r="M182" s="11">
        <v>0.17191977077363896</v>
      </c>
      <c r="W182" s="11" t="s">
        <v>20</v>
      </c>
      <c r="X182" s="15">
        <v>45762</v>
      </c>
      <c r="Y182" s="11">
        <f xml:space="preserve"> SUM([1]!Posts[[#This Row],[Likes]],[1]!Posts[[#This Row],[Shares]],[1]!Posts[[#This Row],[Comments]])</f>
        <v>1695</v>
      </c>
      <c r="Z182" s="11">
        <f t="shared" si="6"/>
        <v>4</v>
      </c>
      <c r="AA182" s="11">
        <f t="shared" si="7"/>
        <v>3</v>
      </c>
      <c r="AB182" s="11">
        <f t="shared" si="8"/>
        <v>2025</v>
      </c>
      <c r="AC182" s="11" cm="1">
        <f t="array" ref="AC182">_xlfn.XLOOKUP(1, ('[1]Engagement Summary(Task1)'!$J$2:$J$201=Social_Media_Platform_Analysis!$AA182)*('[1]Engagement Summary(Task1)'!$I$2:$I$201=Social_Media_Platform_Analysis!$Z182)*('[1]Engagement Summary(Task1)'!$H$2:$H$201=Social_Media_Platform_Analysis!$AB182)*('[1]Engagement Summary(Task1)'!$B$2:$B$201=Social_Media_Platform_Analysis!$W182),'[1]Engagement Summary(Task1)'!$G$2:$G$201)</f>
        <v>18693</v>
      </c>
    </row>
    <row r="183" spans="2:29" x14ac:dyDescent="0.25">
      <c r="B183" s="11" t="str">
        <v>YouTube</v>
      </c>
      <c r="C183" s="11">
        <v>8.900000000000001E-2</v>
      </c>
      <c r="G183" s="11" t="str">
        <v>YouTube</v>
      </c>
      <c r="H183" s="11">
        <v>62535</v>
      </c>
      <c r="I183" s="11">
        <v>2024</v>
      </c>
      <c r="J183" s="11">
        <v>11</v>
      </c>
      <c r="K183" s="11">
        <v>4</v>
      </c>
      <c r="L183" s="11">
        <v>885</v>
      </c>
      <c r="M183" s="11">
        <v>14.75</v>
      </c>
      <c r="W183" s="11" t="s">
        <v>20</v>
      </c>
      <c r="X183" s="15">
        <v>45762</v>
      </c>
      <c r="Y183" s="11">
        <f xml:space="preserve"> SUM([1]!Posts[[#This Row],[Likes]],[1]!Posts[[#This Row],[Shares]],[1]!Posts[[#This Row],[Comments]])</f>
        <v>5645</v>
      </c>
      <c r="Z183" s="11">
        <f t="shared" si="6"/>
        <v>4</v>
      </c>
      <c r="AA183" s="11">
        <f t="shared" si="7"/>
        <v>3</v>
      </c>
      <c r="AB183" s="11">
        <f t="shared" si="8"/>
        <v>2025</v>
      </c>
      <c r="AC183" s="11" cm="1">
        <f t="array" ref="AC183">_xlfn.XLOOKUP(1, ('[1]Engagement Summary(Task1)'!$J$2:$J$201=Social_Media_Platform_Analysis!$AA183)*('[1]Engagement Summary(Task1)'!$I$2:$I$201=Social_Media_Platform_Analysis!$Z183)*('[1]Engagement Summary(Task1)'!$H$2:$H$201=Social_Media_Platform_Analysis!$AB183)*('[1]Engagement Summary(Task1)'!$B$2:$B$201=Social_Media_Platform_Analysis!$W183),'[1]Engagement Summary(Task1)'!$G$2:$G$201)</f>
        <v>18693</v>
      </c>
    </row>
    <row r="184" spans="2:29" x14ac:dyDescent="0.25">
      <c r="B184" s="11" t="str">
        <v>YouTube</v>
      </c>
      <c r="C184" s="11">
        <v>2.6499999999999999E-2</v>
      </c>
      <c r="G184" s="11" t="str">
        <v>YouTube</v>
      </c>
      <c r="H184" s="11">
        <v>221274</v>
      </c>
      <c r="I184" s="11">
        <v>2024</v>
      </c>
      <c r="J184" s="11">
        <v>12</v>
      </c>
      <c r="K184" s="11">
        <v>1</v>
      </c>
      <c r="L184" s="11">
        <v>291</v>
      </c>
      <c r="M184" s="11">
        <v>0.32881355932203388</v>
      </c>
      <c r="W184" s="11" t="s">
        <v>20</v>
      </c>
      <c r="X184" s="15">
        <v>45766</v>
      </c>
      <c r="Y184" s="11">
        <f xml:space="preserve"> SUM([1]!Posts[[#This Row],[Likes]],[1]!Posts[[#This Row],[Shares]],[1]!Posts[[#This Row],[Comments]])</f>
        <v>3226</v>
      </c>
      <c r="Z184" s="11">
        <f t="shared" si="6"/>
        <v>4</v>
      </c>
      <c r="AA184" s="11">
        <f t="shared" si="7"/>
        <v>3</v>
      </c>
      <c r="AB184" s="11">
        <f t="shared" si="8"/>
        <v>2025</v>
      </c>
      <c r="AC184" s="11" cm="1">
        <f t="array" ref="AC184">_xlfn.XLOOKUP(1, ('[1]Engagement Summary(Task1)'!$J$2:$J$201=Social_Media_Platform_Analysis!$AA184)*('[1]Engagement Summary(Task1)'!$I$2:$I$201=Social_Media_Platform_Analysis!$Z184)*('[1]Engagement Summary(Task1)'!$H$2:$H$201=Social_Media_Platform_Analysis!$AB184)*('[1]Engagement Summary(Task1)'!$B$2:$B$201=Social_Media_Platform_Analysis!$W184),'[1]Engagement Summary(Task1)'!$G$2:$G$201)</f>
        <v>18693</v>
      </c>
    </row>
    <row r="185" spans="2:29" x14ac:dyDescent="0.25">
      <c r="B185" s="11" t="str">
        <v>YouTube</v>
      </c>
      <c r="C185" s="11">
        <v>5.4299999999999994E-2</v>
      </c>
      <c r="G185" s="11" t="str">
        <v>YouTube</v>
      </c>
      <c r="H185" s="11">
        <v>451894</v>
      </c>
      <c r="I185" s="11">
        <v>2024</v>
      </c>
      <c r="J185" s="11">
        <v>12</v>
      </c>
      <c r="K185" s="11">
        <v>2</v>
      </c>
      <c r="L185" s="11">
        <v>573</v>
      </c>
      <c r="M185" s="11">
        <v>1.9690721649484537</v>
      </c>
      <c r="W185" s="11" t="s">
        <v>20</v>
      </c>
      <c r="X185" s="15">
        <v>45766</v>
      </c>
      <c r="Y185" s="11">
        <f xml:space="preserve"> SUM([1]!Posts[[#This Row],[Likes]],[1]!Posts[[#This Row],[Shares]],[1]!Posts[[#This Row],[Comments]])</f>
        <v>4282</v>
      </c>
      <c r="Z185" s="11">
        <f t="shared" si="6"/>
        <v>4</v>
      </c>
      <c r="AA185" s="11">
        <f t="shared" si="7"/>
        <v>3</v>
      </c>
      <c r="AB185" s="11">
        <f t="shared" si="8"/>
        <v>2025</v>
      </c>
      <c r="AC185" s="11" cm="1">
        <f t="array" ref="AC185">_xlfn.XLOOKUP(1, ('[1]Engagement Summary(Task1)'!$J$2:$J$201=Social_Media_Platform_Analysis!$AA185)*('[1]Engagement Summary(Task1)'!$I$2:$I$201=Social_Media_Platform_Analysis!$Z185)*('[1]Engagement Summary(Task1)'!$H$2:$H$201=Social_Media_Platform_Analysis!$AB185)*('[1]Engagement Summary(Task1)'!$B$2:$B$201=Social_Media_Platform_Analysis!$W185),'[1]Engagement Summary(Task1)'!$G$2:$G$201)</f>
        <v>18693</v>
      </c>
    </row>
    <row r="186" spans="2:29" x14ac:dyDescent="0.25">
      <c r="B186" s="11" t="str">
        <v>YouTube</v>
      </c>
      <c r="C186" s="11">
        <v>8.09E-2</v>
      </c>
      <c r="G186" s="11" t="str">
        <v>YouTube</v>
      </c>
      <c r="H186" s="11">
        <v>488901</v>
      </c>
      <c r="I186" s="11">
        <v>2024</v>
      </c>
      <c r="J186" s="11">
        <v>12</v>
      </c>
      <c r="K186" s="11">
        <v>3</v>
      </c>
      <c r="L186" s="11">
        <v>876</v>
      </c>
      <c r="M186" s="11">
        <v>1.5287958115183247</v>
      </c>
      <c r="W186" s="11" t="s">
        <v>20</v>
      </c>
      <c r="X186" s="15">
        <v>45778</v>
      </c>
      <c r="Y186" s="11">
        <f xml:space="preserve"> SUM([1]!Posts[[#This Row],[Likes]],[1]!Posts[[#This Row],[Shares]],[1]!Posts[[#This Row],[Comments]])</f>
        <v>4666</v>
      </c>
      <c r="Z186" s="11">
        <f t="shared" si="6"/>
        <v>5</v>
      </c>
      <c r="AA186" s="11">
        <f t="shared" si="7"/>
        <v>1</v>
      </c>
      <c r="AB186" s="11">
        <f t="shared" si="8"/>
        <v>2025</v>
      </c>
      <c r="AC186" s="11" cm="1">
        <f t="array" ref="AC186">_xlfn.XLOOKUP(1, ('[1]Engagement Summary(Task1)'!$J$2:$J$201=Social_Media_Platform_Analysis!$AA186)*('[1]Engagement Summary(Task1)'!$I$2:$I$201=Social_Media_Platform_Analysis!$Z186)*('[1]Engagement Summary(Task1)'!$H$2:$H$201=Social_Media_Platform_Analysis!$AB186)*('[1]Engagement Summary(Task1)'!$B$2:$B$201=Social_Media_Platform_Analysis!$W186),'[1]Engagement Summary(Task1)'!$G$2:$G$201)</f>
        <v>33381</v>
      </c>
    </row>
    <row r="187" spans="2:29" x14ac:dyDescent="0.25">
      <c r="B187" s="11" t="str">
        <v>YouTube</v>
      </c>
      <c r="C187" s="11">
        <v>2.8900000000000002E-2</v>
      </c>
      <c r="G187" s="11" t="str">
        <v>YouTube</v>
      </c>
      <c r="H187" s="11">
        <v>25177</v>
      </c>
      <c r="I187" s="11">
        <v>2024</v>
      </c>
      <c r="J187" s="11">
        <v>12</v>
      </c>
      <c r="K187" s="11">
        <v>4</v>
      </c>
      <c r="L187" s="11">
        <v>1589</v>
      </c>
      <c r="M187" s="11">
        <v>1.8139269406392695</v>
      </c>
      <c r="W187" s="11" t="s">
        <v>21</v>
      </c>
      <c r="X187" s="15">
        <v>45449</v>
      </c>
      <c r="Y187" s="11">
        <f xml:space="preserve"> SUM([1]!Posts[[#This Row],[Likes]],[1]!Posts[[#This Row],[Shares]],[1]!Posts[[#This Row],[Comments]])</f>
        <v>1797</v>
      </c>
      <c r="Z187" s="11">
        <f t="shared" si="6"/>
        <v>6</v>
      </c>
      <c r="AA187" s="11">
        <f t="shared" si="7"/>
        <v>1</v>
      </c>
      <c r="AB187" s="11">
        <f t="shared" si="8"/>
        <v>2024</v>
      </c>
      <c r="AC187" s="11" cm="1">
        <f t="array" ref="AC187">_xlfn.XLOOKUP(1, ('[1]Engagement Summary(Task1)'!$J$2:$J$201=Social_Media_Platform_Analysis!$AA187)*('[1]Engagement Summary(Task1)'!$I$2:$I$201=Social_Media_Platform_Analysis!$Z187)*('[1]Engagement Summary(Task1)'!$H$2:$H$201=Social_Media_Platform_Analysis!$AB187)*('[1]Engagement Summary(Task1)'!$B$2:$B$201=Social_Media_Platform_Analysis!$W187),'[1]Engagement Summary(Task1)'!$G$2:$G$201)</f>
        <v>26752</v>
      </c>
    </row>
    <row r="188" spans="2:29" x14ac:dyDescent="0.25">
      <c r="B188" s="11" t="str">
        <v>YouTube</v>
      </c>
      <c r="C188" s="11">
        <v>4.4800000000000006E-2</v>
      </c>
      <c r="G188" s="11" t="str">
        <v>YouTube</v>
      </c>
      <c r="H188" s="11">
        <v>136845</v>
      </c>
      <c r="I188" s="11">
        <v>2024</v>
      </c>
      <c r="J188" s="11">
        <v>12</v>
      </c>
      <c r="K188" s="11">
        <v>5</v>
      </c>
      <c r="L188" s="11">
        <v>1460</v>
      </c>
      <c r="M188" s="11">
        <v>0.91881686595342982</v>
      </c>
      <c r="W188" s="11" t="s">
        <v>21</v>
      </c>
      <c r="X188" s="15">
        <v>45450</v>
      </c>
      <c r="Y188" s="11">
        <f xml:space="preserve"> SUM([1]!Posts[[#This Row],[Likes]],[1]!Posts[[#This Row],[Shares]],[1]!Posts[[#This Row],[Comments]])</f>
        <v>3800</v>
      </c>
      <c r="Z188" s="11">
        <f t="shared" si="6"/>
        <v>6</v>
      </c>
      <c r="AA188" s="11">
        <f t="shared" si="7"/>
        <v>1</v>
      </c>
      <c r="AB188" s="11">
        <f t="shared" si="8"/>
        <v>2024</v>
      </c>
      <c r="AC188" s="11" cm="1">
        <f t="array" ref="AC188">_xlfn.XLOOKUP(1, ('[1]Engagement Summary(Task1)'!$J$2:$J$201=Social_Media_Platform_Analysis!$AA188)*('[1]Engagement Summary(Task1)'!$I$2:$I$201=Social_Media_Platform_Analysis!$Z188)*('[1]Engagement Summary(Task1)'!$H$2:$H$201=Social_Media_Platform_Analysis!$AB188)*('[1]Engagement Summary(Task1)'!$B$2:$B$201=Social_Media_Platform_Analysis!$W188),'[1]Engagement Summary(Task1)'!$G$2:$G$201)</f>
        <v>26752</v>
      </c>
    </row>
    <row r="189" spans="2:29" x14ac:dyDescent="0.25">
      <c r="B189" s="11" t="str">
        <v>YouTube</v>
      </c>
      <c r="C189" s="11">
        <v>8.3299999999999999E-2</v>
      </c>
      <c r="G189" s="11" t="str">
        <v>YouTube</v>
      </c>
      <c r="H189" s="11">
        <v>95410</v>
      </c>
      <c r="I189" s="11">
        <v>2025</v>
      </c>
      <c r="J189" s="11">
        <v>1</v>
      </c>
      <c r="K189" s="11">
        <v>1</v>
      </c>
      <c r="L189" s="11">
        <v>846</v>
      </c>
      <c r="M189" s="11">
        <v>0.57945205479452055</v>
      </c>
      <c r="W189" s="11" t="s">
        <v>21</v>
      </c>
      <c r="X189" s="15">
        <v>45453</v>
      </c>
      <c r="Y189" s="11">
        <f xml:space="preserve"> SUM([1]!Posts[[#This Row],[Likes]],[1]!Posts[[#This Row],[Shares]],[1]!Posts[[#This Row],[Comments]])</f>
        <v>2290</v>
      </c>
      <c r="Z189" s="11">
        <f t="shared" si="6"/>
        <v>6</v>
      </c>
      <c r="AA189" s="11">
        <f t="shared" si="7"/>
        <v>2</v>
      </c>
      <c r="AB189" s="11">
        <f t="shared" si="8"/>
        <v>2024</v>
      </c>
      <c r="AC189" s="11" cm="1">
        <f t="array" ref="AC189">_xlfn.XLOOKUP(1, ('[1]Engagement Summary(Task1)'!$J$2:$J$201=Social_Media_Platform_Analysis!$AA189)*('[1]Engagement Summary(Task1)'!$I$2:$I$201=Social_Media_Platform_Analysis!$Z189)*('[1]Engagement Summary(Task1)'!$H$2:$H$201=Social_Media_Platform_Analysis!$AB189)*('[1]Engagement Summary(Task1)'!$B$2:$B$201=Social_Media_Platform_Analysis!$W189),'[1]Engagement Summary(Task1)'!$G$2:$G$201)</f>
        <v>8912</v>
      </c>
    </row>
    <row r="190" spans="2:29" x14ac:dyDescent="0.25">
      <c r="B190" s="11" t="str">
        <v>YouTube</v>
      </c>
      <c r="C190" s="11">
        <v>3.2899999999999999E-2</v>
      </c>
      <c r="G190" s="11" t="str">
        <v>YouTube</v>
      </c>
      <c r="H190" s="11">
        <v>14437</v>
      </c>
      <c r="I190" s="11">
        <v>2025</v>
      </c>
      <c r="J190" s="11">
        <v>1</v>
      </c>
      <c r="K190" s="11">
        <v>2</v>
      </c>
      <c r="L190" s="11">
        <v>901</v>
      </c>
      <c r="M190" s="11">
        <v>1.0650118203309693</v>
      </c>
      <c r="W190" s="11" t="s">
        <v>21</v>
      </c>
      <c r="X190" s="15">
        <v>45453</v>
      </c>
      <c r="Y190" s="11">
        <f xml:space="preserve"> SUM([1]!Posts[[#This Row],[Likes]],[1]!Posts[[#This Row],[Shares]],[1]!Posts[[#This Row],[Comments]])</f>
        <v>4229</v>
      </c>
      <c r="Z190" s="11">
        <f t="shared" si="6"/>
        <v>6</v>
      </c>
      <c r="AA190" s="11">
        <f t="shared" si="7"/>
        <v>2</v>
      </c>
      <c r="AB190" s="11">
        <f t="shared" si="8"/>
        <v>2024</v>
      </c>
      <c r="AC190" s="11" cm="1">
        <f t="array" ref="AC190">_xlfn.XLOOKUP(1, ('[1]Engagement Summary(Task1)'!$J$2:$J$201=Social_Media_Platform_Analysis!$AA190)*('[1]Engagement Summary(Task1)'!$I$2:$I$201=Social_Media_Platform_Analysis!$Z190)*('[1]Engagement Summary(Task1)'!$H$2:$H$201=Social_Media_Platform_Analysis!$AB190)*('[1]Engagement Summary(Task1)'!$B$2:$B$201=Social_Media_Platform_Analysis!$W190),'[1]Engagement Summary(Task1)'!$G$2:$G$201)</f>
        <v>8912</v>
      </c>
    </row>
    <row r="191" spans="2:29" x14ac:dyDescent="0.25">
      <c r="B191" s="11" t="str">
        <v>YouTube</v>
      </c>
      <c r="C191" s="11">
        <v>4.6799999999999994E-2</v>
      </c>
      <c r="G191" s="11" t="str">
        <v>YouTube</v>
      </c>
      <c r="H191" s="11">
        <v>336949</v>
      </c>
      <c r="I191" s="11">
        <v>2025</v>
      </c>
      <c r="J191" s="11">
        <v>1</v>
      </c>
      <c r="K191" s="11">
        <v>3</v>
      </c>
      <c r="L191" s="11">
        <v>724</v>
      </c>
      <c r="M191" s="11">
        <v>0.80355160932297442</v>
      </c>
      <c r="W191" s="11" t="s">
        <v>21</v>
      </c>
      <c r="X191" s="15">
        <v>45459</v>
      </c>
      <c r="Y191" s="11">
        <f xml:space="preserve"> SUM([1]!Posts[[#This Row],[Likes]],[1]!Posts[[#This Row],[Shares]],[1]!Posts[[#This Row],[Comments]])</f>
        <v>1109</v>
      </c>
      <c r="Z191" s="11">
        <f t="shared" si="6"/>
        <v>6</v>
      </c>
      <c r="AA191" s="11">
        <f t="shared" si="7"/>
        <v>3</v>
      </c>
      <c r="AB191" s="11">
        <f t="shared" si="8"/>
        <v>2024</v>
      </c>
      <c r="AC191" s="11" cm="1">
        <f t="array" ref="AC191">_xlfn.XLOOKUP(1, ('[1]Engagement Summary(Task1)'!$J$2:$J$201=Social_Media_Platform_Analysis!$AA191)*('[1]Engagement Summary(Task1)'!$I$2:$I$201=Social_Media_Platform_Analysis!$Z191)*('[1]Engagement Summary(Task1)'!$H$2:$H$201=Social_Media_Platform_Analysis!$AB191)*('[1]Engagement Summary(Task1)'!$B$2:$B$201=Social_Media_Platform_Analysis!$W191),'[1]Engagement Summary(Task1)'!$G$2:$G$201)</f>
        <v>22482</v>
      </c>
    </row>
    <row r="192" spans="2:29" x14ac:dyDescent="0.25">
      <c r="B192" s="11" t="str">
        <v>YouTube</v>
      </c>
      <c r="C192" s="11">
        <v>3.7200000000000004E-2</v>
      </c>
      <c r="G192" s="11" t="str">
        <v>YouTube</v>
      </c>
      <c r="H192" s="11">
        <v>461669</v>
      </c>
      <c r="I192" s="11">
        <v>2025</v>
      </c>
      <c r="J192" s="11">
        <v>1</v>
      </c>
      <c r="K192" s="11">
        <v>4</v>
      </c>
      <c r="L192" s="11">
        <v>1225</v>
      </c>
      <c r="M192" s="11">
        <v>1.6919889502762431</v>
      </c>
      <c r="W192" s="11" t="s">
        <v>21</v>
      </c>
      <c r="X192" s="15">
        <v>45460</v>
      </c>
      <c r="Y192" s="11">
        <f xml:space="preserve"> SUM([1]!Posts[[#This Row],[Likes]],[1]!Posts[[#This Row],[Shares]],[1]!Posts[[#This Row],[Comments]])</f>
        <v>4108</v>
      </c>
      <c r="Z192" s="11">
        <f t="shared" si="6"/>
        <v>6</v>
      </c>
      <c r="AA192" s="11">
        <f t="shared" si="7"/>
        <v>3</v>
      </c>
      <c r="AB192" s="11">
        <f t="shared" si="8"/>
        <v>2024</v>
      </c>
      <c r="AC192" s="11" cm="1">
        <f t="array" ref="AC192">_xlfn.XLOOKUP(1, ('[1]Engagement Summary(Task1)'!$J$2:$J$201=Social_Media_Platform_Analysis!$AA192)*('[1]Engagement Summary(Task1)'!$I$2:$I$201=Social_Media_Platform_Analysis!$Z192)*('[1]Engagement Summary(Task1)'!$H$2:$H$201=Social_Media_Platform_Analysis!$AB192)*('[1]Engagement Summary(Task1)'!$B$2:$B$201=Social_Media_Platform_Analysis!$W192),'[1]Engagement Summary(Task1)'!$G$2:$G$201)</f>
        <v>22482</v>
      </c>
    </row>
    <row r="193" spans="2:29" x14ac:dyDescent="0.25">
      <c r="B193" s="11" t="str">
        <v>YouTube</v>
      </c>
      <c r="C193" s="11">
        <v>9.4800000000000009E-2</v>
      </c>
      <c r="G193" s="11" t="str">
        <v>YouTube</v>
      </c>
      <c r="H193" s="11">
        <v>270766</v>
      </c>
      <c r="I193" s="11">
        <v>2025</v>
      </c>
      <c r="J193" s="11">
        <v>2</v>
      </c>
      <c r="K193" s="11">
        <v>1</v>
      </c>
      <c r="L193" s="11">
        <v>-203</v>
      </c>
      <c r="M193" s="11">
        <v>-0.1657142857142857</v>
      </c>
      <c r="W193" s="11" t="s">
        <v>21</v>
      </c>
      <c r="X193" s="15">
        <v>45463</v>
      </c>
      <c r="Y193" s="11">
        <f xml:space="preserve"> SUM([1]!Posts[[#This Row],[Likes]],[1]!Posts[[#This Row],[Shares]],[1]!Posts[[#This Row],[Comments]])</f>
        <v>3964</v>
      </c>
      <c r="Z193" s="11">
        <f t="shared" si="6"/>
        <v>6</v>
      </c>
      <c r="AA193" s="11">
        <f t="shared" si="7"/>
        <v>3</v>
      </c>
      <c r="AB193" s="11">
        <f t="shared" si="8"/>
        <v>2024</v>
      </c>
      <c r="AC193" s="11" cm="1">
        <f t="array" ref="AC193">_xlfn.XLOOKUP(1, ('[1]Engagement Summary(Task1)'!$J$2:$J$201=Social_Media_Platform_Analysis!$AA193)*('[1]Engagement Summary(Task1)'!$I$2:$I$201=Social_Media_Platform_Analysis!$Z193)*('[1]Engagement Summary(Task1)'!$H$2:$H$201=Social_Media_Platform_Analysis!$AB193)*('[1]Engagement Summary(Task1)'!$B$2:$B$201=Social_Media_Platform_Analysis!$W193),'[1]Engagement Summary(Task1)'!$G$2:$G$201)</f>
        <v>22482</v>
      </c>
    </row>
    <row r="194" spans="2:29" x14ac:dyDescent="0.25">
      <c r="B194" s="11" t="str">
        <v>YouTube</v>
      </c>
      <c r="C194" s="11">
        <v>9.0299999999999991E-2</v>
      </c>
      <c r="G194" s="11" t="str">
        <v>YouTube</v>
      </c>
      <c r="H194" s="11">
        <v>485280</v>
      </c>
      <c r="I194" s="11">
        <v>2025</v>
      </c>
      <c r="J194" s="11">
        <v>2</v>
      </c>
      <c r="K194" s="11">
        <v>2</v>
      </c>
      <c r="L194" s="11">
        <v>1444</v>
      </c>
      <c r="M194" s="11">
        <v>-7.1133004926108372</v>
      </c>
      <c r="W194" s="11" t="s">
        <v>21</v>
      </c>
      <c r="X194" s="15">
        <v>45467</v>
      </c>
      <c r="Y194" s="11">
        <f xml:space="preserve"> SUM([1]!Posts[[#This Row],[Likes]],[1]!Posts[[#This Row],[Shares]],[1]!Posts[[#This Row],[Comments]])</f>
        <v>908</v>
      </c>
      <c r="Z194" s="11">
        <f t="shared" si="6"/>
        <v>6</v>
      </c>
      <c r="AA194" s="11">
        <f t="shared" si="7"/>
        <v>4</v>
      </c>
      <c r="AB194" s="11">
        <f t="shared" si="8"/>
        <v>2024</v>
      </c>
      <c r="AC194" s="11" cm="1">
        <f t="array" ref="AC194">_xlfn.XLOOKUP(1, ('[1]Engagement Summary(Task1)'!$J$2:$J$201=Social_Media_Platform_Analysis!$AA194)*('[1]Engagement Summary(Task1)'!$I$2:$I$201=Social_Media_Platform_Analysis!$Z194)*('[1]Engagement Summary(Task1)'!$H$2:$H$201=Social_Media_Platform_Analysis!$AB194)*('[1]Engagement Summary(Task1)'!$B$2:$B$201=Social_Media_Platform_Analysis!$W194),'[1]Engagement Summary(Task1)'!$G$2:$G$201)</f>
        <v>31280</v>
      </c>
    </row>
    <row r="195" spans="2:29" x14ac:dyDescent="0.25">
      <c r="B195" s="11" t="str">
        <v>YouTube</v>
      </c>
      <c r="C195" s="11">
        <v>9.0800000000000006E-2</v>
      </c>
      <c r="G195" s="11" t="str">
        <v>YouTube</v>
      </c>
      <c r="H195" s="11">
        <v>105980</v>
      </c>
      <c r="I195" s="11">
        <v>2025</v>
      </c>
      <c r="J195" s="11">
        <v>2</v>
      </c>
      <c r="K195" s="11">
        <v>3</v>
      </c>
      <c r="L195" s="11">
        <v>1175</v>
      </c>
      <c r="M195" s="11">
        <v>0.81371191135734067</v>
      </c>
      <c r="W195" s="11" t="s">
        <v>21</v>
      </c>
      <c r="X195" s="15">
        <v>45467</v>
      </c>
      <c r="Y195" s="11">
        <f xml:space="preserve"> SUM([1]!Posts[[#This Row],[Likes]],[1]!Posts[[#This Row],[Shares]],[1]!Posts[[#This Row],[Comments]])</f>
        <v>4858</v>
      </c>
      <c r="Z195" s="11">
        <f t="shared" si="6"/>
        <v>6</v>
      </c>
      <c r="AA195" s="11">
        <f t="shared" si="7"/>
        <v>4</v>
      </c>
      <c r="AB195" s="11">
        <f t="shared" si="8"/>
        <v>2024</v>
      </c>
      <c r="AC195" s="11" cm="1">
        <f t="array" ref="AC195">_xlfn.XLOOKUP(1, ('[1]Engagement Summary(Task1)'!$J$2:$J$201=Social_Media_Platform_Analysis!$AA195)*('[1]Engagement Summary(Task1)'!$I$2:$I$201=Social_Media_Platform_Analysis!$Z195)*('[1]Engagement Summary(Task1)'!$H$2:$H$201=Social_Media_Platform_Analysis!$AB195)*('[1]Engagement Summary(Task1)'!$B$2:$B$201=Social_Media_Platform_Analysis!$W195),'[1]Engagement Summary(Task1)'!$G$2:$G$201)</f>
        <v>31280</v>
      </c>
    </row>
    <row r="196" spans="2:29" x14ac:dyDescent="0.25">
      <c r="B196" s="11" t="str">
        <v>YouTube</v>
      </c>
      <c r="C196" s="11">
        <v>6.5799999999999997E-2</v>
      </c>
      <c r="G196" s="11" t="str">
        <v>YouTube</v>
      </c>
      <c r="H196" s="11">
        <v>464239</v>
      </c>
      <c r="I196" s="11">
        <v>2025</v>
      </c>
      <c r="J196" s="11">
        <v>2</v>
      </c>
      <c r="K196" s="11">
        <v>4</v>
      </c>
      <c r="L196" s="11">
        <v>1016</v>
      </c>
      <c r="M196" s="11">
        <v>0.86468085106382975</v>
      </c>
      <c r="W196" s="11" t="s">
        <v>21</v>
      </c>
      <c r="X196" s="15">
        <v>45489</v>
      </c>
      <c r="Y196" s="11">
        <f xml:space="preserve"> SUM([1]!Posts[[#This Row],[Likes]],[1]!Posts[[#This Row],[Shares]],[1]!Posts[[#This Row],[Comments]])</f>
        <v>4353</v>
      </c>
      <c r="Z196" s="11">
        <f t="shared" si="6"/>
        <v>7</v>
      </c>
      <c r="AA196" s="11">
        <f t="shared" si="7"/>
        <v>3</v>
      </c>
      <c r="AB196" s="11">
        <f t="shared" si="8"/>
        <v>2024</v>
      </c>
      <c r="AC196" s="11" cm="1">
        <f t="array" ref="AC196">_xlfn.XLOOKUP(1, ('[1]Engagement Summary(Task1)'!$J$2:$J$201=Social_Media_Platform_Analysis!$AA196)*('[1]Engagement Summary(Task1)'!$I$2:$I$201=Social_Media_Platform_Analysis!$Z196)*('[1]Engagement Summary(Task1)'!$H$2:$H$201=Social_Media_Platform_Analysis!$AB196)*('[1]Engagement Summary(Task1)'!$B$2:$B$201=Social_Media_Platform_Analysis!$W196),'[1]Engagement Summary(Task1)'!$G$2:$G$201)</f>
        <v>32393</v>
      </c>
    </row>
    <row r="197" spans="2:29" x14ac:dyDescent="0.25">
      <c r="B197" s="11" t="str">
        <v>YouTube</v>
      </c>
      <c r="C197" s="11">
        <v>9.4E-2</v>
      </c>
      <c r="G197" s="11" t="str">
        <v>YouTube</v>
      </c>
      <c r="H197" s="11">
        <v>224534</v>
      </c>
      <c r="I197" s="11">
        <v>2025</v>
      </c>
      <c r="J197" s="11">
        <v>3</v>
      </c>
      <c r="K197" s="11">
        <v>1</v>
      </c>
      <c r="L197" s="11">
        <v>315</v>
      </c>
      <c r="M197" s="11">
        <v>0.31003937007874016</v>
      </c>
      <c r="W197" s="11" t="s">
        <v>21</v>
      </c>
      <c r="X197" s="15">
        <v>45491</v>
      </c>
      <c r="Y197" s="11">
        <f xml:space="preserve"> SUM([1]!Posts[[#This Row],[Likes]],[1]!Posts[[#This Row],[Shares]],[1]!Posts[[#This Row],[Comments]])</f>
        <v>1865</v>
      </c>
      <c r="Z197" s="11">
        <f t="shared" si="6"/>
        <v>7</v>
      </c>
      <c r="AA197" s="11">
        <f t="shared" si="7"/>
        <v>3</v>
      </c>
      <c r="AB197" s="11">
        <f t="shared" si="8"/>
        <v>2024</v>
      </c>
      <c r="AC197" s="11" cm="1">
        <f t="array" ref="AC197">_xlfn.XLOOKUP(1, ('[1]Engagement Summary(Task1)'!$J$2:$J$201=Social_Media_Platform_Analysis!$AA197)*('[1]Engagement Summary(Task1)'!$I$2:$I$201=Social_Media_Platform_Analysis!$Z197)*('[1]Engagement Summary(Task1)'!$H$2:$H$201=Social_Media_Platform_Analysis!$AB197)*('[1]Engagement Summary(Task1)'!$B$2:$B$201=Social_Media_Platform_Analysis!$W197),'[1]Engagement Summary(Task1)'!$G$2:$G$201)</f>
        <v>32393</v>
      </c>
    </row>
    <row r="198" spans="2:29" x14ac:dyDescent="0.25">
      <c r="B198" s="11" t="str">
        <v>YouTube</v>
      </c>
      <c r="C198" s="11">
        <v>6.1100000000000002E-2</v>
      </c>
      <c r="G198" s="11" t="str">
        <v>YouTube</v>
      </c>
      <c r="H198" s="11">
        <v>98397</v>
      </c>
      <c r="I198" s="11">
        <v>2025</v>
      </c>
      <c r="J198" s="11">
        <v>3</v>
      </c>
      <c r="K198" s="11">
        <v>2</v>
      </c>
      <c r="L198" s="11">
        <v>1242</v>
      </c>
      <c r="M198" s="11">
        <v>3.9428571428571431</v>
      </c>
      <c r="W198" s="11" t="s">
        <v>21</v>
      </c>
      <c r="X198" s="15">
        <v>45491</v>
      </c>
      <c r="Y198" s="11">
        <f xml:space="preserve"> SUM([1]!Posts[[#This Row],[Likes]],[1]!Posts[[#This Row],[Shares]],[1]!Posts[[#This Row],[Comments]])</f>
        <v>5226</v>
      </c>
      <c r="Z198" s="11">
        <f t="shared" si="6"/>
        <v>7</v>
      </c>
      <c r="AA198" s="11">
        <f t="shared" si="7"/>
        <v>3</v>
      </c>
      <c r="AB198" s="11">
        <f t="shared" si="8"/>
        <v>2024</v>
      </c>
      <c r="AC198" s="11" cm="1">
        <f t="array" ref="AC198">_xlfn.XLOOKUP(1, ('[1]Engagement Summary(Task1)'!$J$2:$J$201=Social_Media_Platform_Analysis!$AA198)*('[1]Engagement Summary(Task1)'!$I$2:$I$201=Social_Media_Platform_Analysis!$Z198)*('[1]Engagement Summary(Task1)'!$H$2:$H$201=Social_Media_Platform_Analysis!$AB198)*('[1]Engagement Summary(Task1)'!$B$2:$B$201=Social_Media_Platform_Analysis!$W198),'[1]Engagement Summary(Task1)'!$G$2:$G$201)</f>
        <v>32393</v>
      </c>
    </row>
    <row r="199" spans="2:29" x14ac:dyDescent="0.25">
      <c r="B199" s="11" t="str">
        <v>YouTube</v>
      </c>
      <c r="C199" s="11">
        <v>8.6400000000000005E-2</v>
      </c>
      <c r="G199" s="11" t="str">
        <v>YouTube</v>
      </c>
      <c r="H199" s="11">
        <v>17380</v>
      </c>
      <c r="I199" s="11">
        <v>2025</v>
      </c>
      <c r="J199" s="11">
        <v>3</v>
      </c>
      <c r="K199" s="11">
        <v>3</v>
      </c>
      <c r="L199" s="11">
        <v>1385</v>
      </c>
      <c r="M199" s="11">
        <v>1.1151368760064413</v>
      </c>
      <c r="W199" s="11" t="s">
        <v>21</v>
      </c>
      <c r="X199" s="15">
        <v>45494</v>
      </c>
      <c r="Y199" s="11">
        <f xml:space="preserve"> SUM([1]!Posts[[#This Row],[Likes]],[1]!Posts[[#This Row],[Shares]],[1]!Posts[[#This Row],[Comments]])</f>
        <v>1343</v>
      </c>
      <c r="Z199" s="11">
        <f t="shared" ref="Z199:Z262" si="9">MONTH(X199)</f>
        <v>7</v>
      </c>
      <c r="AA199" s="11">
        <f t="shared" ref="AA199:AA262" si="10">INT((DAY(X199)-1)/7)+1</f>
        <v>3</v>
      </c>
      <c r="AB199" s="11">
        <f t="shared" ref="AB199:AB262" si="11">YEAR(X199)</f>
        <v>2024</v>
      </c>
      <c r="AC199" s="11" cm="1">
        <f t="array" ref="AC199">_xlfn.XLOOKUP(1, ('[1]Engagement Summary(Task1)'!$J$2:$J$201=Social_Media_Platform_Analysis!$AA199)*('[1]Engagement Summary(Task1)'!$I$2:$I$201=Social_Media_Platform_Analysis!$Z199)*('[1]Engagement Summary(Task1)'!$H$2:$H$201=Social_Media_Platform_Analysis!$AB199)*('[1]Engagement Summary(Task1)'!$B$2:$B$201=Social_Media_Platform_Analysis!$W199),'[1]Engagement Summary(Task1)'!$G$2:$G$201)</f>
        <v>32393</v>
      </c>
    </row>
    <row r="200" spans="2:29" x14ac:dyDescent="0.25">
      <c r="B200" s="11" t="str">
        <v>YouTube</v>
      </c>
      <c r="C200" s="11">
        <v>1.8700000000000001E-2</v>
      </c>
      <c r="G200" s="11" t="str">
        <v>YouTube</v>
      </c>
      <c r="H200" s="11">
        <v>441931</v>
      </c>
      <c r="I200" s="11">
        <v>2025</v>
      </c>
      <c r="J200" s="11">
        <v>3</v>
      </c>
      <c r="K200" s="11">
        <v>4</v>
      </c>
      <c r="L200" s="11">
        <v>389</v>
      </c>
      <c r="M200" s="11">
        <v>0.28086642599277978</v>
      </c>
      <c r="W200" s="11" t="s">
        <v>21</v>
      </c>
      <c r="X200" s="15">
        <v>45499</v>
      </c>
      <c r="Y200" s="11">
        <f xml:space="preserve"> SUM([1]!Posts[[#This Row],[Likes]],[1]!Posts[[#This Row],[Shares]],[1]!Posts[[#This Row],[Comments]])</f>
        <v>4377</v>
      </c>
      <c r="Z200" s="11">
        <f t="shared" si="9"/>
        <v>7</v>
      </c>
      <c r="AA200" s="11">
        <f t="shared" si="10"/>
        <v>4</v>
      </c>
      <c r="AB200" s="11">
        <f t="shared" si="11"/>
        <v>2024</v>
      </c>
      <c r="AC200" s="11" cm="1">
        <f t="array" ref="AC200">_xlfn.XLOOKUP(1, ('[1]Engagement Summary(Task1)'!$J$2:$J$201=Social_Media_Platform_Analysis!$AA200)*('[1]Engagement Summary(Task1)'!$I$2:$I$201=Social_Media_Platform_Analysis!$Z200)*('[1]Engagement Summary(Task1)'!$H$2:$H$201=Social_Media_Platform_Analysis!$AB200)*('[1]Engagement Summary(Task1)'!$B$2:$B$201=Social_Media_Platform_Analysis!$W200),'[1]Engagement Summary(Task1)'!$G$2:$G$201)</f>
        <v>32763</v>
      </c>
    </row>
    <row r="201" spans="2:29" x14ac:dyDescent="0.25">
      <c r="B201" s="11" t="str">
        <v>YouTube</v>
      </c>
      <c r="C201" s="11">
        <v>4.7300000000000002E-2</v>
      </c>
      <c r="G201" s="11" t="str">
        <v>YouTube</v>
      </c>
      <c r="H201" s="11">
        <v>435726</v>
      </c>
      <c r="I201" s="11">
        <v>2025</v>
      </c>
      <c r="J201" s="11">
        <v>3</v>
      </c>
      <c r="K201" s="11">
        <v>5</v>
      </c>
      <c r="L201" s="11">
        <v>1467</v>
      </c>
      <c r="M201" s="11">
        <v>3.7712082262210798</v>
      </c>
      <c r="W201" s="11" t="s">
        <v>21</v>
      </c>
      <c r="X201" s="15">
        <v>45501</v>
      </c>
      <c r="Y201" s="11">
        <f xml:space="preserve"> SUM([1]!Posts[[#This Row],[Likes]],[1]!Posts[[#This Row],[Shares]],[1]!Posts[[#This Row],[Comments]])</f>
        <v>4741</v>
      </c>
      <c r="Z201" s="11">
        <f t="shared" si="9"/>
        <v>7</v>
      </c>
      <c r="AA201" s="11">
        <f t="shared" si="10"/>
        <v>4</v>
      </c>
      <c r="AB201" s="11">
        <f t="shared" si="11"/>
        <v>2024</v>
      </c>
      <c r="AC201" s="11" cm="1">
        <f t="array" ref="AC201">_xlfn.XLOOKUP(1, ('[1]Engagement Summary(Task1)'!$J$2:$J$201=Social_Media_Platform_Analysis!$AA201)*('[1]Engagement Summary(Task1)'!$I$2:$I$201=Social_Media_Platform_Analysis!$Z201)*('[1]Engagement Summary(Task1)'!$H$2:$H$201=Social_Media_Platform_Analysis!$AB201)*('[1]Engagement Summary(Task1)'!$B$2:$B$201=Social_Media_Platform_Analysis!$W201),'[1]Engagement Summary(Task1)'!$G$2:$G$201)</f>
        <v>32763</v>
      </c>
    </row>
    <row r="202" spans="2:29" x14ac:dyDescent="0.25">
      <c r="B202" s="11" t="str">
        <v>YouTube</v>
      </c>
      <c r="C202" s="11">
        <v>6.4899999999999999E-2</v>
      </c>
      <c r="G202" s="11" t="str">
        <v>YouTube</v>
      </c>
      <c r="H202" s="11">
        <v>290354</v>
      </c>
      <c r="I202" s="11">
        <v>2025</v>
      </c>
      <c r="J202" s="11">
        <v>4</v>
      </c>
      <c r="K202" s="11">
        <v>1</v>
      </c>
      <c r="L202" s="11">
        <v>209</v>
      </c>
      <c r="M202" s="11">
        <v>0.14246762099522836</v>
      </c>
      <c r="W202" s="11" t="s">
        <v>21</v>
      </c>
      <c r="X202" s="15">
        <v>45504</v>
      </c>
      <c r="Y202" s="11">
        <f xml:space="preserve"> SUM([1]!Posts[[#This Row],[Likes]],[1]!Posts[[#This Row],[Shares]],[1]!Posts[[#This Row],[Comments]])</f>
        <v>4735</v>
      </c>
      <c r="Z202" s="11">
        <f t="shared" si="9"/>
        <v>7</v>
      </c>
      <c r="AA202" s="11">
        <f t="shared" si="10"/>
        <v>5</v>
      </c>
      <c r="AB202" s="11">
        <f t="shared" si="11"/>
        <v>2024</v>
      </c>
      <c r="AC202" s="11" cm="1">
        <f t="array" ref="AC202">_xlfn.XLOOKUP(1, ('[1]Engagement Summary(Task1)'!$J$2:$J$201=Social_Media_Platform_Analysis!$AA202)*('[1]Engagement Summary(Task1)'!$I$2:$I$201=Social_Media_Platform_Analysis!$Z202)*('[1]Engagement Summary(Task1)'!$H$2:$H$201=Social_Media_Platform_Analysis!$AB202)*('[1]Engagement Summary(Task1)'!$B$2:$B$201=Social_Media_Platform_Analysis!$W202),'[1]Engagement Summary(Task1)'!$G$2:$G$201)</f>
        <v>39272</v>
      </c>
    </row>
    <row r="203" spans="2:29" x14ac:dyDescent="0.25">
      <c r="B203" s="11" t="str">
        <v>YouTube</v>
      </c>
      <c r="C203" s="11">
        <v>6.54E-2</v>
      </c>
      <c r="G203" s="11" t="str">
        <v>YouTube</v>
      </c>
      <c r="H203" s="11">
        <v>369525</v>
      </c>
      <c r="I203" s="11">
        <v>2025</v>
      </c>
      <c r="J203" s="11">
        <v>4</v>
      </c>
      <c r="K203" s="11">
        <v>2</v>
      </c>
      <c r="L203" s="11">
        <v>145</v>
      </c>
      <c r="M203" s="11">
        <v>0.69377990430622005</v>
      </c>
      <c r="W203" s="11" t="s">
        <v>21</v>
      </c>
      <c r="X203" s="15">
        <v>45504</v>
      </c>
      <c r="Y203" s="11">
        <f xml:space="preserve"> SUM([1]!Posts[[#This Row],[Likes]],[1]!Posts[[#This Row],[Shares]],[1]!Posts[[#This Row],[Comments]])</f>
        <v>2340</v>
      </c>
      <c r="Z203" s="11">
        <f t="shared" si="9"/>
        <v>7</v>
      </c>
      <c r="AA203" s="11">
        <f t="shared" si="10"/>
        <v>5</v>
      </c>
      <c r="AB203" s="11">
        <f t="shared" si="11"/>
        <v>2024</v>
      </c>
      <c r="AC203" s="11" cm="1">
        <f t="array" ref="AC203">_xlfn.XLOOKUP(1, ('[1]Engagement Summary(Task1)'!$J$2:$J$201=Social_Media_Platform_Analysis!$AA203)*('[1]Engagement Summary(Task1)'!$I$2:$I$201=Social_Media_Platform_Analysis!$Z203)*('[1]Engagement Summary(Task1)'!$H$2:$H$201=Social_Media_Platform_Analysis!$AB203)*('[1]Engagement Summary(Task1)'!$B$2:$B$201=Social_Media_Platform_Analysis!$W203),'[1]Engagement Summary(Task1)'!$G$2:$G$201)</f>
        <v>39272</v>
      </c>
    </row>
    <row r="204" spans="2:29" x14ac:dyDescent="0.25">
      <c r="B204" s="11" t="str">
        <v>YouTube</v>
      </c>
      <c r="C204" s="11">
        <v>3.0899999999999997E-2</v>
      </c>
      <c r="G204" s="11" t="str">
        <v>YouTube</v>
      </c>
      <c r="H204" s="11">
        <v>270958</v>
      </c>
      <c r="I204" s="11">
        <v>2025</v>
      </c>
      <c r="J204" s="11">
        <v>4</v>
      </c>
      <c r="K204" s="11">
        <v>3</v>
      </c>
      <c r="L204" s="11">
        <v>1633</v>
      </c>
      <c r="M204" s="11">
        <v>11.262068965517241</v>
      </c>
      <c r="W204" s="11" t="s">
        <v>21</v>
      </c>
      <c r="X204" s="15">
        <v>45507</v>
      </c>
      <c r="Y204" s="11">
        <f xml:space="preserve"> SUM([1]!Posts[[#This Row],[Likes]],[1]!Posts[[#This Row],[Shares]],[1]!Posts[[#This Row],[Comments]])</f>
        <v>3476</v>
      </c>
      <c r="Z204" s="11">
        <f t="shared" si="9"/>
        <v>8</v>
      </c>
      <c r="AA204" s="11">
        <f t="shared" si="10"/>
        <v>1</v>
      </c>
      <c r="AB204" s="11">
        <f t="shared" si="11"/>
        <v>2024</v>
      </c>
      <c r="AC204" s="11" cm="1">
        <f t="array" ref="AC204">_xlfn.XLOOKUP(1, ('[1]Engagement Summary(Task1)'!$J$2:$J$201=Social_Media_Platform_Analysis!$AA204)*('[1]Engagement Summary(Task1)'!$I$2:$I$201=Social_Media_Platform_Analysis!$Z204)*('[1]Engagement Summary(Task1)'!$H$2:$H$201=Social_Media_Platform_Analysis!$AB204)*('[1]Engagement Summary(Task1)'!$B$2:$B$201=Social_Media_Platform_Analysis!$W204),'[1]Engagement Summary(Task1)'!$G$2:$G$201)</f>
        <v>12384</v>
      </c>
    </row>
    <row r="205" spans="2:29" x14ac:dyDescent="0.25">
      <c r="B205" s="11" t="str">
        <v>YouTube</v>
      </c>
      <c r="C205" s="11">
        <v>1.6E-2</v>
      </c>
      <c r="G205" s="11" t="str">
        <v>YouTube</v>
      </c>
      <c r="H205" s="11">
        <v>11435</v>
      </c>
      <c r="I205" s="11">
        <v>2025</v>
      </c>
      <c r="J205" s="11">
        <v>4</v>
      </c>
      <c r="K205" s="11">
        <v>4</v>
      </c>
      <c r="L205" s="11">
        <v>637</v>
      </c>
      <c r="M205" s="11">
        <v>0.39007960808328229</v>
      </c>
      <c r="W205" s="11" t="s">
        <v>21</v>
      </c>
      <c r="X205" s="15">
        <v>45512</v>
      </c>
      <c r="Y205" s="11">
        <f xml:space="preserve"> SUM([1]!Posts[[#This Row],[Likes]],[1]!Posts[[#This Row],[Shares]],[1]!Posts[[#This Row],[Comments]])</f>
        <v>4385</v>
      </c>
      <c r="Z205" s="11">
        <f t="shared" si="9"/>
        <v>8</v>
      </c>
      <c r="AA205" s="11">
        <f t="shared" si="10"/>
        <v>2</v>
      </c>
      <c r="AB205" s="11">
        <f t="shared" si="11"/>
        <v>2024</v>
      </c>
      <c r="AC205" s="11" cm="1">
        <f t="array" ref="AC205">_xlfn.XLOOKUP(1, ('[1]Engagement Summary(Task1)'!$J$2:$J$201=Social_Media_Platform_Analysis!$AA205)*('[1]Engagement Summary(Task1)'!$I$2:$I$201=Social_Media_Platform_Analysis!$Z205)*('[1]Engagement Summary(Task1)'!$H$2:$H$201=Social_Media_Platform_Analysis!$AB205)*('[1]Engagement Summary(Task1)'!$B$2:$B$201=Social_Media_Platform_Analysis!$W205),'[1]Engagement Summary(Task1)'!$G$2:$G$201)</f>
        <v>33258</v>
      </c>
    </row>
    <row r="206" spans="2:29" x14ac:dyDescent="0.25">
      <c r="B206" s="11" t="str">
        <v>YouTube</v>
      </c>
      <c r="C206" s="11">
        <v>5.21E-2</v>
      </c>
      <c r="G206" s="11" t="str">
        <v>YouTube</v>
      </c>
      <c r="H206" s="11">
        <v>148477</v>
      </c>
      <c r="I206" s="11">
        <v>2025</v>
      </c>
      <c r="J206" s="11">
        <v>5</v>
      </c>
      <c r="K206" s="11">
        <v>1</v>
      </c>
      <c r="L206" s="11">
        <v>864</v>
      </c>
      <c r="M206" s="11">
        <v>1.3563579277864992</v>
      </c>
      <c r="W206" s="11" t="s">
        <v>21</v>
      </c>
      <c r="X206" s="15">
        <v>45528</v>
      </c>
      <c r="Y206" s="11">
        <f xml:space="preserve"> SUM([1]!Posts[[#This Row],[Likes]],[1]!Posts[[#This Row],[Shares]],[1]!Posts[[#This Row],[Comments]])</f>
        <v>2195</v>
      </c>
      <c r="Z206" s="11">
        <f t="shared" si="9"/>
        <v>8</v>
      </c>
      <c r="AA206" s="11">
        <f t="shared" si="10"/>
        <v>4</v>
      </c>
      <c r="AB206" s="11">
        <f t="shared" si="11"/>
        <v>2024</v>
      </c>
      <c r="AC206" s="11" cm="1">
        <f t="array" ref="AC206">_xlfn.XLOOKUP(1, ('[1]Engagement Summary(Task1)'!$J$2:$J$201=Social_Media_Platform_Analysis!$AA206)*('[1]Engagement Summary(Task1)'!$I$2:$I$201=Social_Media_Platform_Analysis!$Z206)*('[1]Engagement Summary(Task1)'!$H$2:$H$201=Social_Media_Platform_Analysis!$AB206)*('[1]Engagement Summary(Task1)'!$B$2:$B$201=Social_Media_Platform_Analysis!$W206),'[1]Engagement Summary(Task1)'!$G$2:$G$201)</f>
        <v>9942</v>
      </c>
    </row>
    <row r="207" spans="2:29" x14ac:dyDescent="0.25">
      <c r="B207" s="11" t="str">
        <v>YouTube</v>
      </c>
      <c r="C207" s="11">
        <v>6.8099999999999994E-2</v>
      </c>
      <c r="G207" s="11" t="str">
        <v>YouTube</v>
      </c>
      <c r="H207" s="11">
        <v>82558</v>
      </c>
      <c r="I207" s="11">
        <v>2025</v>
      </c>
      <c r="J207" s="11">
        <v>5</v>
      </c>
      <c r="K207" s="11">
        <v>2</v>
      </c>
      <c r="L207" s="11">
        <v>-337</v>
      </c>
      <c r="M207" s="11">
        <v>-0.39004629629629628</v>
      </c>
      <c r="W207" s="11" t="s">
        <v>21</v>
      </c>
      <c r="X207" s="15">
        <v>45530</v>
      </c>
      <c r="Y207" s="11">
        <f xml:space="preserve"> SUM([1]!Posts[[#This Row],[Likes]],[1]!Posts[[#This Row],[Shares]],[1]!Posts[[#This Row],[Comments]])</f>
        <v>5547</v>
      </c>
      <c r="Z207" s="11">
        <f t="shared" si="9"/>
        <v>8</v>
      </c>
      <c r="AA207" s="11">
        <f t="shared" si="10"/>
        <v>4</v>
      </c>
      <c r="AB207" s="11">
        <f t="shared" si="11"/>
        <v>2024</v>
      </c>
      <c r="AC207" s="11" cm="1">
        <f t="array" ref="AC207">_xlfn.XLOOKUP(1, ('[1]Engagement Summary(Task1)'!$J$2:$J$201=Social_Media_Platform_Analysis!$AA207)*('[1]Engagement Summary(Task1)'!$I$2:$I$201=Social_Media_Platform_Analysis!$Z207)*('[1]Engagement Summary(Task1)'!$H$2:$H$201=Social_Media_Platform_Analysis!$AB207)*('[1]Engagement Summary(Task1)'!$B$2:$B$201=Social_Media_Platform_Analysis!$W207),'[1]Engagement Summary(Task1)'!$G$2:$G$201)</f>
        <v>9942</v>
      </c>
    </row>
    <row r="208" spans="2:29" x14ac:dyDescent="0.25">
      <c r="W208" s="11" t="s">
        <v>21</v>
      </c>
      <c r="X208" s="15">
        <v>45530</v>
      </c>
      <c r="Y208" s="11">
        <f xml:space="preserve"> SUM([1]!Posts[[#This Row],[Likes]],[1]!Posts[[#This Row],[Shares]],[1]!Posts[[#This Row],[Comments]])</f>
        <v>2034</v>
      </c>
      <c r="Z208" s="11">
        <f t="shared" si="9"/>
        <v>8</v>
      </c>
      <c r="AA208" s="11">
        <f t="shared" si="10"/>
        <v>4</v>
      </c>
      <c r="AB208" s="11">
        <f t="shared" si="11"/>
        <v>2024</v>
      </c>
      <c r="AC208" s="11" cm="1">
        <f t="array" ref="AC208">_xlfn.XLOOKUP(1, ('[1]Engagement Summary(Task1)'!$J$2:$J$201=Social_Media_Platform_Analysis!$AA208)*('[1]Engagement Summary(Task1)'!$I$2:$I$201=Social_Media_Platform_Analysis!$Z208)*('[1]Engagement Summary(Task1)'!$H$2:$H$201=Social_Media_Platform_Analysis!$AB208)*('[1]Engagement Summary(Task1)'!$B$2:$B$201=Social_Media_Platform_Analysis!$W208),'[1]Engagement Summary(Task1)'!$G$2:$G$201)</f>
        <v>9942</v>
      </c>
    </row>
    <row r="209" spans="23:29" x14ac:dyDescent="0.25">
      <c r="W209" s="11" t="s">
        <v>21</v>
      </c>
      <c r="X209" s="15">
        <v>45530</v>
      </c>
      <c r="Y209" s="11">
        <f xml:space="preserve"> SUM([1]!Posts[[#This Row],[Likes]],[1]!Posts[[#This Row],[Shares]],[1]!Posts[[#This Row],[Comments]])</f>
        <v>5304</v>
      </c>
      <c r="Z209" s="11">
        <f t="shared" si="9"/>
        <v>8</v>
      </c>
      <c r="AA209" s="11">
        <f t="shared" si="10"/>
        <v>4</v>
      </c>
      <c r="AB209" s="11">
        <f t="shared" si="11"/>
        <v>2024</v>
      </c>
      <c r="AC209" s="11" cm="1">
        <f t="array" ref="AC209">_xlfn.XLOOKUP(1, ('[1]Engagement Summary(Task1)'!$J$2:$J$201=Social_Media_Platform_Analysis!$AA209)*('[1]Engagement Summary(Task1)'!$I$2:$I$201=Social_Media_Platform_Analysis!$Z209)*('[1]Engagement Summary(Task1)'!$H$2:$H$201=Social_Media_Platform_Analysis!$AB209)*('[1]Engagement Summary(Task1)'!$B$2:$B$201=Social_Media_Platform_Analysis!$W209),'[1]Engagement Summary(Task1)'!$G$2:$G$201)</f>
        <v>9942</v>
      </c>
    </row>
    <row r="210" spans="23:29" x14ac:dyDescent="0.25">
      <c r="W210" s="11" t="s">
        <v>21</v>
      </c>
      <c r="X210" s="15">
        <v>45535</v>
      </c>
      <c r="Y210" s="11">
        <f xml:space="preserve"> SUM([1]!Posts[[#This Row],[Likes]],[1]!Posts[[#This Row],[Shares]],[1]!Posts[[#This Row],[Comments]])</f>
        <v>5128</v>
      </c>
      <c r="Z210" s="11">
        <f t="shared" si="9"/>
        <v>8</v>
      </c>
      <c r="AA210" s="11">
        <f t="shared" si="10"/>
        <v>5</v>
      </c>
      <c r="AB210" s="11">
        <f t="shared" si="11"/>
        <v>2024</v>
      </c>
      <c r="AC210" s="11">
        <v>0</v>
      </c>
    </row>
    <row r="211" spans="23:29" x14ac:dyDescent="0.25">
      <c r="W211" s="11" t="s">
        <v>21</v>
      </c>
      <c r="X211" s="15">
        <v>45535</v>
      </c>
      <c r="Y211" s="11">
        <f xml:space="preserve"> SUM([1]!Posts[[#This Row],[Likes]],[1]!Posts[[#This Row],[Shares]],[1]!Posts[[#This Row],[Comments]])</f>
        <v>1624</v>
      </c>
      <c r="Z211" s="11">
        <f t="shared" si="9"/>
        <v>8</v>
      </c>
      <c r="AA211" s="11">
        <f t="shared" si="10"/>
        <v>5</v>
      </c>
      <c r="AB211" s="11">
        <f t="shared" si="11"/>
        <v>2024</v>
      </c>
      <c r="AC211" s="11">
        <v>0</v>
      </c>
    </row>
    <row r="212" spans="23:29" x14ac:dyDescent="0.25">
      <c r="W212" s="11" t="s">
        <v>21</v>
      </c>
      <c r="X212" s="15">
        <v>45535</v>
      </c>
      <c r="Y212" s="11">
        <f xml:space="preserve"> SUM([1]!Posts[[#This Row],[Likes]],[1]!Posts[[#This Row],[Shares]],[1]!Posts[[#This Row],[Comments]])</f>
        <v>1624</v>
      </c>
      <c r="Z212" s="11">
        <f t="shared" si="9"/>
        <v>8</v>
      </c>
      <c r="AA212" s="11">
        <f t="shared" si="10"/>
        <v>5</v>
      </c>
      <c r="AB212" s="11">
        <f t="shared" si="11"/>
        <v>2024</v>
      </c>
      <c r="AC212" s="11">
        <v>0</v>
      </c>
    </row>
    <row r="213" spans="23:29" x14ac:dyDescent="0.25">
      <c r="W213" s="11" t="s">
        <v>21</v>
      </c>
      <c r="X213" s="15">
        <v>45535</v>
      </c>
      <c r="Y213" s="11">
        <f xml:space="preserve"> SUM([1]!Posts[[#This Row],[Likes]],[1]!Posts[[#This Row],[Shares]],[1]!Posts[[#This Row],[Comments]])</f>
        <v>1624</v>
      </c>
      <c r="Z213" s="11">
        <f t="shared" si="9"/>
        <v>8</v>
      </c>
      <c r="AA213" s="11">
        <f t="shared" si="10"/>
        <v>5</v>
      </c>
      <c r="AB213" s="11">
        <f t="shared" si="11"/>
        <v>2024</v>
      </c>
      <c r="AC213" s="11">
        <v>0</v>
      </c>
    </row>
    <row r="214" spans="23:29" x14ac:dyDescent="0.25">
      <c r="W214" s="11" t="s">
        <v>21</v>
      </c>
      <c r="X214" s="15">
        <v>45540</v>
      </c>
      <c r="Y214" s="11">
        <f xml:space="preserve"> SUM([1]!Posts[[#This Row],[Likes]],[1]!Posts[[#This Row],[Shares]],[1]!Posts[[#This Row],[Comments]])</f>
        <v>2508</v>
      </c>
      <c r="Z214" s="11">
        <f t="shared" si="9"/>
        <v>9</v>
      </c>
      <c r="AA214" s="11">
        <f t="shared" si="10"/>
        <v>1</v>
      </c>
      <c r="AB214" s="11">
        <f t="shared" si="11"/>
        <v>2024</v>
      </c>
      <c r="AC214" s="11" cm="1">
        <f t="array" ref="AC214">_xlfn.XLOOKUP(1, ('[1]Engagement Summary(Task1)'!$J$2:$J$201=Social_Media_Platform_Analysis!$AA214)*('[1]Engagement Summary(Task1)'!$I$2:$I$201=Social_Media_Platform_Analysis!$Z214)*('[1]Engagement Summary(Task1)'!$H$2:$H$201=Social_Media_Platform_Analysis!$AB214)*('[1]Engagement Summary(Task1)'!$B$2:$B$201=Social_Media_Platform_Analysis!$W214),'[1]Engagement Summary(Task1)'!$G$2:$G$201)</f>
        <v>25797</v>
      </c>
    </row>
    <row r="215" spans="23:29" x14ac:dyDescent="0.25">
      <c r="W215" s="11" t="s">
        <v>21</v>
      </c>
      <c r="X215" s="15">
        <v>45543</v>
      </c>
      <c r="Y215" s="11">
        <f xml:space="preserve"> SUM([1]!Posts[[#This Row],[Likes]],[1]!Posts[[#This Row],[Shares]],[1]!Posts[[#This Row],[Comments]])</f>
        <v>5585</v>
      </c>
      <c r="Z215" s="11">
        <f t="shared" si="9"/>
        <v>9</v>
      </c>
      <c r="AA215" s="11">
        <f t="shared" si="10"/>
        <v>2</v>
      </c>
      <c r="AB215" s="11">
        <f t="shared" si="11"/>
        <v>2024</v>
      </c>
      <c r="AC215" s="11" cm="1">
        <f t="array" ref="AC215">_xlfn.XLOOKUP(1, ('[1]Engagement Summary(Task1)'!$J$2:$J$201=Social_Media_Platform_Analysis!$AA215)*('[1]Engagement Summary(Task1)'!$I$2:$I$201=Social_Media_Platform_Analysis!$Z215)*('[1]Engagement Summary(Task1)'!$H$2:$H$201=Social_Media_Platform_Analysis!$AB215)*('[1]Engagement Summary(Task1)'!$B$2:$B$201=Social_Media_Platform_Analysis!$W215),'[1]Engagement Summary(Task1)'!$G$2:$G$201)</f>
        <v>15476</v>
      </c>
    </row>
    <row r="216" spans="23:29" x14ac:dyDescent="0.25">
      <c r="W216" s="11" t="s">
        <v>21</v>
      </c>
      <c r="X216" s="15">
        <v>45545</v>
      </c>
      <c r="Y216" s="11">
        <f xml:space="preserve"> SUM([1]!Posts[[#This Row],[Likes]],[1]!Posts[[#This Row],[Shares]],[1]!Posts[[#This Row],[Comments]])</f>
        <v>1872</v>
      </c>
      <c r="Z216" s="11">
        <f t="shared" si="9"/>
        <v>9</v>
      </c>
      <c r="AA216" s="11">
        <f t="shared" si="10"/>
        <v>2</v>
      </c>
      <c r="AB216" s="11">
        <f t="shared" si="11"/>
        <v>2024</v>
      </c>
      <c r="AC216" s="11" cm="1">
        <f t="array" ref="AC216">_xlfn.XLOOKUP(1, ('[1]Engagement Summary(Task1)'!$J$2:$J$201=Social_Media_Platform_Analysis!$AA216)*('[1]Engagement Summary(Task1)'!$I$2:$I$201=Social_Media_Platform_Analysis!$Z216)*('[1]Engagement Summary(Task1)'!$H$2:$H$201=Social_Media_Platform_Analysis!$AB216)*('[1]Engagement Summary(Task1)'!$B$2:$B$201=Social_Media_Platform_Analysis!$W216),'[1]Engagement Summary(Task1)'!$G$2:$G$201)</f>
        <v>15476</v>
      </c>
    </row>
    <row r="217" spans="23:29" x14ac:dyDescent="0.25">
      <c r="W217" s="11" t="s">
        <v>21</v>
      </c>
      <c r="X217" s="15">
        <v>45546</v>
      </c>
      <c r="Y217" s="11">
        <f xml:space="preserve"> SUM([1]!Posts[[#This Row],[Likes]],[1]!Posts[[#This Row],[Shares]],[1]!Posts[[#This Row],[Comments]])</f>
        <v>3004</v>
      </c>
      <c r="Z217" s="11">
        <f t="shared" si="9"/>
        <v>9</v>
      </c>
      <c r="AA217" s="11">
        <f t="shared" si="10"/>
        <v>2</v>
      </c>
      <c r="AB217" s="11">
        <f t="shared" si="11"/>
        <v>2024</v>
      </c>
      <c r="AC217" s="11" cm="1">
        <f t="array" ref="AC217">_xlfn.XLOOKUP(1, ('[1]Engagement Summary(Task1)'!$J$2:$J$201=Social_Media_Platform_Analysis!$AA217)*('[1]Engagement Summary(Task1)'!$I$2:$I$201=Social_Media_Platform_Analysis!$Z217)*('[1]Engagement Summary(Task1)'!$H$2:$H$201=Social_Media_Platform_Analysis!$AB217)*('[1]Engagement Summary(Task1)'!$B$2:$B$201=Social_Media_Platform_Analysis!$W217),'[1]Engagement Summary(Task1)'!$G$2:$G$201)</f>
        <v>15476</v>
      </c>
    </row>
    <row r="218" spans="23:29" x14ac:dyDescent="0.25">
      <c r="W218" s="11" t="s">
        <v>21</v>
      </c>
      <c r="X218" s="15">
        <v>45549</v>
      </c>
      <c r="Y218" s="11">
        <f xml:space="preserve"> SUM([1]!Posts[[#This Row],[Likes]],[1]!Posts[[#This Row],[Shares]],[1]!Posts[[#This Row],[Comments]])</f>
        <v>4413</v>
      </c>
      <c r="Z218" s="11">
        <f t="shared" si="9"/>
        <v>9</v>
      </c>
      <c r="AA218" s="11">
        <f t="shared" si="10"/>
        <v>2</v>
      </c>
      <c r="AB218" s="11">
        <f t="shared" si="11"/>
        <v>2024</v>
      </c>
      <c r="AC218" s="11" cm="1">
        <f t="array" ref="AC218">_xlfn.XLOOKUP(1, ('[1]Engagement Summary(Task1)'!$J$2:$J$201=Social_Media_Platform_Analysis!$AA218)*('[1]Engagement Summary(Task1)'!$I$2:$I$201=Social_Media_Platform_Analysis!$Z218)*('[1]Engagement Summary(Task1)'!$H$2:$H$201=Social_Media_Platform_Analysis!$AB218)*('[1]Engagement Summary(Task1)'!$B$2:$B$201=Social_Media_Platform_Analysis!$W218),'[1]Engagement Summary(Task1)'!$G$2:$G$201)</f>
        <v>15476</v>
      </c>
    </row>
    <row r="219" spans="23:29" x14ac:dyDescent="0.25">
      <c r="W219" s="11" t="s">
        <v>21</v>
      </c>
      <c r="X219" s="15">
        <v>45552</v>
      </c>
      <c r="Y219" s="11">
        <f xml:space="preserve"> SUM([1]!Posts[[#This Row],[Likes]],[1]!Posts[[#This Row],[Shares]],[1]!Posts[[#This Row],[Comments]])</f>
        <v>1308</v>
      </c>
      <c r="Z219" s="11">
        <f t="shared" si="9"/>
        <v>9</v>
      </c>
      <c r="AA219" s="11">
        <f t="shared" si="10"/>
        <v>3</v>
      </c>
      <c r="AB219" s="11">
        <f t="shared" si="11"/>
        <v>2024</v>
      </c>
      <c r="AC219" s="11" cm="1">
        <f t="array" ref="AC219">_xlfn.XLOOKUP(1, ('[1]Engagement Summary(Task1)'!$J$2:$J$201=Social_Media_Platform_Analysis!$AA219)*('[1]Engagement Summary(Task1)'!$I$2:$I$201=Social_Media_Platform_Analysis!$Z219)*('[1]Engagement Summary(Task1)'!$H$2:$H$201=Social_Media_Platform_Analysis!$AB219)*('[1]Engagement Summary(Task1)'!$B$2:$B$201=Social_Media_Platform_Analysis!$W219),'[1]Engagement Summary(Task1)'!$G$2:$G$201)</f>
        <v>30270</v>
      </c>
    </row>
    <row r="220" spans="23:29" x14ac:dyDescent="0.25">
      <c r="W220" s="11" t="s">
        <v>21</v>
      </c>
      <c r="X220" s="15">
        <v>45553</v>
      </c>
      <c r="Y220" s="11">
        <f xml:space="preserve"> SUM([1]!Posts[[#This Row],[Likes]],[1]!Posts[[#This Row],[Shares]],[1]!Posts[[#This Row],[Comments]])</f>
        <v>2458</v>
      </c>
      <c r="Z220" s="11">
        <f t="shared" si="9"/>
        <v>9</v>
      </c>
      <c r="AA220" s="11">
        <f t="shared" si="10"/>
        <v>3</v>
      </c>
      <c r="AB220" s="11">
        <f t="shared" si="11"/>
        <v>2024</v>
      </c>
      <c r="AC220" s="11" cm="1">
        <f t="array" ref="AC220">_xlfn.XLOOKUP(1, ('[1]Engagement Summary(Task1)'!$J$2:$J$201=Social_Media_Platform_Analysis!$AA220)*('[1]Engagement Summary(Task1)'!$I$2:$I$201=Social_Media_Platform_Analysis!$Z220)*('[1]Engagement Summary(Task1)'!$H$2:$H$201=Social_Media_Platform_Analysis!$AB220)*('[1]Engagement Summary(Task1)'!$B$2:$B$201=Social_Media_Platform_Analysis!$W220),'[1]Engagement Summary(Task1)'!$G$2:$G$201)</f>
        <v>30270</v>
      </c>
    </row>
    <row r="221" spans="23:29" x14ac:dyDescent="0.25">
      <c r="W221" s="11" t="s">
        <v>21</v>
      </c>
      <c r="X221" s="15">
        <v>45567</v>
      </c>
      <c r="Y221" s="11">
        <f xml:space="preserve"> SUM([1]!Posts[[#This Row],[Likes]],[1]!Posts[[#This Row],[Shares]],[1]!Posts[[#This Row],[Comments]])</f>
        <v>4110</v>
      </c>
      <c r="Z221" s="11">
        <f t="shared" si="9"/>
        <v>10</v>
      </c>
      <c r="AA221" s="11">
        <f t="shared" si="10"/>
        <v>1</v>
      </c>
      <c r="AB221" s="11">
        <f t="shared" si="11"/>
        <v>2024</v>
      </c>
      <c r="AC221" s="11" cm="1">
        <f t="array" ref="AC221">_xlfn.XLOOKUP(1, ('[1]Engagement Summary(Task1)'!$J$2:$J$201=Social_Media_Platform_Analysis!$AA221)*('[1]Engagement Summary(Task1)'!$I$2:$I$201=Social_Media_Platform_Analysis!$Z221)*('[1]Engagement Summary(Task1)'!$H$2:$H$201=Social_Media_Platform_Analysis!$AB221)*('[1]Engagement Summary(Task1)'!$B$2:$B$201=Social_Media_Platform_Analysis!$W221),'[1]Engagement Summary(Task1)'!$G$2:$G$201)</f>
        <v>4509</v>
      </c>
    </row>
    <row r="222" spans="23:29" x14ac:dyDescent="0.25">
      <c r="W222" s="11" t="s">
        <v>21</v>
      </c>
      <c r="X222" s="15">
        <v>45569</v>
      </c>
      <c r="Y222" s="11">
        <f xml:space="preserve"> SUM([1]!Posts[[#This Row],[Likes]],[1]!Posts[[#This Row],[Shares]],[1]!Posts[[#This Row],[Comments]])</f>
        <v>3319</v>
      </c>
      <c r="Z222" s="11">
        <f t="shared" si="9"/>
        <v>10</v>
      </c>
      <c r="AA222" s="11">
        <f t="shared" si="10"/>
        <v>1</v>
      </c>
      <c r="AB222" s="11">
        <f t="shared" si="11"/>
        <v>2024</v>
      </c>
      <c r="AC222" s="11" cm="1">
        <f t="array" ref="AC222">_xlfn.XLOOKUP(1, ('[1]Engagement Summary(Task1)'!$J$2:$J$201=Social_Media_Platform_Analysis!$AA222)*('[1]Engagement Summary(Task1)'!$I$2:$I$201=Social_Media_Platform_Analysis!$Z222)*('[1]Engagement Summary(Task1)'!$H$2:$H$201=Social_Media_Platform_Analysis!$AB222)*('[1]Engagement Summary(Task1)'!$B$2:$B$201=Social_Media_Platform_Analysis!$W222),'[1]Engagement Summary(Task1)'!$G$2:$G$201)</f>
        <v>4509</v>
      </c>
    </row>
    <row r="223" spans="23:29" x14ac:dyDescent="0.25">
      <c r="W223" s="11" t="s">
        <v>21</v>
      </c>
      <c r="X223" s="15">
        <v>45570</v>
      </c>
      <c r="Y223" s="11">
        <f xml:space="preserve"> SUM([1]!Posts[[#This Row],[Likes]],[1]!Posts[[#This Row],[Shares]],[1]!Posts[[#This Row],[Comments]])</f>
        <v>4785</v>
      </c>
      <c r="Z223" s="11">
        <f t="shared" si="9"/>
        <v>10</v>
      </c>
      <c r="AA223" s="11">
        <f t="shared" si="10"/>
        <v>1</v>
      </c>
      <c r="AB223" s="11">
        <f t="shared" si="11"/>
        <v>2024</v>
      </c>
      <c r="AC223" s="11" cm="1">
        <f t="array" ref="AC223">_xlfn.XLOOKUP(1, ('[1]Engagement Summary(Task1)'!$J$2:$J$201=Social_Media_Platform_Analysis!$AA223)*('[1]Engagement Summary(Task1)'!$I$2:$I$201=Social_Media_Platform_Analysis!$Z223)*('[1]Engagement Summary(Task1)'!$H$2:$H$201=Social_Media_Platform_Analysis!$AB223)*('[1]Engagement Summary(Task1)'!$B$2:$B$201=Social_Media_Platform_Analysis!$W223),'[1]Engagement Summary(Task1)'!$G$2:$G$201)</f>
        <v>4509</v>
      </c>
    </row>
    <row r="224" spans="23:29" x14ac:dyDescent="0.25">
      <c r="W224" s="11" t="s">
        <v>21</v>
      </c>
      <c r="X224" s="15">
        <v>45586</v>
      </c>
      <c r="Y224" s="11">
        <f xml:space="preserve"> SUM([1]!Posts[[#This Row],[Likes]],[1]!Posts[[#This Row],[Shares]],[1]!Posts[[#This Row],[Comments]])</f>
        <v>4785</v>
      </c>
      <c r="Z224" s="11">
        <f t="shared" si="9"/>
        <v>10</v>
      </c>
      <c r="AA224" s="11">
        <f t="shared" si="10"/>
        <v>3</v>
      </c>
      <c r="AB224" s="11">
        <f t="shared" si="11"/>
        <v>2024</v>
      </c>
      <c r="AC224" s="11" cm="1">
        <f t="array" ref="AC224">_xlfn.XLOOKUP(1, ('[1]Engagement Summary(Task1)'!$J$2:$J$201=Social_Media_Platform_Analysis!$AA224)*('[1]Engagement Summary(Task1)'!$I$2:$I$201=Social_Media_Platform_Analysis!$Z224)*('[1]Engagement Summary(Task1)'!$H$2:$H$201=Social_Media_Platform_Analysis!$AB224)*('[1]Engagement Summary(Task1)'!$B$2:$B$201=Social_Media_Platform_Analysis!$W224),'[1]Engagement Summary(Task1)'!$G$2:$G$201)</f>
        <v>21208</v>
      </c>
    </row>
    <row r="225" spans="23:29" x14ac:dyDescent="0.25">
      <c r="W225" s="11" t="s">
        <v>21</v>
      </c>
      <c r="X225" s="15">
        <v>45586</v>
      </c>
      <c r="Y225" s="11">
        <f xml:space="preserve"> SUM([1]!Posts[[#This Row],[Likes]],[1]!Posts[[#This Row],[Shares]],[1]!Posts[[#This Row],[Comments]])</f>
        <v>1520</v>
      </c>
      <c r="Z225" s="11">
        <f t="shared" si="9"/>
        <v>10</v>
      </c>
      <c r="AA225" s="11">
        <f t="shared" si="10"/>
        <v>3</v>
      </c>
      <c r="AB225" s="11">
        <f t="shared" si="11"/>
        <v>2024</v>
      </c>
      <c r="AC225" s="11" cm="1">
        <f t="array" ref="AC225">_xlfn.XLOOKUP(1, ('[1]Engagement Summary(Task1)'!$J$2:$J$201=Social_Media_Platform_Analysis!$AA225)*('[1]Engagement Summary(Task1)'!$I$2:$I$201=Social_Media_Platform_Analysis!$Z225)*('[1]Engagement Summary(Task1)'!$H$2:$H$201=Social_Media_Platform_Analysis!$AB225)*('[1]Engagement Summary(Task1)'!$B$2:$B$201=Social_Media_Platform_Analysis!$W225),'[1]Engagement Summary(Task1)'!$G$2:$G$201)</f>
        <v>21208</v>
      </c>
    </row>
    <row r="226" spans="23:29" x14ac:dyDescent="0.25">
      <c r="W226" s="11" t="s">
        <v>21</v>
      </c>
      <c r="X226" s="15">
        <v>45587</v>
      </c>
      <c r="Y226" s="11">
        <f xml:space="preserve"> SUM([1]!Posts[[#This Row],[Likes]],[1]!Posts[[#This Row],[Shares]],[1]!Posts[[#This Row],[Comments]])</f>
        <v>4895</v>
      </c>
      <c r="Z226" s="11">
        <f t="shared" si="9"/>
        <v>10</v>
      </c>
      <c r="AA226" s="11">
        <f t="shared" si="10"/>
        <v>4</v>
      </c>
      <c r="AB226" s="11">
        <f t="shared" si="11"/>
        <v>2024</v>
      </c>
      <c r="AC226" s="11" cm="1">
        <f t="array" ref="AC226">_xlfn.XLOOKUP(1, ('[1]Engagement Summary(Task1)'!$J$2:$J$201=Social_Media_Platform_Analysis!$AA226)*('[1]Engagement Summary(Task1)'!$I$2:$I$201=Social_Media_Platform_Analysis!$Z226)*('[1]Engagement Summary(Task1)'!$H$2:$H$201=Social_Media_Platform_Analysis!$AB226)*('[1]Engagement Summary(Task1)'!$B$2:$B$201=Social_Media_Platform_Analysis!$W226),'[1]Engagement Summary(Task1)'!$G$2:$G$201)</f>
        <v>15827</v>
      </c>
    </row>
    <row r="227" spans="23:29" x14ac:dyDescent="0.25">
      <c r="W227" s="11" t="s">
        <v>21</v>
      </c>
      <c r="X227" s="15">
        <v>45600</v>
      </c>
      <c r="Y227" s="11">
        <f xml:space="preserve"> SUM([1]!Posts[[#This Row],[Likes]],[1]!Posts[[#This Row],[Shares]],[1]!Posts[[#This Row],[Comments]])</f>
        <v>4895</v>
      </c>
      <c r="Z227" s="11">
        <f t="shared" si="9"/>
        <v>11</v>
      </c>
      <c r="AA227" s="11">
        <f t="shared" si="10"/>
        <v>1</v>
      </c>
      <c r="AB227" s="11">
        <f t="shared" si="11"/>
        <v>2024</v>
      </c>
      <c r="AC227" s="11" cm="1">
        <f t="array" ref="AC227">_xlfn.XLOOKUP(1, ('[1]Engagement Summary(Task1)'!$J$2:$J$201=Social_Media_Platform_Analysis!$AA227)*('[1]Engagement Summary(Task1)'!$I$2:$I$201=Social_Media_Platform_Analysis!$Z227)*('[1]Engagement Summary(Task1)'!$H$2:$H$201=Social_Media_Platform_Analysis!$AB227)*('[1]Engagement Summary(Task1)'!$B$2:$B$201=Social_Media_Platform_Analysis!$W227),'[1]Engagement Summary(Task1)'!$G$2:$G$201)</f>
        <v>36095</v>
      </c>
    </row>
    <row r="228" spans="23:29" x14ac:dyDescent="0.25">
      <c r="W228" s="11" t="s">
        <v>21</v>
      </c>
      <c r="X228" s="15">
        <v>45603</v>
      </c>
      <c r="Y228" s="11">
        <f xml:space="preserve"> SUM([1]!Posts[[#This Row],[Likes]],[1]!Posts[[#This Row],[Shares]],[1]!Posts[[#This Row],[Comments]])</f>
        <v>3828</v>
      </c>
      <c r="Z228" s="11">
        <f t="shared" si="9"/>
        <v>11</v>
      </c>
      <c r="AA228" s="11">
        <f t="shared" si="10"/>
        <v>1</v>
      </c>
      <c r="AB228" s="11">
        <f t="shared" si="11"/>
        <v>2024</v>
      </c>
      <c r="AC228" s="11" cm="1">
        <f t="array" ref="AC228">_xlfn.XLOOKUP(1, ('[1]Engagement Summary(Task1)'!$J$2:$J$201=Social_Media_Platform_Analysis!$AA228)*('[1]Engagement Summary(Task1)'!$I$2:$I$201=Social_Media_Platform_Analysis!$Z228)*('[1]Engagement Summary(Task1)'!$H$2:$H$201=Social_Media_Platform_Analysis!$AB228)*('[1]Engagement Summary(Task1)'!$B$2:$B$201=Social_Media_Platform_Analysis!$W228),'[1]Engagement Summary(Task1)'!$G$2:$G$201)</f>
        <v>36095</v>
      </c>
    </row>
    <row r="229" spans="23:29" x14ac:dyDescent="0.25">
      <c r="W229" s="11" t="s">
        <v>21</v>
      </c>
      <c r="X229" s="15">
        <v>45608</v>
      </c>
      <c r="Y229" s="11">
        <f xml:space="preserve"> SUM([1]!Posts[[#This Row],[Likes]],[1]!Posts[[#This Row],[Shares]],[1]!Posts[[#This Row],[Comments]])</f>
        <v>3661</v>
      </c>
      <c r="Z229" s="11">
        <f t="shared" si="9"/>
        <v>11</v>
      </c>
      <c r="AA229" s="11">
        <f t="shared" si="10"/>
        <v>2</v>
      </c>
      <c r="AB229" s="11">
        <f t="shared" si="11"/>
        <v>2024</v>
      </c>
      <c r="AC229" s="11" cm="1">
        <f t="array" ref="AC229">_xlfn.XLOOKUP(1, ('[1]Engagement Summary(Task1)'!$J$2:$J$201=Social_Media_Platform_Analysis!$AA229)*('[1]Engagement Summary(Task1)'!$I$2:$I$201=Social_Media_Platform_Analysis!$Z229)*('[1]Engagement Summary(Task1)'!$H$2:$H$201=Social_Media_Platform_Analysis!$AB229)*('[1]Engagement Summary(Task1)'!$B$2:$B$201=Social_Media_Platform_Analysis!$W229),'[1]Engagement Summary(Task1)'!$G$2:$G$201)</f>
        <v>30428</v>
      </c>
    </row>
    <row r="230" spans="23:29" x14ac:dyDescent="0.25">
      <c r="W230" s="11" t="s">
        <v>21</v>
      </c>
      <c r="X230" s="15">
        <v>45610</v>
      </c>
      <c r="Y230" s="11">
        <f xml:space="preserve"> SUM([1]!Posts[[#This Row],[Likes]],[1]!Posts[[#This Row],[Shares]],[1]!Posts[[#This Row],[Comments]])</f>
        <v>3661</v>
      </c>
      <c r="Z230" s="11">
        <f t="shared" si="9"/>
        <v>11</v>
      </c>
      <c r="AA230" s="11">
        <f t="shared" si="10"/>
        <v>2</v>
      </c>
      <c r="AB230" s="11">
        <f t="shared" si="11"/>
        <v>2024</v>
      </c>
      <c r="AC230" s="11" cm="1">
        <f t="array" ref="AC230">_xlfn.XLOOKUP(1, ('[1]Engagement Summary(Task1)'!$J$2:$J$201=Social_Media_Platform_Analysis!$AA230)*('[1]Engagement Summary(Task1)'!$I$2:$I$201=Social_Media_Platform_Analysis!$Z230)*('[1]Engagement Summary(Task1)'!$H$2:$H$201=Social_Media_Platform_Analysis!$AB230)*('[1]Engagement Summary(Task1)'!$B$2:$B$201=Social_Media_Platform_Analysis!$W230),'[1]Engagement Summary(Task1)'!$G$2:$G$201)</f>
        <v>30428</v>
      </c>
    </row>
    <row r="231" spans="23:29" x14ac:dyDescent="0.25">
      <c r="W231" s="11" t="s">
        <v>21</v>
      </c>
      <c r="X231" s="15">
        <v>45618</v>
      </c>
      <c r="Y231" s="11">
        <f xml:space="preserve"> SUM([1]!Posts[[#This Row],[Likes]],[1]!Posts[[#This Row],[Shares]],[1]!Posts[[#This Row],[Comments]])</f>
        <v>1621</v>
      </c>
      <c r="Z231" s="11">
        <f t="shared" si="9"/>
        <v>11</v>
      </c>
      <c r="AA231" s="11">
        <f t="shared" si="10"/>
        <v>4</v>
      </c>
      <c r="AB231" s="11">
        <f t="shared" si="11"/>
        <v>2024</v>
      </c>
      <c r="AC231" s="11" cm="1">
        <f t="array" ref="AC231">_xlfn.XLOOKUP(1, ('[1]Engagement Summary(Task1)'!$J$2:$J$201=Social_Media_Platform_Analysis!$AA231)*('[1]Engagement Summary(Task1)'!$I$2:$I$201=Social_Media_Platform_Analysis!$Z231)*('[1]Engagement Summary(Task1)'!$H$2:$H$201=Social_Media_Platform_Analysis!$AB231)*('[1]Engagement Summary(Task1)'!$B$2:$B$201=Social_Media_Platform_Analysis!$W231),'[1]Engagement Summary(Task1)'!$G$2:$G$201)</f>
        <v>39530</v>
      </c>
    </row>
    <row r="232" spans="23:29" x14ac:dyDescent="0.25">
      <c r="W232" s="11" t="s">
        <v>21</v>
      </c>
      <c r="X232" s="15">
        <v>45622</v>
      </c>
      <c r="Y232" s="11">
        <f xml:space="preserve"> SUM([1]!Posts[[#This Row],[Likes]],[1]!Posts[[#This Row],[Shares]],[1]!Posts[[#This Row],[Comments]])</f>
        <v>2370</v>
      </c>
      <c r="Z232" s="11">
        <f t="shared" si="9"/>
        <v>11</v>
      </c>
      <c r="AA232" s="11">
        <f t="shared" si="10"/>
        <v>4</v>
      </c>
      <c r="AB232" s="11">
        <f t="shared" si="11"/>
        <v>2024</v>
      </c>
      <c r="AC232" s="11" cm="1">
        <f t="array" ref="AC232">_xlfn.XLOOKUP(1, ('[1]Engagement Summary(Task1)'!$J$2:$J$201=Social_Media_Platform_Analysis!$AA232)*('[1]Engagement Summary(Task1)'!$I$2:$I$201=Social_Media_Platform_Analysis!$Z232)*('[1]Engagement Summary(Task1)'!$H$2:$H$201=Social_Media_Platform_Analysis!$AB232)*('[1]Engagement Summary(Task1)'!$B$2:$B$201=Social_Media_Platform_Analysis!$W232),'[1]Engagement Summary(Task1)'!$G$2:$G$201)</f>
        <v>39530</v>
      </c>
    </row>
    <row r="233" spans="23:29" x14ac:dyDescent="0.25">
      <c r="W233" s="11" t="s">
        <v>21</v>
      </c>
      <c r="X233" s="15">
        <v>45631</v>
      </c>
      <c r="Y233" s="11">
        <f xml:space="preserve"> SUM([1]!Posts[[#This Row],[Likes]],[1]!Posts[[#This Row],[Shares]],[1]!Posts[[#This Row],[Comments]])</f>
        <v>4777</v>
      </c>
      <c r="Z233" s="11">
        <f t="shared" si="9"/>
        <v>12</v>
      </c>
      <c r="AA233" s="11">
        <f t="shared" si="10"/>
        <v>1</v>
      </c>
      <c r="AB233" s="11">
        <f t="shared" si="11"/>
        <v>2024</v>
      </c>
      <c r="AC233" s="11" cm="1">
        <f t="array" ref="AC233">_xlfn.XLOOKUP(1, ('[1]Engagement Summary(Task1)'!$J$2:$J$201=Social_Media_Platform_Analysis!$AA233)*('[1]Engagement Summary(Task1)'!$I$2:$I$201=Social_Media_Platform_Analysis!$Z233)*('[1]Engagement Summary(Task1)'!$H$2:$H$201=Social_Media_Platform_Analysis!$AB233)*('[1]Engagement Summary(Task1)'!$B$2:$B$201=Social_Media_Platform_Analysis!$W233),'[1]Engagement Summary(Task1)'!$G$2:$G$201)</f>
        <v>3455</v>
      </c>
    </row>
    <row r="234" spans="23:29" x14ac:dyDescent="0.25">
      <c r="W234" s="11" t="s">
        <v>21</v>
      </c>
      <c r="X234" s="15">
        <v>45637</v>
      </c>
      <c r="Y234" s="11">
        <f xml:space="preserve"> SUM([1]!Posts[[#This Row],[Likes]],[1]!Posts[[#This Row],[Shares]],[1]!Posts[[#This Row],[Comments]])</f>
        <v>3767</v>
      </c>
      <c r="Z234" s="11">
        <f t="shared" si="9"/>
        <v>12</v>
      </c>
      <c r="AA234" s="11">
        <f t="shared" si="10"/>
        <v>2</v>
      </c>
      <c r="AB234" s="11">
        <f t="shared" si="11"/>
        <v>2024</v>
      </c>
      <c r="AC234" s="11" cm="1">
        <f t="array" ref="AC234">_xlfn.XLOOKUP(1, ('[1]Engagement Summary(Task1)'!$J$2:$J$201=Social_Media_Platform_Analysis!$AA234)*('[1]Engagement Summary(Task1)'!$I$2:$I$201=Social_Media_Platform_Analysis!$Z234)*('[1]Engagement Summary(Task1)'!$H$2:$H$201=Social_Media_Platform_Analysis!$AB234)*('[1]Engagement Summary(Task1)'!$B$2:$B$201=Social_Media_Platform_Analysis!$W234),'[1]Engagement Summary(Task1)'!$G$2:$G$201)</f>
        <v>20861</v>
      </c>
    </row>
    <row r="235" spans="23:29" x14ac:dyDescent="0.25">
      <c r="W235" s="11" t="s">
        <v>21</v>
      </c>
      <c r="X235" s="15">
        <v>45648</v>
      </c>
      <c r="Y235" s="11">
        <f xml:space="preserve"> SUM([1]!Posts[[#This Row],[Likes]],[1]!Posts[[#This Row],[Shares]],[1]!Posts[[#This Row],[Comments]])</f>
        <v>1582</v>
      </c>
      <c r="Z235" s="11">
        <f t="shared" si="9"/>
        <v>12</v>
      </c>
      <c r="AA235" s="11">
        <f t="shared" si="10"/>
        <v>4</v>
      </c>
      <c r="AB235" s="11">
        <f t="shared" si="11"/>
        <v>2024</v>
      </c>
      <c r="AC235" s="11" cm="1">
        <f t="array" ref="AC235">_xlfn.XLOOKUP(1, ('[1]Engagement Summary(Task1)'!$J$2:$J$201=Social_Media_Platform_Analysis!$AA235)*('[1]Engagement Summary(Task1)'!$I$2:$I$201=Social_Media_Platform_Analysis!$Z235)*('[1]Engagement Summary(Task1)'!$H$2:$H$201=Social_Media_Platform_Analysis!$AB235)*('[1]Engagement Summary(Task1)'!$B$2:$B$201=Social_Media_Platform_Analysis!$W235),'[1]Engagement Summary(Task1)'!$G$2:$G$201)</f>
        <v>35359</v>
      </c>
    </row>
    <row r="236" spans="23:29" x14ac:dyDescent="0.25">
      <c r="W236" s="11" t="s">
        <v>21</v>
      </c>
      <c r="X236" s="15">
        <v>45649</v>
      </c>
      <c r="Y236" s="11">
        <f xml:space="preserve"> SUM([1]!Posts[[#This Row],[Likes]],[1]!Posts[[#This Row],[Shares]],[1]!Posts[[#This Row],[Comments]])</f>
        <v>5973</v>
      </c>
      <c r="Z236" s="11">
        <f t="shared" si="9"/>
        <v>12</v>
      </c>
      <c r="AA236" s="11">
        <f t="shared" si="10"/>
        <v>4</v>
      </c>
      <c r="AB236" s="11">
        <f t="shared" si="11"/>
        <v>2024</v>
      </c>
      <c r="AC236" s="11" cm="1">
        <f t="array" ref="AC236">_xlfn.XLOOKUP(1, ('[1]Engagement Summary(Task1)'!$J$2:$J$201=Social_Media_Platform_Analysis!$AA236)*('[1]Engagement Summary(Task1)'!$I$2:$I$201=Social_Media_Platform_Analysis!$Z236)*('[1]Engagement Summary(Task1)'!$H$2:$H$201=Social_Media_Platform_Analysis!$AB236)*('[1]Engagement Summary(Task1)'!$B$2:$B$201=Social_Media_Platform_Analysis!$W236),'[1]Engagement Summary(Task1)'!$G$2:$G$201)</f>
        <v>35359</v>
      </c>
    </row>
    <row r="237" spans="23:29" x14ac:dyDescent="0.25">
      <c r="W237" s="11" t="s">
        <v>21</v>
      </c>
      <c r="X237" s="15">
        <v>45649</v>
      </c>
      <c r="Y237" s="11">
        <f xml:space="preserve"> SUM([1]!Posts[[#This Row],[Likes]],[1]!Posts[[#This Row],[Shares]],[1]!Posts[[#This Row],[Comments]])</f>
        <v>1760</v>
      </c>
      <c r="Z237" s="11">
        <f t="shared" si="9"/>
        <v>12</v>
      </c>
      <c r="AA237" s="11">
        <f t="shared" si="10"/>
        <v>4</v>
      </c>
      <c r="AB237" s="11">
        <f t="shared" si="11"/>
        <v>2024</v>
      </c>
      <c r="AC237" s="11" cm="1">
        <f t="array" ref="AC237">_xlfn.XLOOKUP(1, ('[1]Engagement Summary(Task1)'!$J$2:$J$201=Social_Media_Platform_Analysis!$AA237)*('[1]Engagement Summary(Task1)'!$I$2:$I$201=Social_Media_Platform_Analysis!$Z237)*('[1]Engagement Summary(Task1)'!$H$2:$H$201=Social_Media_Platform_Analysis!$AB237)*('[1]Engagement Summary(Task1)'!$B$2:$B$201=Social_Media_Platform_Analysis!$W237),'[1]Engagement Summary(Task1)'!$G$2:$G$201)</f>
        <v>35359</v>
      </c>
    </row>
    <row r="238" spans="23:29" x14ac:dyDescent="0.25">
      <c r="W238" s="11" t="s">
        <v>21</v>
      </c>
      <c r="X238" s="15">
        <v>45650</v>
      </c>
      <c r="Y238" s="11">
        <f xml:space="preserve"> SUM([1]!Posts[[#This Row],[Likes]],[1]!Posts[[#This Row],[Shares]],[1]!Posts[[#This Row],[Comments]])</f>
        <v>5767</v>
      </c>
      <c r="Z238" s="11">
        <f t="shared" si="9"/>
        <v>12</v>
      </c>
      <c r="AA238" s="11">
        <f t="shared" si="10"/>
        <v>4</v>
      </c>
      <c r="AB238" s="11">
        <f t="shared" si="11"/>
        <v>2024</v>
      </c>
      <c r="AC238" s="11" cm="1">
        <f t="array" ref="AC238">_xlfn.XLOOKUP(1, ('[1]Engagement Summary(Task1)'!$J$2:$J$201=Social_Media_Platform_Analysis!$AA238)*('[1]Engagement Summary(Task1)'!$I$2:$I$201=Social_Media_Platform_Analysis!$Z238)*('[1]Engagement Summary(Task1)'!$H$2:$H$201=Social_Media_Platform_Analysis!$AB238)*('[1]Engagement Summary(Task1)'!$B$2:$B$201=Social_Media_Platform_Analysis!$W238),'[1]Engagement Summary(Task1)'!$G$2:$G$201)</f>
        <v>35359</v>
      </c>
    </row>
    <row r="239" spans="23:29" x14ac:dyDescent="0.25">
      <c r="W239" s="11" t="s">
        <v>21</v>
      </c>
      <c r="X239" s="15">
        <v>45655</v>
      </c>
      <c r="Y239" s="11">
        <f xml:space="preserve"> SUM([1]!Posts[[#This Row],[Likes]],[1]!Posts[[#This Row],[Shares]],[1]!Posts[[#This Row],[Comments]])</f>
        <v>2812</v>
      </c>
      <c r="Z239" s="11">
        <f t="shared" si="9"/>
        <v>12</v>
      </c>
      <c r="AA239" s="11">
        <f t="shared" si="10"/>
        <v>5</v>
      </c>
      <c r="AB239" s="11">
        <f t="shared" si="11"/>
        <v>2024</v>
      </c>
      <c r="AC239" s="11" cm="1">
        <f t="array" ref="AC239">_xlfn.XLOOKUP(1, ('[1]Engagement Summary(Task1)'!$J$2:$J$201=Social_Media_Platform_Analysis!$AA239)*('[1]Engagement Summary(Task1)'!$I$2:$I$201=Social_Media_Platform_Analysis!$Z239)*('[1]Engagement Summary(Task1)'!$H$2:$H$201=Social_Media_Platform_Analysis!$AB239)*('[1]Engagement Summary(Task1)'!$B$2:$B$201=Social_Media_Platform_Analysis!$W239),'[1]Engagement Summary(Task1)'!$G$2:$G$201)</f>
        <v>9118</v>
      </c>
    </row>
    <row r="240" spans="23:29" x14ac:dyDescent="0.25">
      <c r="W240" s="11" t="s">
        <v>21</v>
      </c>
      <c r="X240" s="15">
        <v>45655</v>
      </c>
      <c r="Y240" s="11">
        <f xml:space="preserve"> SUM([1]!Posts[[#This Row],[Likes]],[1]!Posts[[#This Row],[Shares]],[1]!Posts[[#This Row],[Comments]])</f>
        <v>1832</v>
      </c>
      <c r="Z240" s="11">
        <f t="shared" si="9"/>
        <v>12</v>
      </c>
      <c r="AA240" s="11">
        <f t="shared" si="10"/>
        <v>5</v>
      </c>
      <c r="AB240" s="11">
        <f t="shared" si="11"/>
        <v>2024</v>
      </c>
      <c r="AC240" s="11" cm="1">
        <f t="array" ref="AC240">_xlfn.XLOOKUP(1, ('[1]Engagement Summary(Task1)'!$J$2:$J$201=Social_Media_Platform_Analysis!$AA240)*('[1]Engagement Summary(Task1)'!$I$2:$I$201=Social_Media_Platform_Analysis!$Z240)*('[1]Engagement Summary(Task1)'!$H$2:$H$201=Social_Media_Platform_Analysis!$AB240)*('[1]Engagement Summary(Task1)'!$B$2:$B$201=Social_Media_Platform_Analysis!$W240),'[1]Engagement Summary(Task1)'!$G$2:$G$201)</f>
        <v>9118</v>
      </c>
    </row>
    <row r="241" spans="23:29" x14ac:dyDescent="0.25">
      <c r="W241" s="11" t="s">
        <v>21</v>
      </c>
      <c r="X241" s="15">
        <v>45658</v>
      </c>
      <c r="Y241" s="11">
        <f xml:space="preserve"> SUM([1]!Posts[[#This Row],[Likes]],[1]!Posts[[#This Row],[Shares]],[1]!Posts[[#This Row],[Comments]])</f>
        <v>1066</v>
      </c>
      <c r="Z241" s="11">
        <f t="shared" si="9"/>
        <v>1</v>
      </c>
      <c r="AA241" s="11">
        <f t="shared" si="10"/>
        <v>1</v>
      </c>
      <c r="AB241" s="11">
        <f t="shared" si="11"/>
        <v>2025</v>
      </c>
      <c r="AC241" s="11" cm="1">
        <f t="array" ref="AC241">_xlfn.XLOOKUP(1, ('[1]Engagement Summary(Task1)'!$J$2:$J$201=Social_Media_Platform_Analysis!$AA241)*('[1]Engagement Summary(Task1)'!$I$2:$I$201=Social_Media_Platform_Analysis!$Z241)*('[1]Engagement Summary(Task1)'!$H$2:$H$201=Social_Media_Platform_Analysis!$AB241)*('[1]Engagement Summary(Task1)'!$B$2:$B$201=Social_Media_Platform_Analysis!$W241),'[1]Engagement Summary(Task1)'!$G$2:$G$201)</f>
        <v>2798</v>
      </c>
    </row>
    <row r="242" spans="23:29" x14ac:dyDescent="0.25">
      <c r="W242" s="11" t="s">
        <v>21</v>
      </c>
      <c r="X242" s="15">
        <v>45658</v>
      </c>
      <c r="Y242" s="11">
        <f xml:space="preserve"> SUM([1]!Posts[[#This Row],[Likes]],[1]!Posts[[#This Row],[Shares]],[1]!Posts[[#This Row],[Comments]])</f>
        <v>4984</v>
      </c>
      <c r="Z242" s="11">
        <f t="shared" si="9"/>
        <v>1</v>
      </c>
      <c r="AA242" s="11">
        <f t="shared" si="10"/>
        <v>1</v>
      </c>
      <c r="AB242" s="11">
        <f t="shared" si="11"/>
        <v>2025</v>
      </c>
      <c r="AC242" s="11" cm="1">
        <f t="array" ref="AC242">_xlfn.XLOOKUP(1, ('[1]Engagement Summary(Task1)'!$J$2:$J$201=Social_Media_Platform_Analysis!$AA242)*('[1]Engagement Summary(Task1)'!$I$2:$I$201=Social_Media_Platform_Analysis!$Z242)*('[1]Engagement Summary(Task1)'!$H$2:$H$201=Social_Media_Platform_Analysis!$AB242)*('[1]Engagement Summary(Task1)'!$B$2:$B$201=Social_Media_Platform_Analysis!$W242),'[1]Engagement Summary(Task1)'!$G$2:$G$201)</f>
        <v>2798</v>
      </c>
    </row>
    <row r="243" spans="23:29" x14ac:dyDescent="0.25">
      <c r="W243" s="11" t="s">
        <v>21</v>
      </c>
      <c r="X243" s="15">
        <v>45667</v>
      </c>
      <c r="Y243" s="11">
        <f xml:space="preserve"> SUM([1]!Posts[[#This Row],[Likes]],[1]!Posts[[#This Row],[Shares]],[1]!Posts[[#This Row],[Comments]])</f>
        <v>2830</v>
      </c>
      <c r="Z243" s="11">
        <f t="shared" si="9"/>
        <v>1</v>
      </c>
      <c r="AA243" s="11">
        <f t="shared" si="10"/>
        <v>2</v>
      </c>
      <c r="AB243" s="11">
        <f t="shared" si="11"/>
        <v>2025</v>
      </c>
      <c r="AC243" s="11" cm="1">
        <f t="array" ref="AC243">_xlfn.XLOOKUP(1, ('[1]Engagement Summary(Task1)'!$J$2:$J$201=Social_Media_Platform_Analysis!$AA243)*('[1]Engagement Summary(Task1)'!$I$2:$I$201=Social_Media_Platform_Analysis!$Z243)*('[1]Engagement Summary(Task1)'!$H$2:$H$201=Social_Media_Platform_Analysis!$AB243)*('[1]Engagement Summary(Task1)'!$B$2:$B$201=Social_Media_Platform_Analysis!$W243),'[1]Engagement Summary(Task1)'!$G$2:$G$201)</f>
        <v>12350</v>
      </c>
    </row>
    <row r="244" spans="23:29" x14ac:dyDescent="0.25">
      <c r="W244" s="11" t="s">
        <v>21</v>
      </c>
      <c r="X244" s="15">
        <v>45667</v>
      </c>
      <c r="Y244" s="11">
        <f xml:space="preserve"> SUM([1]!Posts[[#This Row],[Likes]],[1]!Posts[[#This Row],[Shares]],[1]!Posts[[#This Row],[Comments]])</f>
        <v>2830</v>
      </c>
      <c r="Z244" s="11">
        <f t="shared" si="9"/>
        <v>1</v>
      </c>
      <c r="AA244" s="11">
        <f t="shared" si="10"/>
        <v>2</v>
      </c>
      <c r="AB244" s="11">
        <f t="shared" si="11"/>
        <v>2025</v>
      </c>
      <c r="AC244" s="11" cm="1">
        <f t="array" ref="AC244">_xlfn.XLOOKUP(1, ('[1]Engagement Summary(Task1)'!$J$2:$J$201=Social_Media_Platform_Analysis!$AA244)*('[1]Engagement Summary(Task1)'!$I$2:$I$201=Social_Media_Platform_Analysis!$Z244)*('[1]Engagement Summary(Task1)'!$H$2:$H$201=Social_Media_Platform_Analysis!$AB244)*('[1]Engagement Summary(Task1)'!$B$2:$B$201=Social_Media_Platform_Analysis!$W244),'[1]Engagement Summary(Task1)'!$G$2:$G$201)</f>
        <v>12350</v>
      </c>
    </row>
    <row r="245" spans="23:29" x14ac:dyDescent="0.25">
      <c r="W245" s="11" t="s">
        <v>21</v>
      </c>
      <c r="X245" s="15">
        <v>45671</v>
      </c>
      <c r="Y245" s="11">
        <f xml:space="preserve"> SUM([1]!Posts[[#This Row],[Likes]],[1]!Posts[[#This Row],[Shares]],[1]!Posts[[#This Row],[Comments]])</f>
        <v>3733</v>
      </c>
      <c r="Z245" s="11">
        <f t="shared" si="9"/>
        <v>1</v>
      </c>
      <c r="AA245" s="11">
        <f t="shared" si="10"/>
        <v>2</v>
      </c>
      <c r="AB245" s="11">
        <f t="shared" si="11"/>
        <v>2025</v>
      </c>
      <c r="AC245" s="11" cm="1">
        <f t="array" ref="AC245">_xlfn.XLOOKUP(1, ('[1]Engagement Summary(Task1)'!$J$2:$J$201=Social_Media_Platform_Analysis!$AA245)*('[1]Engagement Summary(Task1)'!$I$2:$I$201=Social_Media_Platform_Analysis!$Z245)*('[1]Engagement Summary(Task1)'!$H$2:$H$201=Social_Media_Platform_Analysis!$AB245)*('[1]Engagement Summary(Task1)'!$B$2:$B$201=Social_Media_Platform_Analysis!$W245),'[1]Engagement Summary(Task1)'!$G$2:$G$201)</f>
        <v>12350</v>
      </c>
    </row>
    <row r="246" spans="23:29" x14ac:dyDescent="0.25">
      <c r="W246" s="11" t="s">
        <v>21</v>
      </c>
      <c r="X246" s="15">
        <v>45672</v>
      </c>
      <c r="Y246" s="11">
        <f xml:space="preserve"> SUM([1]!Posts[[#This Row],[Likes]],[1]!Posts[[#This Row],[Shares]],[1]!Posts[[#This Row],[Comments]])</f>
        <v>1352</v>
      </c>
      <c r="Z246" s="11">
        <f t="shared" si="9"/>
        <v>1</v>
      </c>
      <c r="AA246" s="11">
        <f t="shared" si="10"/>
        <v>3</v>
      </c>
      <c r="AB246" s="11">
        <f t="shared" si="11"/>
        <v>2025</v>
      </c>
      <c r="AC246" s="11" cm="1">
        <f t="array" ref="AC246">_xlfn.XLOOKUP(1, ('[1]Engagement Summary(Task1)'!$J$2:$J$201=Social_Media_Platform_Analysis!$AA246)*('[1]Engagement Summary(Task1)'!$I$2:$I$201=Social_Media_Platform_Analysis!$Z246)*('[1]Engagement Summary(Task1)'!$H$2:$H$201=Social_Media_Platform_Analysis!$AB246)*('[1]Engagement Summary(Task1)'!$B$2:$B$201=Social_Media_Platform_Analysis!$W246),'[1]Engagement Summary(Task1)'!$G$2:$G$201)</f>
        <v>45380</v>
      </c>
    </row>
    <row r="247" spans="23:29" x14ac:dyDescent="0.25">
      <c r="W247" s="11" t="s">
        <v>21</v>
      </c>
      <c r="X247" s="15">
        <v>45685</v>
      </c>
      <c r="Y247" s="11">
        <f xml:space="preserve"> SUM([1]!Posts[[#This Row],[Likes]],[1]!Posts[[#This Row],[Shares]],[1]!Posts[[#This Row],[Comments]])</f>
        <v>5029</v>
      </c>
      <c r="Z247" s="11">
        <f t="shared" si="9"/>
        <v>1</v>
      </c>
      <c r="AA247" s="11">
        <f t="shared" si="10"/>
        <v>4</v>
      </c>
      <c r="AB247" s="11">
        <f t="shared" si="11"/>
        <v>2025</v>
      </c>
      <c r="AC247" s="11" cm="1">
        <f t="array" ref="AC247">_xlfn.XLOOKUP(1, ('[1]Engagement Summary(Task1)'!$J$2:$J$201=Social_Media_Platform_Analysis!$AA247)*('[1]Engagement Summary(Task1)'!$I$2:$I$201=Social_Media_Platform_Analysis!$Z247)*('[1]Engagement Summary(Task1)'!$H$2:$H$201=Social_Media_Platform_Analysis!$AB247)*('[1]Engagement Summary(Task1)'!$B$2:$B$201=Social_Media_Platform_Analysis!$W247),'[1]Engagement Summary(Task1)'!$G$2:$G$201)</f>
        <v>19119</v>
      </c>
    </row>
    <row r="248" spans="23:29" x14ac:dyDescent="0.25">
      <c r="W248" s="11" t="s">
        <v>21</v>
      </c>
      <c r="X248" s="15">
        <v>45687</v>
      </c>
      <c r="Y248" s="11">
        <f xml:space="preserve"> SUM([1]!Posts[[#This Row],[Likes]],[1]!Posts[[#This Row],[Shares]],[1]!Posts[[#This Row],[Comments]])</f>
        <v>2223</v>
      </c>
      <c r="Z248" s="11">
        <f t="shared" si="9"/>
        <v>1</v>
      </c>
      <c r="AA248" s="11">
        <f t="shared" si="10"/>
        <v>5</v>
      </c>
      <c r="AB248" s="11">
        <f t="shared" si="11"/>
        <v>2025</v>
      </c>
      <c r="AC248" s="11">
        <v>0</v>
      </c>
    </row>
    <row r="249" spans="23:29" x14ac:dyDescent="0.25">
      <c r="W249" s="11" t="s">
        <v>21</v>
      </c>
      <c r="X249" s="15">
        <v>45699</v>
      </c>
      <c r="Y249" s="11">
        <f xml:space="preserve"> SUM([1]!Posts[[#This Row],[Likes]],[1]!Posts[[#This Row],[Shares]],[1]!Posts[[#This Row],[Comments]])</f>
        <v>525</v>
      </c>
      <c r="Z249" s="11">
        <f t="shared" si="9"/>
        <v>2</v>
      </c>
      <c r="AA249" s="11">
        <f t="shared" si="10"/>
        <v>2</v>
      </c>
      <c r="AB249" s="11">
        <f t="shared" si="11"/>
        <v>2025</v>
      </c>
      <c r="AC249" s="11" cm="1">
        <f t="array" ref="AC249">_xlfn.XLOOKUP(1, ('[1]Engagement Summary(Task1)'!$J$2:$J$201=Social_Media_Platform_Analysis!$AA249)*('[1]Engagement Summary(Task1)'!$I$2:$I$201=Social_Media_Platform_Analysis!$Z249)*('[1]Engagement Summary(Task1)'!$H$2:$H$201=Social_Media_Platform_Analysis!$AB249)*('[1]Engagement Summary(Task1)'!$B$2:$B$201=Social_Media_Platform_Analysis!$W249),'[1]Engagement Summary(Task1)'!$G$2:$G$201)</f>
        <v>42832</v>
      </c>
    </row>
    <row r="250" spans="23:29" x14ac:dyDescent="0.25">
      <c r="W250" s="11" t="s">
        <v>21</v>
      </c>
      <c r="X250" s="15">
        <v>45699</v>
      </c>
      <c r="Y250" s="11">
        <f xml:space="preserve"> SUM([1]!Posts[[#This Row],[Likes]],[1]!Posts[[#This Row],[Shares]],[1]!Posts[[#This Row],[Comments]])</f>
        <v>5900</v>
      </c>
      <c r="Z250" s="11">
        <f t="shared" si="9"/>
        <v>2</v>
      </c>
      <c r="AA250" s="11">
        <f t="shared" si="10"/>
        <v>2</v>
      </c>
      <c r="AB250" s="11">
        <f t="shared" si="11"/>
        <v>2025</v>
      </c>
      <c r="AC250" s="11" cm="1">
        <f t="array" ref="AC250">_xlfn.XLOOKUP(1, ('[1]Engagement Summary(Task1)'!$J$2:$J$201=Social_Media_Platform_Analysis!$AA250)*('[1]Engagement Summary(Task1)'!$I$2:$I$201=Social_Media_Platform_Analysis!$Z250)*('[1]Engagement Summary(Task1)'!$H$2:$H$201=Social_Media_Platform_Analysis!$AB250)*('[1]Engagement Summary(Task1)'!$B$2:$B$201=Social_Media_Platform_Analysis!$W250),'[1]Engagement Summary(Task1)'!$G$2:$G$201)</f>
        <v>42832</v>
      </c>
    </row>
    <row r="251" spans="23:29" x14ac:dyDescent="0.25">
      <c r="W251" s="11" t="s">
        <v>21</v>
      </c>
      <c r="X251" s="15">
        <v>45704</v>
      </c>
      <c r="Y251" s="11">
        <f xml:space="preserve"> SUM([1]!Posts[[#This Row],[Likes]],[1]!Posts[[#This Row],[Shares]],[1]!Posts[[#This Row],[Comments]])</f>
        <v>5782</v>
      </c>
      <c r="Z251" s="11">
        <f t="shared" si="9"/>
        <v>2</v>
      </c>
      <c r="AA251" s="11">
        <f t="shared" si="10"/>
        <v>3</v>
      </c>
      <c r="AB251" s="11">
        <f t="shared" si="11"/>
        <v>2025</v>
      </c>
      <c r="AC251" s="11" cm="1">
        <f t="array" ref="AC251">_xlfn.XLOOKUP(1, ('[1]Engagement Summary(Task1)'!$J$2:$J$201=Social_Media_Platform_Analysis!$AA251)*('[1]Engagement Summary(Task1)'!$I$2:$I$201=Social_Media_Platform_Analysis!$Z251)*('[1]Engagement Summary(Task1)'!$H$2:$H$201=Social_Media_Platform_Analysis!$AB251)*('[1]Engagement Summary(Task1)'!$B$2:$B$201=Social_Media_Platform_Analysis!$W251),'[1]Engagement Summary(Task1)'!$G$2:$G$201)</f>
        <v>37636</v>
      </c>
    </row>
    <row r="252" spans="23:29" x14ac:dyDescent="0.25">
      <c r="W252" s="11" t="s">
        <v>21</v>
      </c>
      <c r="X252" s="15">
        <v>45707</v>
      </c>
      <c r="Y252" s="11">
        <f xml:space="preserve"> SUM([1]!Posts[[#This Row],[Likes]],[1]!Posts[[#This Row],[Shares]],[1]!Posts[[#This Row],[Comments]])</f>
        <v>3975</v>
      </c>
      <c r="Z252" s="11">
        <f t="shared" si="9"/>
        <v>2</v>
      </c>
      <c r="AA252" s="11">
        <f t="shared" si="10"/>
        <v>3</v>
      </c>
      <c r="AB252" s="11">
        <f t="shared" si="11"/>
        <v>2025</v>
      </c>
      <c r="AC252" s="11" cm="1">
        <f t="array" ref="AC252">_xlfn.XLOOKUP(1, ('[1]Engagement Summary(Task1)'!$J$2:$J$201=Social_Media_Platform_Analysis!$AA252)*('[1]Engagement Summary(Task1)'!$I$2:$I$201=Social_Media_Platform_Analysis!$Z252)*('[1]Engagement Summary(Task1)'!$H$2:$H$201=Social_Media_Platform_Analysis!$AB252)*('[1]Engagement Summary(Task1)'!$B$2:$B$201=Social_Media_Platform_Analysis!$W252),'[1]Engagement Summary(Task1)'!$G$2:$G$201)</f>
        <v>37636</v>
      </c>
    </row>
    <row r="253" spans="23:29" x14ac:dyDescent="0.25">
      <c r="W253" s="11" t="s">
        <v>21</v>
      </c>
      <c r="X253" s="15">
        <v>45708</v>
      </c>
      <c r="Y253" s="11">
        <f xml:space="preserve"> SUM([1]!Posts[[#This Row],[Likes]],[1]!Posts[[#This Row],[Shares]],[1]!Posts[[#This Row],[Comments]])</f>
        <v>1839</v>
      </c>
      <c r="Z253" s="11">
        <f t="shared" si="9"/>
        <v>2</v>
      </c>
      <c r="AA253" s="11">
        <f t="shared" si="10"/>
        <v>3</v>
      </c>
      <c r="AB253" s="11">
        <f t="shared" si="11"/>
        <v>2025</v>
      </c>
      <c r="AC253" s="11" cm="1">
        <f t="array" ref="AC253">_xlfn.XLOOKUP(1, ('[1]Engagement Summary(Task1)'!$J$2:$J$201=Social_Media_Platform_Analysis!$AA253)*('[1]Engagement Summary(Task1)'!$I$2:$I$201=Social_Media_Platform_Analysis!$Z253)*('[1]Engagement Summary(Task1)'!$H$2:$H$201=Social_Media_Platform_Analysis!$AB253)*('[1]Engagement Summary(Task1)'!$B$2:$B$201=Social_Media_Platform_Analysis!$W253),'[1]Engagement Summary(Task1)'!$G$2:$G$201)</f>
        <v>37636</v>
      </c>
    </row>
    <row r="254" spans="23:29" x14ac:dyDescent="0.25">
      <c r="W254" s="11" t="s">
        <v>21</v>
      </c>
      <c r="X254" s="15">
        <v>45712</v>
      </c>
      <c r="Y254" s="11">
        <f xml:space="preserve"> SUM([1]!Posts[[#This Row],[Likes]],[1]!Posts[[#This Row],[Shares]],[1]!Posts[[#This Row],[Comments]])</f>
        <v>1071</v>
      </c>
      <c r="Z254" s="11">
        <f t="shared" si="9"/>
        <v>2</v>
      </c>
      <c r="AA254" s="11">
        <f t="shared" si="10"/>
        <v>4</v>
      </c>
      <c r="AB254" s="11">
        <f t="shared" si="11"/>
        <v>2025</v>
      </c>
      <c r="AC254" s="11" cm="1">
        <f t="array" ref="AC254">_xlfn.XLOOKUP(1, ('[1]Engagement Summary(Task1)'!$J$2:$J$201=Social_Media_Platform_Analysis!$AA254)*('[1]Engagement Summary(Task1)'!$I$2:$I$201=Social_Media_Platform_Analysis!$Z254)*('[1]Engagement Summary(Task1)'!$H$2:$H$201=Social_Media_Platform_Analysis!$AB254)*('[1]Engagement Summary(Task1)'!$B$2:$B$201=Social_Media_Platform_Analysis!$W254),'[1]Engagement Summary(Task1)'!$G$2:$G$201)</f>
        <v>8718</v>
      </c>
    </row>
    <row r="255" spans="23:29" x14ac:dyDescent="0.25">
      <c r="W255" s="11" t="s">
        <v>21</v>
      </c>
      <c r="X255" s="15">
        <v>45718</v>
      </c>
      <c r="Y255" s="11">
        <f xml:space="preserve"> SUM([1]!Posts[[#This Row],[Likes]],[1]!Posts[[#This Row],[Shares]],[1]!Posts[[#This Row],[Comments]])</f>
        <v>2781</v>
      </c>
      <c r="Z255" s="11">
        <f t="shared" si="9"/>
        <v>3</v>
      </c>
      <c r="AA255" s="11">
        <f t="shared" si="10"/>
        <v>1</v>
      </c>
      <c r="AB255" s="11">
        <f t="shared" si="11"/>
        <v>2025</v>
      </c>
      <c r="AC255" s="11" cm="1">
        <f t="array" ref="AC255">_xlfn.XLOOKUP(1, ('[1]Engagement Summary(Task1)'!$J$2:$J$201=Social_Media_Platform_Analysis!$AA255)*('[1]Engagement Summary(Task1)'!$I$2:$I$201=Social_Media_Platform_Analysis!$Z255)*('[1]Engagement Summary(Task1)'!$H$2:$H$201=Social_Media_Platform_Analysis!$AB255)*('[1]Engagement Summary(Task1)'!$B$2:$B$201=Social_Media_Platform_Analysis!$W255),'[1]Engagement Summary(Task1)'!$G$2:$G$201)</f>
        <v>10002</v>
      </c>
    </row>
    <row r="256" spans="23:29" x14ac:dyDescent="0.25">
      <c r="W256" s="11" t="s">
        <v>21</v>
      </c>
      <c r="X256" s="15">
        <v>45722</v>
      </c>
      <c r="Y256" s="11">
        <f xml:space="preserve"> SUM([1]!Posts[[#This Row],[Likes]],[1]!Posts[[#This Row],[Shares]],[1]!Posts[[#This Row],[Comments]])</f>
        <v>1836</v>
      </c>
      <c r="Z256" s="11">
        <f t="shared" si="9"/>
        <v>3</v>
      </c>
      <c r="AA256" s="11">
        <f t="shared" si="10"/>
        <v>1</v>
      </c>
      <c r="AB256" s="11">
        <f t="shared" si="11"/>
        <v>2025</v>
      </c>
      <c r="AC256" s="11" cm="1">
        <f t="array" ref="AC256">_xlfn.XLOOKUP(1, ('[1]Engagement Summary(Task1)'!$J$2:$J$201=Social_Media_Platform_Analysis!$AA256)*('[1]Engagement Summary(Task1)'!$I$2:$I$201=Social_Media_Platform_Analysis!$Z256)*('[1]Engagement Summary(Task1)'!$H$2:$H$201=Social_Media_Platform_Analysis!$AB256)*('[1]Engagement Summary(Task1)'!$B$2:$B$201=Social_Media_Platform_Analysis!$W256),'[1]Engagement Summary(Task1)'!$G$2:$G$201)</f>
        <v>10002</v>
      </c>
    </row>
    <row r="257" spans="23:29" x14ac:dyDescent="0.25">
      <c r="W257" s="11" t="s">
        <v>21</v>
      </c>
      <c r="X257" s="15">
        <v>45723</v>
      </c>
      <c r="Y257" s="11">
        <f xml:space="preserve"> SUM([1]!Posts[[#This Row],[Likes]],[1]!Posts[[#This Row],[Shares]],[1]!Posts[[#This Row],[Comments]])</f>
        <v>4513</v>
      </c>
      <c r="Z257" s="11">
        <f t="shared" si="9"/>
        <v>3</v>
      </c>
      <c r="AA257" s="11">
        <f t="shared" si="10"/>
        <v>1</v>
      </c>
      <c r="AB257" s="11">
        <f t="shared" si="11"/>
        <v>2025</v>
      </c>
      <c r="AC257" s="11" cm="1">
        <f t="array" ref="AC257">_xlfn.XLOOKUP(1, ('[1]Engagement Summary(Task1)'!$J$2:$J$201=Social_Media_Platform_Analysis!$AA257)*('[1]Engagement Summary(Task1)'!$I$2:$I$201=Social_Media_Platform_Analysis!$Z257)*('[1]Engagement Summary(Task1)'!$H$2:$H$201=Social_Media_Platform_Analysis!$AB257)*('[1]Engagement Summary(Task1)'!$B$2:$B$201=Social_Media_Platform_Analysis!$W257),'[1]Engagement Summary(Task1)'!$G$2:$G$201)</f>
        <v>10002</v>
      </c>
    </row>
    <row r="258" spans="23:29" x14ac:dyDescent="0.25">
      <c r="W258" s="11" t="s">
        <v>21</v>
      </c>
      <c r="X258" s="15">
        <v>45724</v>
      </c>
      <c r="Y258" s="11">
        <f xml:space="preserve"> SUM([1]!Posts[[#This Row],[Likes]],[1]!Posts[[#This Row],[Shares]],[1]!Posts[[#This Row],[Comments]])</f>
        <v>1627</v>
      </c>
      <c r="Z258" s="11">
        <f t="shared" si="9"/>
        <v>3</v>
      </c>
      <c r="AA258" s="11">
        <f t="shared" si="10"/>
        <v>2</v>
      </c>
      <c r="AB258" s="11">
        <f t="shared" si="11"/>
        <v>2025</v>
      </c>
      <c r="AC258" s="11" cm="1">
        <f t="array" ref="AC258">_xlfn.XLOOKUP(1, ('[1]Engagement Summary(Task1)'!$J$2:$J$201=Social_Media_Platform_Analysis!$AA258)*('[1]Engagement Summary(Task1)'!$I$2:$I$201=Social_Media_Platform_Analysis!$Z258)*('[1]Engagement Summary(Task1)'!$H$2:$H$201=Social_Media_Platform_Analysis!$AB258)*('[1]Engagement Summary(Task1)'!$B$2:$B$201=Social_Media_Platform_Analysis!$W258),'[1]Engagement Summary(Task1)'!$G$2:$G$201)</f>
        <v>14722</v>
      </c>
    </row>
    <row r="259" spans="23:29" x14ac:dyDescent="0.25">
      <c r="W259" s="11" t="s">
        <v>21</v>
      </c>
      <c r="X259" s="15">
        <v>45727</v>
      </c>
      <c r="Y259" s="11">
        <f xml:space="preserve"> SUM([1]!Posts[[#This Row],[Likes]],[1]!Posts[[#This Row],[Shares]],[1]!Posts[[#This Row],[Comments]])</f>
        <v>1627</v>
      </c>
      <c r="Z259" s="11">
        <f t="shared" si="9"/>
        <v>3</v>
      </c>
      <c r="AA259" s="11">
        <f t="shared" si="10"/>
        <v>2</v>
      </c>
      <c r="AB259" s="11">
        <f t="shared" si="11"/>
        <v>2025</v>
      </c>
      <c r="AC259" s="11" cm="1">
        <f t="array" ref="AC259">_xlfn.XLOOKUP(1, ('[1]Engagement Summary(Task1)'!$J$2:$J$201=Social_Media_Platform_Analysis!$AA259)*('[1]Engagement Summary(Task1)'!$I$2:$I$201=Social_Media_Platform_Analysis!$Z259)*('[1]Engagement Summary(Task1)'!$H$2:$H$201=Social_Media_Platform_Analysis!$AB259)*('[1]Engagement Summary(Task1)'!$B$2:$B$201=Social_Media_Platform_Analysis!$W259),'[1]Engagement Summary(Task1)'!$G$2:$G$201)</f>
        <v>14722</v>
      </c>
    </row>
    <row r="260" spans="23:29" x14ac:dyDescent="0.25">
      <c r="W260" s="11" t="s">
        <v>21</v>
      </c>
      <c r="X260" s="15">
        <v>45735</v>
      </c>
      <c r="Y260" s="11">
        <f xml:space="preserve"> SUM([1]!Posts[[#This Row],[Likes]],[1]!Posts[[#This Row],[Shares]],[1]!Posts[[#This Row],[Comments]])</f>
        <v>1627</v>
      </c>
      <c r="Z260" s="11">
        <f t="shared" si="9"/>
        <v>3</v>
      </c>
      <c r="AA260" s="11">
        <f t="shared" si="10"/>
        <v>3</v>
      </c>
      <c r="AB260" s="11">
        <f t="shared" si="11"/>
        <v>2025</v>
      </c>
      <c r="AC260" s="11" cm="1">
        <f t="array" ref="AC260">_xlfn.XLOOKUP(1, ('[1]Engagement Summary(Task1)'!$J$2:$J$201=Social_Media_Platform_Analysis!$AA260)*('[1]Engagement Summary(Task1)'!$I$2:$I$201=Social_Media_Platform_Analysis!$Z260)*('[1]Engagement Summary(Task1)'!$H$2:$H$201=Social_Media_Platform_Analysis!$AB260)*('[1]Engagement Summary(Task1)'!$B$2:$B$201=Social_Media_Platform_Analysis!$W260),'[1]Engagement Summary(Task1)'!$G$2:$G$201)</f>
        <v>14068</v>
      </c>
    </row>
    <row r="261" spans="23:29" x14ac:dyDescent="0.25">
      <c r="W261" s="11" t="s">
        <v>21</v>
      </c>
      <c r="X261" s="15">
        <v>45735</v>
      </c>
      <c r="Y261" s="11">
        <f xml:space="preserve"> SUM([1]!Posts[[#This Row],[Likes]],[1]!Posts[[#This Row],[Shares]],[1]!Posts[[#This Row],[Comments]])</f>
        <v>4816</v>
      </c>
      <c r="Z261" s="11">
        <f t="shared" si="9"/>
        <v>3</v>
      </c>
      <c r="AA261" s="11">
        <f t="shared" si="10"/>
        <v>3</v>
      </c>
      <c r="AB261" s="11">
        <f t="shared" si="11"/>
        <v>2025</v>
      </c>
      <c r="AC261" s="11" cm="1">
        <f t="array" ref="AC261">_xlfn.XLOOKUP(1, ('[1]Engagement Summary(Task1)'!$J$2:$J$201=Social_Media_Platform_Analysis!$AA261)*('[1]Engagement Summary(Task1)'!$I$2:$I$201=Social_Media_Platform_Analysis!$Z261)*('[1]Engagement Summary(Task1)'!$H$2:$H$201=Social_Media_Platform_Analysis!$AB261)*('[1]Engagement Summary(Task1)'!$B$2:$B$201=Social_Media_Platform_Analysis!$W261),'[1]Engagement Summary(Task1)'!$G$2:$G$201)</f>
        <v>14068</v>
      </c>
    </row>
    <row r="262" spans="23:29" x14ac:dyDescent="0.25">
      <c r="W262" s="11" t="s">
        <v>21</v>
      </c>
      <c r="X262" s="15">
        <v>45741</v>
      </c>
      <c r="Y262" s="11">
        <f xml:space="preserve"> SUM([1]!Posts[[#This Row],[Likes]],[1]!Posts[[#This Row],[Shares]],[1]!Posts[[#This Row],[Comments]])</f>
        <v>5487</v>
      </c>
      <c r="Z262" s="11">
        <f t="shared" si="9"/>
        <v>3</v>
      </c>
      <c r="AA262" s="11">
        <f t="shared" si="10"/>
        <v>4</v>
      </c>
      <c r="AB262" s="11">
        <f t="shared" si="11"/>
        <v>2025</v>
      </c>
      <c r="AC262" s="11" cm="1">
        <f t="array" ref="AC262">_xlfn.XLOOKUP(1, ('[1]Engagement Summary(Task1)'!$J$2:$J$201=Social_Media_Platform_Analysis!$AA262)*('[1]Engagement Summary(Task1)'!$I$2:$I$201=Social_Media_Platform_Analysis!$Z262)*('[1]Engagement Summary(Task1)'!$H$2:$H$201=Social_Media_Platform_Analysis!$AB262)*('[1]Engagement Summary(Task1)'!$B$2:$B$201=Social_Media_Platform_Analysis!$W262),'[1]Engagement Summary(Task1)'!$G$2:$G$201)</f>
        <v>21061</v>
      </c>
    </row>
    <row r="263" spans="23:29" x14ac:dyDescent="0.25">
      <c r="W263" s="11" t="s">
        <v>21</v>
      </c>
      <c r="X263" s="15">
        <v>45745</v>
      </c>
      <c r="Y263" s="11">
        <f xml:space="preserve"> SUM([1]!Posts[[#This Row],[Likes]],[1]!Posts[[#This Row],[Shares]],[1]!Posts[[#This Row],[Comments]])</f>
        <v>5248</v>
      </c>
      <c r="Z263" s="11">
        <f t="shared" ref="Z263:Z326" si="12">MONTH(X263)</f>
        <v>3</v>
      </c>
      <c r="AA263" s="11">
        <f t="shared" ref="AA263:AA326" si="13">INT((DAY(X263)-1)/7)+1</f>
        <v>5</v>
      </c>
      <c r="AB263" s="11">
        <f t="shared" ref="AB263:AB326" si="14">YEAR(X263)</f>
        <v>2025</v>
      </c>
      <c r="AC263" s="11" cm="1">
        <f t="array" ref="AC263">_xlfn.XLOOKUP(1, ('[1]Engagement Summary(Task1)'!$J$2:$J$201=Social_Media_Platform_Analysis!$AA263)*('[1]Engagement Summary(Task1)'!$I$2:$I$201=Social_Media_Platform_Analysis!$Z263)*('[1]Engagement Summary(Task1)'!$H$2:$H$201=Social_Media_Platform_Analysis!$AB263)*('[1]Engagement Summary(Task1)'!$B$2:$B$201=Social_Media_Platform_Analysis!$W263),'[1]Engagement Summary(Task1)'!$G$2:$G$201)</f>
        <v>11805</v>
      </c>
    </row>
    <row r="264" spans="23:29" x14ac:dyDescent="0.25">
      <c r="W264" s="11" t="s">
        <v>21</v>
      </c>
      <c r="X264" s="15">
        <v>45750</v>
      </c>
      <c r="Y264" s="11">
        <f xml:space="preserve"> SUM([1]!Posts[[#This Row],[Likes]],[1]!Posts[[#This Row],[Shares]],[1]!Posts[[#This Row],[Comments]])</f>
        <v>1443</v>
      </c>
      <c r="Z264" s="11">
        <f t="shared" si="12"/>
        <v>4</v>
      </c>
      <c r="AA264" s="11">
        <f t="shared" si="13"/>
        <v>1</v>
      </c>
      <c r="AB264" s="11">
        <f t="shared" si="14"/>
        <v>2025</v>
      </c>
      <c r="AC264" s="11" cm="1">
        <f t="array" ref="AC264">_xlfn.XLOOKUP(1, ('[1]Engagement Summary(Task1)'!$J$2:$J$201=Social_Media_Platform_Analysis!$AA264)*('[1]Engagement Summary(Task1)'!$I$2:$I$201=Social_Media_Platform_Analysis!$Z264)*('[1]Engagement Summary(Task1)'!$H$2:$H$201=Social_Media_Platform_Analysis!$AB264)*('[1]Engagement Summary(Task1)'!$B$2:$B$201=Social_Media_Platform_Analysis!$W264),'[1]Engagement Summary(Task1)'!$G$2:$G$201)</f>
        <v>42964</v>
      </c>
    </row>
    <row r="265" spans="23:29" x14ac:dyDescent="0.25">
      <c r="W265" s="11" t="s">
        <v>21</v>
      </c>
      <c r="X265" s="15">
        <v>45750</v>
      </c>
      <c r="Y265" s="11">
        <f xml:space="preserve"> SUM([1]!Posts[[#This Row],[Likes]],[1]!Posts[[#This Row],[Shares]],[1]!Posts[[#This Row],[Comments]])</f>
        <v>1443</v>
      </c>
      <c r="Z265" s="11">
        <f t="shared" si="12"/>
        <v>4</v>
      </c>
      <c r="AA265" s="11">
        <f t="shared" si="13"/>
        <v>1</v>
      </c>
      <c r="AB265" s="11">
        <f t="shared" si="14"/>
        <v>2025</v>
      </c>
      <c r="AC265" s="11" cm="1">
        <f t="array" ref="AC265">_xlfn.XLOOKUP(1, ('[1]Engagement Summary(Task1)'!$J$2:$J$201=Social_Media_Platform_Analysis!$AA265)*('[1]Engagement Summary(Task1)'!$I$2:$I$201=Social_Media_Platform_Analysis!$Z265)*('[1]Engagement Summary(Task1)'!$H$2:$H$201=Social_Media_Platform_Analysis!$AB265)*('[1]Engagement Summary(Task1)'!$B$2:$B$201=Social_Media_Platform_Analysis!$W265),'[1]Engagement Summary(Task1)'!$G$2:$G$201)</f>
        <v>42964</v>
      </c>
    </row>
    <row r="266" spans="23:29" x14ac:dyDescent="0.25">
      <c r="W266" s="11" t="s">
        <v>21</v>
      </c>
      <c r="X266" s="15">
        <v>45757</v>
      </c>
      <c r="Y266" s="11">
        <f xml:space="preserve"> SUM([1]!Posts[[#This Row],[Likes]],[1]!Posts[[#This Row],[Shares]],[1]!Posts[[#This Row],[Comments]])</f>
        <v>1443</v>
      </c>
      <c r="Z266" s="11">
        <f t="shared" si="12"/>
        <v>4</v>
      </c>
      <c r="AA266" s="11">
        <f t="shared" si="13"/>
        <v>2</v>
      </c>
      <c r="AB266" s="11">
        <f t="shared" si="14"/>
        <v>2025</v>
      </c>
      <c r="AC266" s="11" cm="1">
        <f t="array" ref="AC266">_xlfn.XLOOKUP(1, ('[1]Engagement Summary(Task1)'!$J$2:$J$201=Social_Media_Platform_Analysis!$AA266)*('[1]Engagement Summary(Task1)'!$I$2:$I$201=Social_Media_Platform_Analysis!$Z266)*('[1]Engagement Summary(Task1)'!$H$2:$H$201=Social_Media_Platform_Analysis!$AB266)*('[1]Engagement Summary(Task1)'!$B$2:$B$201=Social_Media_Platform_Analysis!$W266),'[1]Engagement Summary(Task1)'!$G$2:$G$201)</f>
        <v>11035</v>
      </c>
    </row>
    <row r="267" spans="23:29" x14ac:dyDescent="0.25">
      <c r="W267" s="11" t="s">
        <v>21</v>
      </c>
      <c r="X267" s="15">
        <v>45771</v>
      </c>
      <c r="Y267" s="11">
        <f xml:space="preserve"> SUM([1]!Posts[[#This Row],[Likes]],[1]!Posts[[#This Row],[Shares]],[1]!Posts[[#This Row],[Comments]])</f>
        <v>5367</v>
      </c>
      <c r="Z267" s="11">
        <f t="shared" si="12"/>
        <v>4</v>
      </c>
      <c r="AA267" s="11">
        <f t="shared" si="13"/>
        <v>4</v>
      </c>
      <c r="AB267" s="11">
        <f t="shared" si="14"/>
        <v>2025</v>
      </c>
      <c r="AC267" s="11" cm="1">
        <f t="array" ref="AC267">_xlfn.XLOOKUP(1, ('[1]Engagement Summary(Task1)'!$J$2:$J$201=Social_Media_Platform_Analysis!$AA267)*('[1]Engagement Summary(Task1)'!$I$2:$I$201=Social_Media_Platform_Analysis!$Z267)*('[1]Engagement Summary(Task1)'!$H$2:$H$201=Social_Media_Platform_Analysis!$AB267)*('[1]Engagement Summary(Task1)'!$B$2:$B$201=Social_Media_Platform_Analysis!$W267),'[1]Engagement Summary(Task1)'!$G$2:$G$201)</f>
        <v>32500</v>
      </c>
    </row>
    <row r="268" spans="23:29" x14ac:dyDescent="0.25">
      <c r="W268" s="11" t="s">
        <v>21</v>
      </c>
      <c r="X268" s="15">
        <v>45771</v>
      </c>
      <c r="Y268" s="11">
        <f xml:space="preserve"> SUM([1]!Posts[[#This Row],[Likes]],[1]!Posts[[#This Row],[Shares]],[1]!Posts[[#This Row],[Comments]])</f>
        <v>5297</v>
      </c>
      <c r="Z268" s="11">
        <f t="shared" si="12"/>
        <v>4</v>
      </c>
      <c r="AA268" s="11">
        <f t="shared" si="13"/>
        <v>4</v>
      </c>
      <c r="AB268" s="11">
        <f t="shared" si="14"/>
        <v>2025</v>
      </c>
      <c r="AC268" s="11" cm="1">
        <f t="array" ref="AC268">_xlfn.XLOOKUP(1, ('[1]Engagement Summary(Task1)'!$J$2:$J$201=Social_Media_Platform_Analysis!$AA268)*('[1]Engagement Summary(Task1)'!$I$2:$I$201=Social_Media_Platform_Analysis!$Z268)*('[1]Engagement Summary(Task1)'!$H$2:$H$201=Social_Media_Platform_Analysis!$AB268)*('[1]Engagement Summary(Task1)'!$B$2:$B$201=Social_Media_Platform_Analysis!$W268),'[1]Engagement Summary(Task1)'!$G$2:$G$201)</f>
        <v>32500</v>
      </c>
    </row>
    <row r="269" spans="23:29" x14ac:dyDescent="0.25">
      <c r="W269" s="11" t="s">
        <v>21</v>
      </c>
      <c r="X269" s="15">
        <v>45771</v>
      </c>
      <c r="Y269" s="11">
        <f xml:space="preserve"> SUM([1]!Posts[[#This Row],[Likes]],[1]!Posts[[#This Row],[Shares]],[1]!Posts[[#This Row],[Comments]])</f>
        <v>4878</v>
      </c>
      <c r="Z269" s="11">
        <f t="shared" si="12"/>
        <v>4</v>
      </c>
      <c r="AA269" s="11">
        <f t="shared" si="13"/>
        <v>4</v>
      </c>
      <c r="AB269" s="11">
        <f t="shared" si="14"/>
        <v>2025</v>
      </c>
      <c r="AC269" s="11" cm="1">
        <f t="array" ref="AC269">_xlfn.XLOOKUP(1, ('[1]Engagement Summary(Task1)'!$J$2:$J$201=Social_Media_Platform_Analysis!$AA269)*('[1]Engagement Summary(Task1)'!$I$2:$I$201=Social_Media_Platform_Analysis!$Z269)*('[1]Engagement Summary(Task1)'!$H$2:$H$201=Social_Media_Platform_Analysis!$AB269)*('[1]Engagement Summary(Task1)'!$B$2:$B$201=Social_Media_Platform_Analysis!$W269),'[1]Engagement Summary(Task1)'!$G$2:$G$201)</f>
        <v>32500</v>
      </c>
    </row>
    <row r="270" spans="23:29" x14ac:dyDescent="0.25">
      <c r="W270" s="11" t="s">
        <v>21</v>
      </c>
      <c r="X270" s="15">
        <v>45775</v>
      </c>
      <c r="Y270" s="11">
        <f xml:space="preserve"> SUM([1]!Posts[[#This Row],[Likes]],[1]!Posts[[#This Row],[Shares]],[1]!Posts[[#This Row],[Comments]])</f>
        <v>6029</v>
      </c>
      <c r="Z270" s="11">
        <f t="shared" si="12"/>
        <v>4</v>
      </c>
      <c r="AA270" s="11">
        <f t="shared" si="13"/>
        <v>4</v>
      </c>
      <c r="AB270" s="11">
        <f t="shared" si="14"/>
        <v>2025</v>
      </c>
      <c r="AC270" s="11" cm="1">
        <f t="array" ref="AC270">_xlfn.XLOOKUP(1, ('[1]Engagement Summary(Task1)'!$J$2:$J$201=Social_Media_Platform_Analysis!$AA270)*('[1]Engagement Summary(Task1)'!$I$2:$I$201=Social_Media_Platform_Analysis!$Z270)*('[1]Engagement Summary(Task1)'!$H$2:$H$201=Social_Media_Platform_Analysis!$AB270)*('[1]Engagement Summary(Task1)'!$B$2:$B$201=Social_Media_Platform_Analysis!$W270),'[1]Engagement Summary(Task1)'!$G$2:$G$201)</f>
        <v>32500</v>
      </c>
    </row>
    <row r="271" spans="23:29" x14ac:dyDescent="0.25">
      <c r="W271" s="11" t="s">
        <v>21</v>
      </c>
      <c r="X271" s="15">
        <v>45776</v>
      </c>
      <c r="Y271" s="11">
        <f xml:space="preserve"> SUM([1]!Posts[[#This Row],[Likes]],[1]!Posts[[#This Row],[Shares]],[1]!Posts[[#This Row],[Comments]])</f>
        <v>5057</v>
      </c>
      <c r="Z271" s="11">
        <f t="shared" si="12"/>
        <v>4</v>
      </c>
      <c r="AA271" s="11">
        <f t="shared" si="13"/>
        <v>5</v>
      </c>
      <c r="AB271" s="11">
        <f t="shared" si="14"/>
        <v>2025</v>
      </c>
      <c r="AC271" s="11">
        <v>0</v>
      </c>
    </row>
    <row r="272" spans="23:29" x14ac:dyDescent="0.25">
      <c r="W272" s="11" t="s">
        <v>21</v>
      </c>
      <c r="X272" s="15">
        <v>45779</v>
      </c>
      <c r="Y272" s="11">
        <f xml:space="preserve"> SUM([1]!Posts[[#This Row],[Likes]],[1]!Posts[[#This Row],[Shares]],[1]!Posts[[#This Row],[Comments]])</f>
        <v>1514</v>
      </c>
      <c r="Z272" s="11">
        <f t="shared" si="12"/>
        <v>5</v>
      </c>
      <c r="AA272" s="11">
        <f t="shared" si="13"/>
        <v>1</v>
      </c>
      <c r="AB272" s="11">
        <f t="shared" si="14"/>
        <v>2025</v>
      </c>
      <c r="AC272" s="11" cm="1">
        <f t="array" ref="AC272">_xlfn.XLOOKUP(1, ('[1]Engagement Summary(Task1)'!$J$2:$J$201=Social_Media_Platform_Analysis!$AA272)*('[1]Engagement Summary(Task1)'!$I$2:$I$201=Social_Media_Platform_Analysis!$Z272)*('[1]Engagement Summary(Task1)'!$H$2:$H$201=Social_Media_Platform_Analysis!$AB272)*('[1]Engagement Summary(Task1)'!$B$2:$B$201=Social_Media_Platform_Analysis!$W272),'[1]Engagement Summary(Task1)'!$G$2:$G$201)</f>
        <v>16149</v>
      </c>
    </row>
    <row r="273" spans="23:29" x14ac:dyDescent="0.25">
      <c r="W273" s="11" t="s">
        <v>21</v>
      </c>
      <c r="X273" s="15">
        <v>45783</v>
      </c>
      <c r="Y273" s="11">
        <f xml:space="preserve"> SUM([1]!Posts[[#This Row],[Likes]],[1]!Posts[[#This Row],[Shares]],[1]!Posts[[#This Row],[Comments]])</f>
        <v>4234</v>
      </c>
      <c r="Z273" s="11">
        <f t="shared" si="12"/>
        <v>5</v>
      </c>
      <c r="AA273" s="11">
        <f t="shared" si="13"/>
        <v>1</v>
      </c>
      <c r="AB273" s="11">
        <f t="shared" si="14"/>
        <v>2025</v>
      </c>
      <c r="AC273" s="11" cm="1">
        <f t="array" ref="AC273">_xlfn.XLOOKUP(1, ('[1]Engagement Summary(Task1)'!$J$2:$J$201=Social_Media_Platform_Analysis!$AA273)*('[1]Engagement Summary(Task1)'!$I$2:$I$201=Social_Media_Platform_Analysis!$Z273)*('[1]Engagement Summary(Task1)'!$H$2:$H$201=Social_Media_Platform_Analysis!$AB273)*('[1]Engagement Summary(Task1)'!$B$2:$B$201=Social_Media_Platform_Analysis!$W273),'[1]Engagement Summary(Task1)'!$G$2:$G$201)</f>
        <v>16149</v>
      </c>
    </row>
    <row r="274" spans="23:29" x14ac:dyDescent="0.25">
      <c r="W274" s="11" t="s">
        <v>21</v>
      </c>
      <c r="X274" s="15">
        <v>45783</v>
      </c>
      <c r="Y274" s="11">
        <f xml:space="preserve"> SUM([1]!Posts[[#This Row],[Likes]],[1]!Posts[[#This Row],[Shares]],[1]!Posts[[#This Row],[Comments]])</f>
        <v>4234</v>
      </c>
      <c r="Z274" s="11">
        <f t="shared" si="12"/>
        <v>5</v>
      </c>
      <c r="AA274" s="11">
        <f t="shared" si="13"/>
        <v>1</v>
      </c>
      <c r="AB274" s="11">
        <f t="shared" si="14"/>
        <v>2025</v>
      </c>
      <c r="AC274" s="11" cm="1">
        <f t="array" ref="AC274">_xlfn.XLOOKUP(1, ('[1]Engagement Summary(Task1)'!$J$2:$J$201=Social_Media_Platform_Analysis!$AA274)*('[1]Engagement Summary(Task1)'!$I$2:$I$201=Social_Media_Platform_Analysis!$Z274)*('[1]Engagement Summary(Task1)'!$H$2:$H$201=Social_Media_Platform_Analysis!$AB274)*('[1]Engagement Summary(Task1)'!$B$2:$B$201=Social_Media_Platform_Analysis!$W274),'[1]Engagement Summary(Task1)'!$G$2:$G$201)</f>
        <v>16149</v>
      </c>
    </row>
    <row r="275" spans="23:29" x14ac:dyDescent="0.25">
      <c r="W275" s="11" t="s">
        <v>21</v>
      </c>
      <c r="X275" s="15">
        <v>45783</v>
      </c>
      <c r="Y275" s="11">
        <f xml:space="preserve"> SUM([1]!Posts[[#This Row],[Likes]],[1]!Posts[[#This Row],[Shares]],[1]!Posts[[#This Row],[Comments]])</f>
        <v>4234</v>
      </c>
      <c r="Z275" s="11">
        <f t="shared" si="12"/>
        <v>5</v>
      </c>
      <c r="AA275" s="11">
        <f t="shared" si="13"/>
        <v>1</v>
      </c>
      <c r="AB275" s="11">
        <f t="shared" si="14"/>
        <v>2025</v>
      </c>
      <c r="AC275" s="11" cm="1">
        <f t="array" ref="AC275">_xlfn.XLOOKUP(1, ('[1]Engagement Summary(Task1)'!$J$2:$J$201=Social_Media_Platform_Analysis!$AA275)*('[1]Engagement Summary(Task1)'!$I$2:$I$201=Social_Media_Platform_Analysis!$Z275)*('[1]Engagement Summary(Task1)'!$H$2:$H$201=Social_Media_Platform_Analysis!$AB275)*('[1]Engagement Summary(Task1)'!$B$2:$B$201=Social_Media_Platform_Analysis!$W275),'[1]Engagement Summary(Task1)'!$G$2:$G$201)</f>
        <v>16149</v>
      </c>
    </row>
    <row r="276" spans="23:29" x14ac:dyDescent="0.25">
      <c r="W276" s="11" t="s">
        <v>21</v>
      </c>
      <c r="X276" s="15">
        <v>45786</v>
      </c>
      <c r="Y276" s="11">
        <f xml:space="preserve"> SUM([1]!Posts[[#This Row],[Likes]],[1]!Posts[[#This Row],[Shares]],[1]!Posts[[#This Row],[Comments]])</f>
        <v>1165</v>
      </c>
      <c r="Z276" s="11">
        <f t="shared" si="12"/>
        <v>5</v>
      </c>
      <c r="AA276" s="11">
        <f t="shared" si="13"/>
        <v>2</v>
      </c>
      <c r="AB276" s="11">
        <f t="shared" si="14"/>
        <v>2025</v>
      </c>
      <c r="AC276" s="11" cm="1">
        <f t="array" ref="AC276">_xlfn.XLOOKUP(1, ('[1]Engagement Summary(Task1)'!$J$2:$J$201=Social_Media_Platform_Analysis!$AA276)*('[1]Engagement Summary(Task1)'!$I$2:$I$201=Social_Media_Platform_Analysis!$Z276)*('[1]Engagement Summary(Task1)'!$H$2:$H$201=Social_Media_Platform_Analysis!$AB276)*('[1]Engagement Summary(Task1)'!$B$2:$B$201=Social_Media_Platform_Analysis!$W276),'[1]Engagement Summary(Task1)'!$G$2:$G$201)</f>
        <v>4007</v>
      </c>
    </row>
    <row r="277" spans="23:29" x14ac:dyDescent="0.25">
      <c r="W277" s="11" t="s">
        <v>21</v>
      </c>
      <c r="X277" s="15">
        <v>45788</v>
      </c>
      <c r="Y277" s="11">
        <f xml:space="preserve"> SUM([1]!Posts[[#This Row],[Likes]],[1]!Posts[[#This Row],[Shares]],[1]!Posts[[#This Row],[Comments]])</f>
        <v>1306</v>
      </c>
      <c r="Z277" s="11">
        <f t="shared" si="12"/>
        <v>5</v>
      </c>
      <c r="AA277" s="11">
        <f t="shared" si="13"/>
        <v>2</v>
      </c>
      <c r="AB277" s="11">
        <f t="shared" si="14"/>
        <v>2025</v>
      </c>
      <c r="AC277" s="11" cm="1">
        <f t="array" ref="AC277">_xlfn.XLOOKUP(1, ('[1]Engagement Summary(Task1)'!$J$2:$J$201=Social_Media_Platform_Analysis!$AA277)*('[1]Engagement Summary(Task1)'!$I$2:$I$201=Social_Media_Platform_Analysis!$Z277)*('[1]Engagement Summary(Task1)'!$H$2:$H$201=Social_Media_Platform_Analysis!$AB277)*('[1]Engagement Summary(Task1)'!$B$2:$B$201=Social_Media_Platform_Analysis!$W277),'[1]Engagement Summary(Task1)'!$G$2:$G$201)</f>
        <v>4007</v>
      </c>
    </row>
    <row r="278" spans="23:29" x14ac:dyDescent="0.25">
      <c r="W278" s="11" t="s">
        <v>21</v>
      </c>
      <c r="X278" s="15">
        <v>45788</v>
      </c>
      <c r="Y278" s="11">
        <f xml:space="preserve"> SUM([1]!Posts[[#This Row],[Likes]],[1]!Posts[[#This Row],[Shares]],[1]!Posts[[#This Row],[Comments]])</f>
        <v>5022</v>
      </c>
      <c r="Z278" s="11">
        <f t="shared" si="12"/>
        <v>5</v>
      </c>
      <c r="AA278" s="11">
        <f t="shared" si="13"/>
        <v>2</v>
      </c>
      <c r="AB278" s="11">
        <f t="shared" si="14"/>
        <v>2025</v>
      </c>
      <c r="AC278" s="11" cm="1">
        <f t="array" ref="AC278">_xlfn.XLOOKUP(1, ('[1]Engagement Summary(Task1)'!$J$2:$J$201=Social_Media_Platform_Analysis!$AA278)*('[1]Engagement Summary(Task1)'!$I$2:$I$201=Social_Media_Platform_Analysis!$Z278)*('[1]Engagement Summary(Task1)'!$H$2:$H$201=Social_Media_Platform_Analysis!$AB278)*('[1]Engagement Summary(Task1)'!$B$2:$B$201=Social_Media_Platform_Analysis!$W278),'[1]Engagement Summary(Task1)'!$G$2:$G$201)</f>
        <v>4007</v>
      </c>
    </row>
    <row r="279" spans="23:29" x14ac:dyDescent="0.25">
      <c r="W279" s="11" t="s">
        <v>22</v>
      </c>
      <c r="X279" s="15">
        <v>45448</v>
      </c>
      <c r="Y279" s="11">
        <f xml:space="preserve"> SUM([1]!Posts[[#This Row],[Likes]],[1]!Posts[[#This Row],[Shares]],[1]!Posts[[#This Row],[Comments]])</f>
        <v>2560</v>
      </c>
      <c r="Z279" s="11">
        <f t="shared" si="12"/>
        <v>6</v>
      </c>
      <c r="AA279" s="11">
        <f t="shared" si="13"/>
        <v>1</v>
      </c>
      <c r="AB279" s="11">
        <f t="shared" si="14"/>
        <v>2024</v>
      </c>
      <c r="AC279" s="11" cm="1">
        <f t="array" ref="AC279">_xlfn.XLOOKUP(1, ('[1]Engagement Summary(Task1)'!$J$2:$J$201=Social_Media_Platform_Analysis!$AA279)*('[1]Engagement Summary(Task1)'!$I$2:$I$201=Social_Media_Platform_Analysis!$Z279)*('[1]Engagement Summary(Task1)'!$H$2:$H$201=Social_Media_Platform_Analysis!$AB279)*('[1]Engagement Summary(Task1)'!$B$2:$B$201=Social_Media_Platform_Analysis!$W279),'[1]Engagement Summary(Task1)'!$G$2:$G$201)</f>
        <v>30671</v>
      </c>
    </row>
    <row r="280" spans="23:29" x14ac:dyDescent="0.25">
      <c r="W280" s="11" t="s">
        <v>22</v>
      </c>
      <c r="X280" s="15">
        <v>45448</v>
      </c>
      <c r="Y280" s="11">
        <f xml:space="preserve"> SUM([1]!Posts[[#This Row],[Likes]],[1]!Posts[[#This Row],[Shares]],[1]!Posts[[#This Row],[Comments]])</f>
        <v>2634</v>
      </c>
      <c r="Z280" s="11">
        <f t="shared" si="12"/>
        <v>6</v>
      </c>
      <c r="AA280" s="11">
        <f t="shared" si="13"/>
        <v>1</v>
      </c>
      <c r="AB280" s="11">
        <f t="shared" si="14"/>
        <v>2024</v>
      </c>
      <c r="AC280" s="11" cm="1">
        <f t="array" ref="AC280">_xlfn.XLOOKUP(1, ('[1]Engagement Summary(Task1)'!$J$2:$J$201=Social_Media_Platform_Analysis!$AA280)*('[1]Engagement Summary(Task1)'!$I$2:$I$201=Social_Media_Platform_Analysis!$Z280)*('[1]Engagement Summary(Task1)'!$H$2:$H$201=Social_Media_Platform_Analysis!$AB280)*('[1]Engagement Summary(Task1)'!$B$2:$B$201=Social_Media_Platform_Analysis!$W280),'[1]Engagement Summary(Task1)'!$G$2:$G$201)</f>
        <v>30671</v>
      </c>
    </row>
    <row r="281" spans="23:29" x14ac:dyDescent="0.25">
      <c r="W281" s="11" t="s">
        <v>22</v>
      </c>
      <c r="X281" s="15">
        <v>45449</v>
      </c>
      <c r="Y281" s="11">
        <f xml:space="preserve"> SUM([1]!Posts[[#This Row],[Likes]],[1]!Posts[[#This Row],[Shares]],[1]!Posts[[#This Row],[Comments]])</f>
        <v>4612</v>
      </c>
      <c r="Z281" s="11">
        <f t="shared" si="12"/>
        <v>6</v>
      </c>
      <c r="AA281" s="11">
        <f t="shared" si="13"/>
        <v>1</v>
      </c>
      <c r="AB281" s="11">
        <f t="shared" si="14"/>
        <v>2024</v>
      </c>
      <c r="AC281" s="11" cm="1">
        <f t="array" ref="AC281">_xlfn.XLOOKUP(1, ('[1]Engagement Summary(Task1)'!$J$2:$J$201=Social_Media_Platform_Analysis!$AA281)*('[1]Engagement Summary(Task1)'!$I$2:$I$201=Social_Media_Platform_Analysis!$Z281)*('[1]Engagement Summary(Task1)'!$H$2:$H$201=Social_Media_Platform_Analysis!$AB281)*('[1]Engagement Summary(Task1)'!$B$2:$B$201=Social_Media_Platform_Analysis!$W281),'[1]Engagement Summary(Task1)'!$G$2:$G$201)</f>
        <v>30671</v>
      </c>
    </row>
    <row r="282" spans="23:29" x14ac:dyDescent="0.25">
      <c r="W282" s="11" t="s">
        <v>22</v>
      </c>
      <c r="X282" s="15">
        <v>45464</v>
      </c>
      <c r="Y282" s="11">
        <f xml:space="preserve"> SUM([1]!Posts[[#This Row],[Likes]],[1]!Posts[[#This Row],[Shares]],[1]!Posts[[#This Row],[Comments]])</f>
        <v>2871</v>
      </c>
      <c r="Z282" s="11">
        <f t="shared" si="12"/>
        <v>6</v>
      </c>
      <c r="AA282" s="11">
        <f t="shared" si="13"/>
        <v>3</v>
      </c>
      <c r="AB282" s="11">
        <f t="shared" si="14"/>
        <v>2024</v>
      </c>
      <c r="AC282" s="11" cm="1">
        <f t="array" ref="AC282">_xlfn.XLOOKUP(1, ('[1]Engagement Summary(Task1)'!$J$2:$J$201=Social_Media_Platform_Analysis!$AA282)*('[1]Engagement Summary(Task1)'!$I$2:$I$201=Social_Media_Platform_Analysis!$Z282)*('[1]Engagement Summary(Task1)'!$H$2:$H$201=Social_Media_Platform_Analysis!$AB282)*('[1]Engagement Summary(Task1)'!$B$2:$B$201=Social_Media_Platform_Analysis!$W282),'[1]Engagement Summary(Task1)'!$G$2:$G$201)</f>
        <v>24313</v>
      </c>
    </row>
    <row r="283" spans="23:29" x14ac:dyDescent="0.25">
      <c r="W283" s="11" t="s">
        <v>22</v>
      </c>
      <c r="X283" s="15">
        <v>45467</v>
      </c>
      <c r="Y283" s="11">
        <f xml:space="preserve"> SUM([1]!Posts[[#This Row],[Likes]],[1]!Posts[[#This Row],[Shares]],[1]!Posts[[#This Row],[Comments]])</f>
        <v>4519</v>
      </c>
      <c r="Z283" s="11">
        <f t="shared" si="12"/>
        <v>6</v>
      </c>
      <c r="AA283" s="11">
        <f t="shared" si="13"/>
        <v>4</v>
      </c>
      <c r="AB283" s="11">
        <f t="shared" si="14"/>
        <v>2024</v>
      </c>
      <c r="AC283" s="11" cm="1">
        <f t="array" ref="AC283">_xlfn.XLOOKUP(1, ('[1]Engagement Summary(Task1)'!$J$2:$J$201=Social_Media_Platform_Analysis!$AA283)*('[1]Engagement Summary(Task1)'!$I$2:$I$201=Social_Media_Platform_Analysis!$Z283)*('[1]Engagement Summary(Task1)'!$H$2:$H$201=Social_Media_Platform_Analysis!$AB283)*('[1]Engagement Summary(Task1)'!$B$2:$B$201=Social_Media_Platform_Analysis!$W283),'[1]Engagement Summary(Task1)'!$G$2:$G$201)</f>
        <v>1783</v>
      </c>
    </row>
    <row r="284" spans="23:29" x14ac:dyDescent="0.25">
      <c r="W284" s="11" t="s">
        <v>22</v>
      </c>
      <c r="X284" s="15">
        <v>45469</v>
      </c>
      <c r="Y284" s="11">
        <f xml:space="preserve"> SUM([1]!Posts[[#This Row],[Likes]],[1]!Posts[[#This Row],[Shares]],[1]!Posts[[#This Row],[Comments]])</f>
        <v>2359</v>
      </c>
      <c r="Z284" s="11">
        <f t="shared" si="12"/>
        <v>6</v>
      </c>
      <c r="AA284" s="11">
        <f t="shared" si="13"/>
        <v>4</v>
      </c>
      <c r="AB284" s="11">
        <f t="shared" si="14"/>
        <v>2024</v>
      </c>
      <c r="AC284" s="11" cm="1">
        <f t="array" ref="AC284">_xlfn.XLOOKUP(1, ('[1]Engagement Summary(Task1)'!$J$2:$J$201=Social_Media_Platform_Analysis!$AA284)*('[1]Engagement Summary(Task1)'!$I$2:$I$201=Social_Media_Platform_Analysis!$Z284)*('[1]Engagement Summary(Task1)'!$H$2:$H$201=Social_Media_Platform_Analysis!$AB284)*('[1]Engagement Summary(Task1)'!$B$2:$B$201=Social_Media_Platform_Analysis!$W284),'[1]Engagement Summary(Task1)'!$G$2:$G$201)</f>
        <v>1783</v>
      </c>
    </row>
    <row r="285" spans="23:29" x14ac:dyDescent="0.25">
      <c r="W285" s="11" t="s">
        <v>22</v>
      </c>
      <c r="X285" s="15">
        <v>45469</v>
      </c>
      <c r="Y285" s="11">
        <f xml:space="preserve"> SUM([1]!Posts[[#This Row],[Likes]],[1]!Posts[[#This Row],[Shares]],[1]!Posts[[#This Row],[Comments]])</f>
        <v>3951</v>
      </c>
      <c r="Z285" s="11">
        <f t="shared" si="12"/>
        <v>6</v>
      </c>
      <c r="AA285" s="11">
        <f t="shared" si="13"/>
        <v>4</v>
      </c>
      <c r="AB285" s="11">
        <f t="shared" si="14"/>
        <v>2024</v>
      </c>
      <c r="AC285" s="11" cm="1">
        <f t="array" ref="AC285">_xlfn.XLOOKUP(1, ('[1]Engagement Summary(Task1)'!$J$2:$J$201=Social_Media_Platform_Analysis!$AA285)*('[1]Engagement Summary(Task1)'!$I$2:$I$201=Social_Media_Platform_Analysis!$Z285)*('[1]Engagement Summary(Task1)'!$H$2:$H$201=Social_Media_Platform_Analysis!$AB285)*('[1]Engagement Summary(Task1)'!$B$2:$B$201=Social_Media_Platform_Analysis!$W285),'[1]Engagement Summary(Task1)'!$G$2:$G$201)</f>
        <v>1783</v>
      </c>
    </row>
    <row r="286" spans="23:29" x14ac:dyDescent="0.25">
      <c r="W286" s="11" t="s">
        <v>22</v>
      </c>
      <c r="X286" s="15">
        <v>45475</v>
      </c>
      <c r="Y286" s="11">
        <f xml:space="preserve"> SUM([1]!Posts[[#This Row],[Likes]],[1]!Posts[[#This Row],[Shares]],[1]!Posts[[#This Row],[Comments]])</f>
        <v>3951</v>
      </c>
      <c r="Z286" s="11">
        <f t="shared" si="12"/>
        <v>7</v>
      </c>
      <c r="AA286" s="11">
        <f t="shared" si="13"/>
        <v>1</v>
      </c>
      <c r="AB286" s="11">
        <f t="shared" si="14"/>
        <v>2024</v>
      </c>
      <c r="AC286" s="11" cm="1">
        <f t="array" ref="AC286">_xlfn.XLOOKUP(1, ('[1]Engagement Summary(Task1)'!$J$2:$J$201=Social_Media_Platform_Analysis!$AA286)*('[1]Engagement Summary(Task1)'!$I$2:$I$201=Social_Media_Platform_Analysis!$Z286)*('[1]Engagement Summary(Task1)'!$H$2:$H$201=Social_Media_Platform_Analysis!$AB286)*('[1]Engagement Summary(Task1)'!$B$2:$B$201=Social_Media_Platform_Analysis!$W286),'[1]Engagement Summary(Task1)'!$G$2:$G$201)</f>
        <v>30060</v>
      </c>
    </row>
    <row r="287" spans="23:29" x14ac:dyDescent="0.25">
      <c r="W287" s="11" t="s">
        <v>22</v>
      </c>
      <c r="X287" s="15">
        <v>45476</v>
      </c>
      <c r="Y287" s="11">
        <f xml:space="preserve"> SUM([1]!Posts[[#This Row],[Likes]],[1]!Posts[[#This Row],[Shares]],[1]!Posts[[#This Row],[Comments]])</f>
        <v>3951</v>
      </c>
      <c r="Z287" s="11">
        <f t="shared" si="12"/>
        <v>7</v>
      </c>
      <c r="AA287" s="11">
        <f t="shared" si="13"/>
        <v>1</v>
      </c>
      <c r="AB287" s="11">
        <f t="shared" si="14"/>
        <v>2024</v>
      </c>
      <c r="AC287" s="11" cm="1">
        <f t="array" ref="AC287">_xlfn.XLOOKUP(1, ('[1]Engagement Summary(Task1)'!$J$2:$J$201=Social_Media_Platform_Analysis!$AA287)*('[1]Engagement Summary(Task1)'!$I$2:$I$201=Social_Media_Platform_Analysis!$Z287)*('[1]Engagement Summary(Task1)'!$H$2:$H$201=Social_Media_Platform_Analysis!$AB287)*('[1]Engagement Summary(Task1)'!$B$2:$B$201=Social_Media_Platform_Analysis!$W287),'[1]Engagement Summary(Task1)'!$G$2:$G$201)</f>
        <v>30060</v>
      </c>
    </row>
    <row r="288" spans="23:29" x14ac:dyDescent="0.25">
      <c r="W288" s="11" t="s">
        <v>22</v>
      </c>
      <c r="X288" s="15">
        <v>45486</v>
      </c>
      <c r="Y288" s="11">
        <f xml:space="preserve"> SUM([1]!Posts[[#This Row],[Likes]],[1]!Posts[[#This Row],[Shares]],[1]!Posts[[#This Row],[Comments]])</f>
        <v>4371</v>
      </c>
      <c r="Z288" s="11">
        <f t="shared" si="12"/>
        <v>7</v>
      </c>
      <c r="AA288" s="11">
        <f t="shared" si="13"/>
        <v>2</v>
      </c>
      <c r="AB288" s="11">
        <f t="shared" si="14"/>
        <v>2024</v>
      </c>
      <c r="AC288" s="11" cm="1">
        <f t="array" ref="AC288">_xlfn.XLOOKUP(1, ('[1]Engagement Summary(Task1)'!$J$2:$J$201=Social_Media_Platform_Analysis!$AA288)*('[1]Engagement Summary(Task1)'!$I$2:$I$201=Social_Media_Platform_Analysis!$Z288)*('[1]Engagement Summary(Task1)'!$H$2:$H$201=Social_Media_Platform_Analysis!$AB288)*('[1]Engagement Summary(Task1)'!$B$2:$B$201=Social_Media_Platform_Analysis!$W288),'[1]Engagement Summary(Task1)'!$G$2:$G$201)</f>
        <v>15071</v>
      </c>
    </row>
    <row r="289" spans="23:29" x14ac:dyDescent="0.25">
      <c r="W289" s="11" t="s">
        <v>22</v>
      </c>
      <c r="X289" s="15">
        <v>45491</v>
      </c>
      <c r="Y289" s="11">
        <f xml:space="preserve"> SUM([1]!Posts[[#This Row],[Likes]],[1]!Posts[[#This Row],[Shares]],[1]!Posts[[#This Row],[Comments]])</f>
        <v>869</v>
      </c>
      <c r="Z289" s="11">
        <f t="shared" si="12"/>
        <v>7</v>
      </c>
      <c r="AA289" s="11">
        <f t="shared" si="13"/>
        <v>3</v>
      </c>
      <c r="AB289" s="11">
        <f t="shared" si="14"/>
        <v>2024</v>
      </c>
      <c r="AC289" s="11" cm="1">
        <f t="array" ref="AC289">_xlfn.XLOOKUP(1, ('[1]Engagement Summary(Task1)'!$J$2:$J$201=Social_Media_Platform_Analysis!$AA289)*('[1]Engagement Summary(Task1)'!$I$2:$I$201=Social_Media_Platform_Analysis!$Z289)*('[1]Engagement Summary(Task1)'!$H$2:$H$201=Social_Media_Platform_Analysis!$AB289)*('[1]Engagement Summary(Task1)'!$B$2:$B$201=Social_Media_Platform_Analysis!$W289),'[1]Engagement Summary(Task1)'!$G$2:$G$201)</f>
        <v>28474</v>
      </c>
    </row>
    <row r="290" spans="23:29" x14ac:dyDescent="0.25">
      <c r="W290" s="11" t="s">
        <v>22</v>
      </c>
      <c r="X290" s="15">
        <v>45496</v>
      </c>
      <c r="Y290" s="11">
        <f xml:space="preserve"> SUM([1]!Posts[[#This Row],[Likes]],[1]!Posts[[#This Row],[Shares]],[1]!Posts[[#This Row],[Comments]])</f>
        <v>5322</v>
      </c>
      <c r="Z290" s="11">
        <f t="shared" si="12"/>
        <v>7</v>
      </c>
      <c r="AA290" s="11">
        <f t="shared" si="13"/>
        <v>4</v>
      </c>
      <c r="AB290" s="11">
        <f t="shared" si="14"/>
        <v>2024</v>
      </c>
      <c r="AC290" s="11" cm="1">
        <f t="array" ref="AC290">_xlfn.XLOOKUP(1, ('[1]Engagement Summary(Task1)'!$J$2:$J$201=Social_Media_Platform_Analysis!$AA290)*('[1]Engagement Summary(Task1)'!$I$2:$I$201=Social_Media_Platform_Analysis!$Z290)*('[1]Engagement Summary(Task1)'!$H$2:$H$201=Social_Media_Platform_Analysis!$AB290)*('[1]Engagement Summary(Task1)'!$B$2:$B$201=Social_Media_Platform_Analysis!$W290),'[1]Engagement Summary(Task1)'!$G$2:$G$201)</f>
        <v>26452</v>
      </c>
    </row>
    <row r="291" spans="23:29" x14ac:dyDescent="0.25">
      <c r="W291" s="11" t="s">
        <v>22</v>
      </c>
      <c r="X291" s="15">
        <v>45502</v>
      </c>
      <c r="Y291" s="11">
        <f xml:space="preserve"> SUM([1]!Posts[[#This Row],[Likes]],[1]!Posts[[#This Row],[Shares]],[1]!Posts[[#This Row],[Comments]])</f>
        <v>5322</v>
      </c>
      <c r="Z291" s="11">
        <f t="shared" si="12"/>
        <v>7</v>
      </c>
      <c r="AA291" s="11">
        <f t="shared" si="13"/>
        <v>5</v>
      </c>
      <c r="AB291" s="11">
        <f t="shared" si="14"/>
        <v>2024</v>
      </c>
      <c r="AC291" s="11" cm="1">
        <f t="array" ref="AC291">_xlfn.XLOOKUP(1, ('[1]Engagement Summary(Task1)'!$J$2:$J$201=Social_Media_Platform_Analysis!$AA291)*('[1]Engagement Summary(Task1)'!$I$2:$I$201=Social_Media_Platform_Analysis!$Z291)*('[1]Engagement Summary(Task1)'!$H$2:$H$201=Social_Media_Platform_Analysis!$AB291)*('[1]Engagement Summary(Task1)'!$B$2:$B$201=Social_Media_Platform_Analysis!$W291),'[1]Engagement Summary(Task1)'!$G$2:$G$201)</f>
        <v>16804</v>
      </c>
    </row>
    <row r="292" spans="23:29" x14ac:dyDescent="0.25">
      <c r="W292" s="11" t="s">
        <v>22</v>
      </c>
      <c r="X292" s="15">
        <v>45526</v>
      </c>
      <c r="Y292" s="11">
        <f xml:space="preserve"> SUM([1]!Posts[[#This Row],[Likes]],[1]!Posts[[#This Row],[Shares]],[1]!Posts[[#This Row],[Comments]])</f>
        <v>5322</v>
      </c>
      <c r="Z292" s="11">
        <f t="shared" si="12"/>
        <v>8</v>
      </c>
      <c r="AA292" s="11">
        <f t="shared" si="13"/>
        <v>4</v>
      </c>
      <c r="AB292" s="11">
        <f t="shared" si="14"/>
        <v>2024</v>
      </c>
      <c r="AC292" s="11" cm="1">
        <f t="array" ref="AC292">_xlfn.XLOOKUP(1, ('[1]Engagement Summary(Task1)'!$J$2:$J$201=Social_Media_Platform_Analysis!$AA292)*('[1]Engagement Summary(Task1)'!$I$2:$I$201=Social_Media_Platform_Analysis!$Z292)*('[1]Engagement Summary(Task1)'!$H$2:$H$201=Social_Media_Platform_Analysis!$AB292)*('[1]Engagement Summary(Task1)'!$B$2:$B$201=Social_Media_Platform_Analysis!$W292),'[1]Engagement Summary(Task1)'!$G$2:$G$201)</f>
        <v>32929</v>
      </c>
    </row>
    <row r="293" spans="23:29" x14ac:dyDescent="0.25">
      <c r="W293" s="11" t="s">
        <v>22</v>
      </c>
      <c r="X293" s="15">
        <v>45537</v>
      </c>
      <c r="Y293" s="11">
        <f xml:space="preserve"> SUM([1]!Posts[[#This Row],[Likes]],[1]!Posts[[#This Row],[Shares]],[1]!Posts[[#This Row],[Comments]])</f>
        <v>6030</v>
      </c>
      <c r="Z293" s="11">
        <f t="shared" si="12"/>
        <v>9</v>
      </c>
      <c r="AA293" s="11">
        <f t="shared" si="13"/>
        <v>1</v>
      </c>
      <c r="AB293" s="11">
        <f t="shared" si="14"/>
        <v>2024</v>
      </c>
      <c r="AC293" s="11" cm="1">
        <f t="array" ref="AC293">_xlfn.XLOOKUP(1, ('[1]Engagement Summary(Task1)'!$J$2:$J$201=Social_Media_Platform_Analysis!$AA293)*('[1]Engagement Summary(Task1)'!$I$2:$I$201=Social_Media_Platform_Analysis!$Z293)*('[1]Engagement Summary(Task1)'!$H$2:$H$201=Social_Media_Platform_Analysis!$AB293)*('[1]Engagement Summary(Task1)'!$B$2:$B$201=Social_Media_Platform_Analysis!$W293),'[1]Engagement Summary(Task1)'!$G$2:$G$201)</f>
        <v>12646</v>
      </c>
    </row>
    <row r="294" spans="23:29" x14ac:dyDescent="0.25">
      <c r="W294" s="11" t="s">
        <v>22</v>
      </c>
      <c r="X294" s="15">
        <v>45537</v>
      </c>
      <c r="Y294" s="11">
        <f xml:space="preserve"> SUM([1]!Posts[[#This Row],[Likes]],[1]!Posts[[#This Row],[Shares]],[1]!Posts[[#This Row],[Comments]])</f>
        <v>1480</v>
      </c>
      <c r="Z294" s="11">
        <f t="shared" si="12"/>
        <v>9</v>
      </c>
      <c r="AA294" s="11">
        <f t="shared" si="13"/>
        <v>1</v>
      </c>
      <c r="AB294" s="11">
        <f t="shared" si="14"/>
        <v>2024</v>
      </c>
      <c r="AC294" s="11" cm="1">
        <f t="array" ref="AC294">_xlfn.XLOOKUP(1, ('[1]Engagement Summary(Task1)'!$J$2:$J$201=Social_Media_Platform_Analysis!$AA294)*('[1]Engagement Summary(Task1)'!$I$2:$I$201=Social_Media_Platform_Analysis!$Z294)*('[1]Engagement Summary(Task1)'!$H$2:$H$201=Social_Media_Platform_Analysis!$AB294)*('[1]Engagement Summary(Task1)'!$B$2:$B$201=Social_Media_Platform_Analysis!$W294),'[1]Engagement Summary(Task1)'!$G$2:$G$201)</f>
        <v>12646</v>
      </c>
    </row>
    <row r="295" spans="23:29" x14ac:dyDescent="0.25">
      <c r="W295" s="11" t="s">
        <v>22</v>
      </c>
      <c r="X295" s="15">
        <v>45552</v>
      </c>
      <c r="Y295" s="11">
        <f xml:space="preserve"> SUM([1]!Posts[[#This Row],[Likes]],[1]!Posts[[#This Row],[Shares]],[1]!Posts[[#This Row],[Comments]])</f>
        <v>3498</v>
      </c>
      <c r="Z295" s="11">
        <f t="shared" si="12"/>
        <v>9</v>
      </c>
      <c r="AA295" s="11">
        <f t="shared" si="13"/>
        <v>3</v>
      </c>
      <c r="AB295" s="11">
        <f t="shared" si="14"/>
        <v>2024</v>
      </c>
      <c r="AC295" s="11" cm="1">
        <f t="array" ref="AC295">_xlfn.XLOOKUP(1, ('[1]Engagement Summary(Task1)'!$J$2:$J$201=Social_Media_Platform_Analysis!$AA295)*('[1]Engagement Summary(Task1)'!$I$2:$I$201=Social_Media_Platform_Analysis!$Z295)*('[1]Engagement Summary(Task1)'!$H$2:$H$201=Social_Media_Platform_Analysis!$AB295)*('[1]Engagement Summary(Task1)'!$B$2:$B$201=Social_Media_Platform_Analysis!$W295),'[1]Engagement Summary(Task1)'!$G$2:$G$201)</f>
        <v>5442</v>
      </c>
    </row>
    <row r="296" spans="23:29" x14ac:dyDescent="0.25">
      <c r="W296" s="11" t="s">
        <v>22</v>
      </c>
      <c r="X296" s="15">
        <v>45553</v>
      </c>
      <c r="Y296" s="11">
        <f xml:space="preserve"> SUM([1]!Posts[[#This Row],[Likes]],[1]!Posts[[#This Row],[Shares]],[1]!Posts[[#This Row],[Comments]])</f>
        <v>315</v>
      </c>
      <c r="Z296" s="11">
        <f t="shared" si="12"/>
        <v>9</v>
      </c>
      <c r="AA296" s="11">
        <f t="shared" si="13"/>
        <v>3</v>
      </c>
      <c r="AB296" s="11">
        <f t="shared" si="14"/>
        <v>2024</v>
      </c>
      <c r="AC296" s="11" cm="1">
        <f t="array" ref="AC296">_xlfn.XLOOKUP(1, ('[1]Engagement Summary(Task1)'!$J$2:$J$201=Social_Media_Platform_Analysis!$AA296)*('[1]Engagement Summary(Task1)'!$I$2:$I$201=Social_Media_Platform_Analysis!$Z296)*('[1]Engagement Summary(Task1)'!$H$2:$H$201=Social_Media_Platform_Analysis!$AB296)*('[1]Engagement Summary(Task1)'!$B$2:$B$201=Social_Media_Platform_Analysis!$W296),'[1]Engagement Summary(Task1)'!$G$2:$G$201)</f>
        <v>5442</v>
      </c>
    </row>
    <row r="297" spans="23:29" x14ac:dyDescent="0.25">
      <c r="W297" s="11" t="s">
        <v>22</v>
      </c>
      <c r="X297" s="15">
        <v>45560</v>
      </c>
      <c r="Y297" s="11">
        <f xml:space="preserve"> SUM([1]!Posts[[#This Row],[Likes]],[1]!Posts[[#This Row],[Shares]],[1]!Posts[[#This Row],[Comments]])</f>
        <v>2847</v>
      </c>
      <c r="Z297" s="11">
        <f t="shared" si="12"/>
        <v>9</v>
      </c>
      <c r="AA297" s="11">
        <f t="shared" si="13"/>
        <v>4</v>
      </c>
      <c r="AB297" s="11">
        <f t="shared" si="14"/>
        <v>2024</v>
      </c>
      <c r="AC297" s="11" cm="1">
        <f t="array" ref="AC297">_xlfn.XLOOKUP(1, ('[1]Engagement Summary(Task1)'!$J$2:$J$201=Social_Media_Platform_Analysis!$AA297)*('[1]Engagement Summary(Task1)'!$I$2:$I$201=Social_Media_Platform_Analysis!$Z297)*('[1]Engagement Summary(Task1)'!$H$2:$H$201=Social_Media_Platform_Analysis!$AB297)*('[1]Engagement Summary(Task1)'!$B$2:$B$201=Social_Media_Platform_Analysis!$W297),'[1]Engagement Summary(Task1)'!$G$2:$G$201)</f>
        <v>38883</v>
      </c>
    </row>
    <row r="298" spans="23:29" x14ac:dyDescent="0.25">
      <c r="W298" s="11" t="s">
        <v>22</v>
      </c>
      <c r="X298" s="15">
        <v>45564</v>
      </c>
      <c r="Y298" s="11">
        <f xml:space="preserve"> SUM([1]!Posts[[#This Row],[Likes]],[1]!Posts[[#This Row],[Shares]],[1]!Posts[[#This Row],[Comments]])</f>
        <v>5062</v>
      </c>
      <c r="Z298" s="11">
        <f t="shared" si="12"/>
        <v>9</v>
      </c>
      <c r="AA298" s="11">
        <f t="shared" si="13"/>
        <v>5</v>
      </c>
      <c r="AB298" s="11">
        <f t="shared" si="14"/>
        <v>2024</v>
      </c>
      <c r="AC298" s="11" cm="1">
        <f t="array" ref="AC298">_xlfn.XLOOKUP(1, ('[1]Engagement Summary(Task1)'!$J$2:$J$201=Social_Media_Platform_Analysis!$AA298)*('[1]Engagement Summary(Task1)'!$I$2:$I$201=Social_Media_Platform_Analysis!$Z298)*('[1]Engagement Summary(Task1)'!$H$2:$H$201=Social_Media_Platform_Analysis!$AB298)*('[1]Engagement Summary(Task1)'!$B$2:$B$201=Social_Media_Platform_Analysis!$W298),'[1]Engagement Summary(Task1)'!$G$2:$G$201)</f>
        <v>36851</v>
      </c>
    </row>
    <row r="299" spans="23:29" x14ac:dyDescent="0.25">
      <c r="W299" s="11" t="s">
        <v>22</v>
      </c>
      <c r="X299" s="15">
        <v>45567</v>
      </c>
      <c r="Y299" s="11">
        <f xml:space="preserve"> SUM([1]!Posts[[#This Row],[Likes]],[1]!Posts[[#This Row],[Shares]],[1]!Posts[[#This Row],[Comments]])</f>
        <v>4284</v>
      </c>
      <c r="Z299" s="11">
        <f t="shared" si="12"/>
        <v>10</v>
      </c>
      <c r="AA299" s="11">
        <f t="shared" si="13"/>
        <v>1</v>
      </c>
      <c r="AB299" s="11">
        <f t="shared" si="14"/>
        <v>2024</v>
      </c>
      <c r="AC299" s="11" cm="1">
        <f t="array" ref="AC299">_xlfn.XLOOKUP(1, ('[1]Engagement Summary(Task1)'!$J$2:$J$201=Social_Media_Platform_Analysis!$AA299)*('[1]Engagement Summary(Task1)'!$I$2:$I$201=Social_Media_Platform_Analysis!$Z299)*('[1]Engagement Summary(Task1)'!$H$2:$H$201=Social_Media_Platform_Analysis!$AB299)*('[1]Engagement Summary(Task1)'!$B$2:$B$201=Social_Media_Platform_Analysis!$W299),'[1]Engagement Summary(Task1)'!$G$2:$G$201)</f>
        <v>27822</v>
      </c>
    </row>
    <row r="300" spans="23:29" x14ac:dyDescent="0.25">
      <c r="W300" s="11" t="s">
        <v>22</v>
      </c>
      <c r="X300" s="15">
        <v>45567</v>
      </c>
      <c r="Y300" s="11">
        <f xml:space="preserve"> SUM([1]!Posts[[#This Row],[Likes]],[1]!Posts[[#This Row],[Shares]],[1]!Posts[[#This Row],[Comments]])</f>
        <v>5004</v>
      </c>
      <c r="Z300" s="11">
        <f t="shared" si="12"/>
        <v>10</v>
      </c>
      <c r="AA300" s="11">
        <f t="shared" si="13"/>
        <v>1</v>
      </c>
      <c r="AB300" s="11">
        <f t="shared" si="14"/>
        <v>2024</v>
      </c>
      <c r="AC300" s="11" cm="1">
        <f t="array" ref="AC300">_xlfn.XLOOKUP(1, ('[1]Engagement Summary(Task1)'!$J$2:$J$201=Social_Media_Platform_Analysis!$AA300)*('[1]Engagement Summary(Task1)'!$I$2:$I$201=Social_Media_Platform_Analysis!$Z300)*('[1]Engagement Summary(Task1)'!$H$2:$H$201=Social_Media_Platform_Analysis!$AB300)*('[1]Engagement Summary(Task1)'!$B$2:$B$201=Social_Media_Platform_Analysis!$W300),'[1]Engagement Summary(Task1)'!$G$2:$G$201)</f>
        <v>27822</v>
      </c>
    </row>
    <row r="301" spans="23:29" x14ac:dyDescent="0.25">
      <c r="W301" s="11" t="s">
        <v>22</v>
      </c>
      <c r="X301" s="15">
        <v>45569</v>
      </c>
      <c r="Y301" s="11">
        <f xml:space="preserve"> SUM([1]!Posts[[#This Row],[Likes]],[1]!Posts[[#This Row],[Shares]],[1]!Posts[[#This Row],[Comments]])</f>
        <v>5053</v>
      </c>
      <c r="Z301" s="11">
        <f t="shared" si="12"/>
        <v>10</v>
      </c>
      <c r="AA301" s="11">
        <f t="shared" si="13"/>
        <v>1</v>
      </c>
      <c r="AB301" s="11">
        <f t="shared" si="14"/>
        <v>2024</v>
      </c>
      <c r="AC301" s="11" cm="1">
        <f t="array" ref="AC301">_xlfn.XLOOKUP(1, ('[1]Engagement Summary(Task1)'!$J$2:$J$201=Social_Media_Platform_Analysis!$AA301)*('[1]Engagement Summary(Task1)'!$I$2:$I$201=Social_Media_Platform_Analysis!$Z301)*('[1]Engagement Summary(Task1)'!$H$2:$H$201=Social_Media_Platform_Analysis!$AB301)*('[1]Engagement Summary(Task1)'!$B$2:$B$201=Social_Media_Platform_Analysis!$W301),'[1]Engagement Summary(Task1)'!$G$2:$G$201)</f>
        <v>27822</v>
      </c>
    </row>
    <row r="302" spans="23:29" x14ac:dyDescent="0.25">
      <c r="W302" s="11" t="s">
        <v>22</v>
      </c>
      <c r="X302" s="15">
        <v>45577</v>
      </c>
      <c r="Y302" s="11">
        <f xml:space="preserve"> SUM([1]!Posts[[#This Row],[Likes]],[1]!Posts[[#This Row],[Shares]],[1]!Posts[[#This Row],[Comments]])</f>
        <v>4052</v>
      </c>
      <c r="Z302" s="11">
        <f t="shared" si="12"/>
        <v>10</v>
      </c>
      <c r="AA302" s="11">
        <f t="shared" si="13"/>
        <v>2</v>
      </c>
      <c r="AB302" s="11">
        <f t="shared" si="14"/>
        <v>2024</v>
      </c>
      <c r="AC302" s="11" cm="1">
        <f t="array" ref="AC302">_xlfn.XLOOKUP(1, ('[1]Engagement Summary(Task1)'!$J$2:$J$201=Social_Media_Platform_Analysis!$AA302)*('[1]Engagement Summary(Task1)'!$I$2:$I$201=Social_Media_Platform_Analysis!$Z302)*('[1]Engagement Summary(Task1)'!$H$2:$H$201=Social_Media_Platform_Analysis!$AB302)*('[1]Engagement Summary(Task1)'!$B$2:$B$201=Social_Media_Platform_Analysis!$W302),'[1]Engagement Summary(Task1)'!$G$2:$G$201)</f>
        <v>6742</v>
      </c>
    </row>
    <row r="303" spans="23:29" x14ac:dyDescent="0.25">
      <c r="W303" s="11" t="s">
        <v>22</v>
      </c>
      <c r="X303" s="15">
        <v>45580</v>
      </c>
      <c r="Y303" s="11">
        <f xml:space="preserve"> SUM([1]!Posts[[#This Row],[Likes]],[1]!Posts[[#This Row],[Shares]],[1]!Posts[[#This Row],[Comments]])</f>
        <v>4435</v>
      </c>
      <c r="Z303" s="11">
        <f t="shared" si="12"/>
        <v>10</v>
      </c>
      <c r="AA303" s="11">
        <f t="shared" si="13"/>
        <v>3</v>
      </c>
      <c r="AB303" s="11">
        <f t="shared" si="14"/>
        <v>2024</v>
      </c>
      <c r="AC303" s="11" cm="1">
        <f t="array" ref="AC303">_xlfn.XLOOKUP(1, ('[1]Engagement Summary(Task1)'!$J$2:$J$201=Social_Media_Platform_Analysis!$AA303)*('[1]Engagement Summary(Task1)'!$I$2:$I$201=Social_Media_Platform_Analysis!$Z303)*('[1]Engagement Summary(Task1)'!$H$2:$H$201=Social_Media_Platform_Analysis!$AB303)*('[1]Engagement Summary(Task1)'!$B$2:$B$201=Social_Media_Platform_Analysis!$W303),'[1]Engagement Summary(Task1)'!$G$2:$G$201)</f>
        <v>44321</v>
      </c>
    </row>
    <row r="304" spans="23:29" x14ac:dyDescent="0.25">
      <c r="W304" s="11" t="s">
        <v>22</v>
      </c>
      <c r="X304" s="15">
        <v>45583</v>
      </c>
      <c r="Y304" s="11">
        <f xml:space="preserve"> SUM([1]!Posts[[#This Row],[Likes]],[1]!Posts[[#This Row],[Shares]],[1]!Posts[[#This Row],[Comments]])</f>
        <v>5621</v>
      </c>
      <c r="Z304" s="11">
        <f t="shared" si="12"/>
        <v>10</v>
      </c>
      <c r="AA304" s="11">
        <f t="shared" si="13"/>
        <v>3</v>
      </c>
      <c r="AB304" s="11">
        <f t="shared" si="14"/>
        <v>2024</v>
      </c>
      <c r="AC304" s="11" cm="1">
        <f t="array" ref="AC304">_xlfn.XLOOKUP(1, ('[1]Engagement Summary(Task1)'!$J$2:$J$201=Social_Media_Platform_Analysis!$AA304)*('[1]Engagement Summary(Task1)'!$I$2:$I$201=Social_Media_Platform_Analysis!$Z304)*('[1]Engagement Summary(Task1)'!$H$2:$H$201=Social_Media_Platform_Analysis!$AB304)*('[1]Engagement Summary(Task1)'!$B$2:$B$201=Social_Media_Platform_Analysis!$W304),'[1]Engagement Summary(Task1)'!$G$2:$G$201)</f>
        <v>44321</v>
      </c>
    </row>
    <row r="305" spans="23:29" x14ac:dyDescent="0.25">
      <c r="W305" s="11" t="s">
        <v>22</v>
      </c>
      <c r="X305" s="15">
        <v>45586</v>
      </c>
      <c r="Y305" s="11">
        <f xml:space="preserve"> SUM([1]!Posts[[#This Row],[Likes]],[1]!Posts[[#This Row],[Shares]],[1]!Posts[[#This Row],[Comments]])</f>
        <v>3913</v>
      </c>
      <c r="Z305" s="11">
        <f t="shared" si="12"/>
        <v>10</v>
      </c>
      <c r="AA305" s="11">
        <f t="shared" si="13"/>
        <v>3</v>
      </c>
      <c r="AB305" s="11">
        <f t="shared" si="14"/>
        <v>2024</v>
      </c>
      <c r="AC305" s="11" cm="1">
        <f t="array" ref="AC305">_xlfn.XLOOKUP(1, ('[1]Engagement Summary(Task1)'!$J$2:$J$201=Social_Media_Platform_Analysis!$AA305)*('[1]Engagement Summary(Task1)'!$I$2:$I$201=Social_Media_Platform_Analysis!$Z305)*('[1]Engagement Summary(Task1)'!$H$2:$H$201=Social_Media_Platform_Analysis!$AB305)*('[1]Engagement Summary(Task1)'!$B$2:$B$201=Social_Media_Platform_Analysis!$W305),'[1]Engagement Summary(Task1)'!$G$2:$G$201)</f>
        <v>44321</v>
      </c>
    </row>
    <row r="306" spans="23:29" x14ac:dyDescent="0.25">
      <c r="W306" s="11" t="s">
        <v>22</v>
      </c>
      <c r="X306" s="15">
        <v>45586</v>
      </c>
      <c r="Y306" s="11">
        <f xml:space="preserve"> SUM([1]!Posts[[#This Row],[Likes]],[1]!Posts[[#This Row],[Shares]],[1]!Posts[[#This Row],[Comments]])</f>
        <v>4181</v>
      </c>
      <c r="Z306" s="11">
        <f t="shared" si="12"/>
        <v>10</v>
      </c>
      <c r="AA306" s="11">
        <f t="shared" si="13"/>
        <v>3</v>
      </c>
      <c r="AB306" s="11">
        <f t="shared" si="14"/>
        <v>2024</v>
      </c>
      <c r="AC306" s="11" cm="1">
        <f t="array" ref="AC306">_xlfn.XLOOKUP(1, ('[1]Engagement Summary(Task1)'!$J$2:$J$201=Social_Media_Platform_Analysis!$AA306)*('[1]Engagement Summary(Task1)'!$I$2:$I$201=Social_Media_Platform_Analysis!$Z306)*('[1]Engagement Summary(Task1)'!$H$2:$H$201=Social_Media_Platform_Analysis!$AB306)*('[1]Engagement Summary(Task1)'!$B$2:$B$201=Social_Media_Platform_Analysis!$W306),'[1]Engagement Summary(Task1)'!$G$2:$G$201)</f>
        <v>44321</v>
      </c>
    </row>
    <row r="307" spans="23:29" x14ac:dyDescent="0.25">
      <c r="W307" s="11" t="s">
        <v>22</v>
      </c>
      <c r="X307" s="15">
        <v>45586</v>
      </c>
      <c r="Y307" s="11">
        <f xml:space="preserve"> SUM([1]!Posts[[#This Row],[Likes]],[1]!Posts[[#This Row],[Shares]],[1]!Posts[[#This Row],[Comments]])</f>
        <v>2917</v>
      </c>
      <c r="Z307" s="11">
        <f t="shared" si="12"/>
        <v>10</v>
      </c>
      <c r="AA307" s="11">
        <f t="shared" si="13"/>
        <v>3</v>
      </c>
      <c r="AB307" s="11">
        <f t="shared" si="14"/>
        <v>2024</v>
      </c>
      <c r="AC307" s="11" cm="1">
        <f t="array" ref="AC307">_xlfn.XLOOKUP(1, ('[1]Engagement Summary(Task1)'!$J$2:$J$201=Social_Media_Platform_Analysis!$AA307)*('[1]Engagement Summary(Task1)'!$I$2:$I$201=Social_Media_Platform_Analysis!$Z307)*('[1]Engagement Summary(Task1)'!$H$2:$H$201=Social_Media_Platform_Analysis!$AB307)*('[1]Engagement Summary(Task1)'!$B$2:$B$201=Social_Media_Platform_Analysis!$W307),'[1]Engagement Summary(Task1)'!$G$2:$G$201)</f>
        <v>44321</v>
      </c>
    </row>
    <row r="308" spans="23:29" x14ac:dyDescent="0.25">
      <c r="W308" s="11" t="s">
        <v>22</v>
      </c>
      <c r="X308" s="15">
        <v>45590</v>
      </c>
      <c r="Y308" s="11">
        <f xml:space="preserve"> SUM([1]!Posts[[#This Row],[Likes]],[1]!Posts[[#This Row],[Shares]],[1]!Posts[[#This Row],[Comments]])</f>
        <v>1882</v>
      </c>
      <c r="Z308" s="11">
        <f t="shared" si="12"/>
        <v>10</v>
      </c>
      <c r="AA308" s="11">
        <f t="shared" si="13"/>
        <v>4</v>
      </c>
      <c r="AB308" s="11">
        <f t="shared" si="14"/>
        <v>2024</v>
      </c>
      <c r="AC308" s="11" cm="1">
        <f t="array" ref="AC308">_xlfn.XLOOKUP(1, ('[1]Engagement Summary(Task1)'!$J$2:$J$201=Social_Media_Platform_Analysis!$AA308)*('[1]Engagement Summary(Task1)'!$I$2:$I$201=Social_Media_Platform_Analysis!$Z308)*('[1]Engagement Summary(Task1)'!$H$2:$H$201=Social_Media_Platform_Analysis!$AB308)*('[1]Engagement Summary(Task1)'!$B$2:$B$201=Social_Media_Platform_Analysis!$W308),'[1]Engagement Summary(Task1)'!$G$2:$G$201)</f>
        <v>46643</v>
      </c>
    </row>
    <row r="309" spans="23:29" x14ac:dyDescent="0.25">
      <c r="W309" s="11" t="s">
        <v>22</v>
      </c>
      <c r="X309" s="15">
        <v>45593</v>
      </c>
      <c r="Y309" s="11">
        <f xml:space="preserve"> SUM([1]!Posts[[#This Row],[Likes]],[1]!Posts[[#This Row],[Shares]],[1]!Posts[[#This Row],[Comments]])</f>
        <v>5245</v>
      </c>
      <c r="Z309" s="11">
        <f t="shared" si="12"/>
        <v>10</v>
      </c>
      <c r="AA309" s="11">
        <f t="shared" si="13"/>
        <v>4</v>
      </c>
      <c r="AB309" s="11">
        <f t="shared" si="14"/>
        <v>2024</v>
      </c>
      <c r="AC309" s="11" cm="1">
        <f t="array" ref="AC309">_xlfn.XLOOKUP(1, ('[1]Engagement Summary(Task1)'!$J$2:$J$201=Social_Media_Platform_Analysis!$AA309)*('[1]Engagement Summary(Task1)'!$I$2:$I$201=Social_Media_Platform_Analysis!$Z309)*('[1]Engagement Summary(Task1)'!$H$2:$H$201=Social_Media_Platform_Analysis!$AB309)*('[1]Engagement Summary(Task1)'!$B$2:$B$201=Social_Media_Platform_Analysis!$W309),'[1]Engagement Summary(Task1)'!$G$2:$G$201)</f>
        <v>46643</v>
      </c>
    </row>
    <row r="310" spans="23:29" x14ac:dyDescent="0.25">
      <c r="W310" s="11" t="s">
        <v>22</v>
      </c>
      <c r="X310" s="15">
        <v>45593</v>
      </c>
      <c r="Y310" s="11">
        <f xml:space="preserve"> SUM([1]!Posts[[#This Row],[Likes]],[1]!Posts[[#This Row],[Shares]],[1]!Posts[[#This Row],[Comments]])</f>
        <v>5521</v>
      </c>
      <c r="Z310" s="11">
        <f t="shared" si="12"/>
        <v>10</v>
      </c>
      <c r="AA310" s="11">
        <f t="shared" si="13"/>
        <v>4</v>
      </c>
      <c r="AB310" s="11">
        <f t="shared" si="14"/>
        <v>2024</v>
      </c>
      <c r="AC310" s="11" cm="1">
        <f t="array" ref="AC310">_xlfn.XLOOKUP(1, ('[1]Engagement Summary(Task1)'!$J$2:$J$201=Social_Media_Platform_Analysis!$AA310)*('[1]Engagement Summary(Task1)'!$I$2:$I$201=Social_Media_Platform_Analysis!$Z310)*('[1]Engagement Summary(Task1)'!$H$2:$H$201=Social_Media_Platform_Analysis!$AB310)*('[1]Engagement Summary(Task1)'!$B$2:$B$201=Social_Media_Platform_Analysis!$W310),'[1]Engagement Summary(Task1)'!$G$2:$G$201)</f>
        <v>46643</v>
      </c>
    </row>
    <row r="311" spans="23:29" x14ac:dyDescent="0.25">
      <c r="W311" s="11" t="s">
        <v>22</v>
      </c>
      <c r="X311" s="15">
        <v>45594</v>
      </c>
      <c r="Y311" s="11">
        <f xml:space="preserve"> SUM([1]!Posts[[#This Row],[Likes]],[1]!Posts[[#This Row],[Shares]],[1]!Posts[[#This Row],[Comments]])</f>
        <v>5879</v>
      </c>
      <c r="Z311" s="11">
        <f t="shared" si="12"/>
        <v>10</v>
      </c>
      <c r="AA311" s="11">
        <f t="shared" si="13"/>
        <v>5</v>
      </c>
      <c r="AB311" s="11">
        <f t="shared" si="14"/>
        <v>2024</v>
      </c>
      <c r="AC311" s="11">
        <v>0</v>
      </c>
    </row>
    <row r="312" spans="23:29" x14ac:dyDescent="0.25">
      <c r="W312" s="11" t="s">
        <v>22</v>
      </c>
      <c r="X312" s="15">
        <v>45614</v>
      </c>
      <c r="Y312" s="11">
        <f xml:space="preserve"> SUM([1]!Posts[[#This Row],[Likes]],[1]!Posts[[#This Row],[Shares]],[1]!Posts[[#This Row],[Comments]])</f>
        <v>5340</v>
      </c>
      <c r="Z312" s="11">
        <f t="shared" si="12"/>
        <v>11</v>
      </c>
      <c r="AA312" s="11">
        <f t="shared" si="13"/>
        <v>3</v>
      </c>
      <c r="AB312" s="11">
        <f t="shared" si="14"/>
        <v>2024</v>
      </c>
      <c r="AC312" s="11" cm="1">
        <f t="array" ref="AC312">_xlfn.XLOOKUP(1, ('[1]Engagement Summary(Task1)'!$J$2:$J$201=Social_Media_Platform_Analysis!$AA312)*('[1]Engagement Summary(Task1)'!$I$2:$I$201=Social_Media_Platform_Analysis!$Z312)*('[1]Engagement Summary(Task1)'!$H$2:$H$201=Social_Media_Platform_Analysis!$AB312)*('[1]Engagement Summary(Task1)'!$B$2:$B$201=Social_Media_Platform_Analysis!$W312),'[1]Engagement Summary(Task1)'!$G$2:$G$201)</f>
        <v>22373</v>
      </c>
    </row>
    <row r="313" spans="23:29" x14ac:dyDescent="0.25">
      <c r="W313" s="11" t="s">
        <v>22</v>
      </c>
      <c r="X313" s="15">
        <v>45619</v>
      </c>
      <c r="Y313" s="11">
        <f xml:space="preserve"> SUM([1]!Posts[[#This Row],[Likes]],[1]!Posts[[#This Row],[Shares]],[1]!Posts[[#This Row],[Comments]])</f>
        <v>5340</v>
      </c>
      <c r="Z313" s="11">
        <f t="shared" si="12"/>
        <v>11</v>
      </c>
      <c r="AA313" s="11">
        <f t="shared" si="13"/>
        <v>4</v>
      </c>
      <c r="AB313" s="11">
        <f t="shared" si="14"/>
        <v>2024</v>
      </c>
      <c r="AC313" s="11" cm="1">
        <f t="array" ref="AC313">_xlfn.XLOOKUP(1, ('[1]Engagement Summary(Task1)'!$J$2:$J$201=Social_Media_Platform_Analysis!$AA313)*('[1]Engagement Summary(Task1)'!$I$2:$I$201=Social_Media_Platform_Analysis!$Z313)*('[1]Engagement Summary(Task1)'!$H$2:$H$201=Social_Media_Platform_Analysis!$AB313)*('[1]Engagement Summary(Task1)'!$B$2:$B$201=Social_Media_Platform_Analysis!$W313),'[1]Engagement Summary(Task1)'!$G$2:$G$201)</f>
        <v>37876</v>
      </c>
    </row>
    <row r="314" spans="23:29" x14ac:dyDescent="0.25">
      <c r="W314" s="11" t="s">
        <v>22</v>
      </c>
      <c r="X314" s="15">
        <v>45626</v>
      </c>
      <c r="Y314" s="11">
        <f xml:space="preserve"> SUM([1]!Posts[[#This Row],[Likes]],[1]!Posts[[#This Row],[Shares]],[1]!Posts[[#This Row],[Comments]])</f>
        <v>5340</v>
      </c>
      <c r="Z314" s="11">
        <f t="shared" si="12"/>
        <v>11</v>
      </c>
      <c r="AA314" s="11">
        <f t="shared" si="13"/>
        <v>5</v>
      </c>
      <c r="AB314" s="11">
        <f t="shared" si="14"/>
        <v>2024</v>
      </c>
      <c r="AC314" s="11">
        <v>0</v>
      </c>
    </row>
    <row r="315" spans="23:29" x14ac:dyDescent="0.25">
      <c r="W315" s="11" t="s">
        <v>22</v>
      </c>
      <c r="X315" s="15">
        <v>45629</v>
      </c>
      <c r="Y315" s="11">
        <f xml:space="preserve"> SUM([1]!Posts[[#This Row],[Likes]],[1]!Posts[[#This Row],[Shares]],[1]!Posts[[#This Row],[Comments]])</f>
        <v>3597</v>
      </c>
      <c r="Z315" s="11">
        <f t="shared" si="12"/>
        <v>12</v>
      </c>
      <c r="AA315" s="11">
        <f t="shared" si="13"/>
        <v>1</v>
      </c>
      <c r="AB315" s="11">
        <f t="shared" si="14"/>
        <v>2024</v>
      </c>
      <c r="AC315" s="11" cm="1">
        <f t="array" ref="AC315">_xlfn.XLOOKUP(1, ('[1]Engagement Summary(Task1)'!$J$2:$J$201=Social_Media_Platform_Analysis!$AA315)*('[1]Engagement Summary(Task1)'!$I$2:$I$201=Social_Media_Platform_Analysis!$Z315)*('[1]Engagement Summary(Task1)'!$H$2:$H$201=Social_Media_Platform_Analysis!$AB315)*('[1]Engagement Summary(Task1)'!$B$2:$B$201=Social_Media_Platform_Analysis!$W315),'[1]Engagement Summary(Task1)'!$G$2:$G$201)</f>
        <v>40888</v>
      </c>
    </row>
    <row r="316" spans="23:29" x14ac:dyDescent="0.25">
      <c r="W316" s="11" t="s">
        <v>22</v>
      </c>
      <c r="X316" s="15">
        <v>45629</v>
      </c>
      <c r="Y316" s="11">
        <f xml:space="preserve"> SUM([1]!Posts[[#This Row],[Likes]],[1]!Posts[[#This Row],[Shares]],[1]!Posts[[#This Row],[Comments]])</f>
        <v>2073</v>
      </c>
      <c r="Z316" s="11">
        <f t="shared" si="12"/>
        <v>12</v>
      </c>
      <c r="AA316" s="11">
        <f t="shared" si="13"/>
        <v>1</v>
      </c>
      <c r="AB316" s="11">
        <f t="shared" si="14"/>
        <v>2024</v>
      </c>
      <c r="AC316" s="11" cm="1">
        <f t="array" ref="AC316">_xlfn.XLOOKUP(1, ('[1]Engagement Summary(Task1)'!$J$2:$J$201=Social_Media_Platform_Analysis!$AA316)*('[1]Engagement Summary(Task1)'!$I$2:$I$201=Social_Media_Platform_Analysis!$Z316)*('[1]Engagement Summary(Task1)'!$H$2:$H$201=Social_Media_Platform_Analysis!$AB316)*('[1]Engagement Summary(Task1)'!$B$2:$B$201=Social_Media_Platform_Analysis!$W316),'[1]Engagement Summary(Task1)'!$G$2:$G$201)</f>
        <v>40888</v>
      </c>
    </row>
    <row r="317" spans="23:29" x14ac:dyDescent="0.25">
      <c r="W317" s="11" t="s">
        <v>22</v>
      </c>
      <c r="X317" s="15">
        <v>45629</v>
      </c>
      <c r="Y317" s="11">
        <f xml:space="preserve"> SUM([1]!Posts[[#This Row],[Likes]],[1]!Posts[[#This Row],[Shares]],[1]!Posts[[#This Row],[Comments]])</f>
        <v>3726</v>
      </c>
      <c r="Z317" s="11">
        <f t="shared" si="12"/>
        <v>12</v>
      </c>
      <c r="AA317" s="11">
        <f t="shared" si="13"/>
        <v>1</v>
      </c>
      <c r="AB317" s="11">
        <f t="shared" si="14"/>
        <v>2024</v>
      </c>
      <c r="AC317" s="11" cm="1">
        <f t="array" ref="AC317">_xlfn.XLOOKUP(1, ('[1]Engagement Summary(Task1)'!$J$2:$J$201=Social_Media_Platform_Analysis!$AA317)*('[1]Engagement Summary(Task1)'!$I$2:$I$201=Social_Media_Platform_Analysis!$Z317)*('[1]Engagement Summary(Task1)'!$H$2:$H$201=Social_Media_Platform_Analysis!$AB317)*('[1]Engagement Summary(Task1)'!$B$2:$B$201=Social_Media_Platform_Analysis!$W317),'[1]Engagement Summary(Task1)'!$G$2:$G$201)</f>
        <v>40888</v>
      </c>
    </row>
    <row r="318" spans="23:29" x14ac:dyDescent="0.25">
      <c r="W318" s="11" t="s">
        <v>22</v>
      </c>
      <c r="X318" s="15">
        <v>45647</v>
      </c>
      <c r="Y318" s="11">
        <f xml:space="preserve"> SUM([1]!Posts[[#This Row],[Likes]],[1]!Posts[[#This Row],[Shares]],[1]!Posts[[#This Row],[Comments]])</f>
        <v>1113</v>
      </c>
      <c r="Z318" s="11">
        <f t="shared" si="12"/>
        <v>12</v>
      </c>
      <c r="AA318" s="11">
        <f t="shared" si="13"/>
        <v>3</v>
      </c>
      <c r="AB318" s="11">
        <f t="shared" si="14"/>
        <v>2024</v>
      </c>
      <c r="AC318" s="11" cm="1">
        <f t="array" ref="AC318">_xlfn.XLOOKUP(1, ('[1]Engagement Summary(Task1)'!$J$2:$J$201=Social_Media_Platform_Analysis!$AA318)*('[1]Engagement Summary(Task1)'!$I$2:$I$201=Social_Media_Platform_Analysis!$Z318)*('[1]Engagement Summary(Task1)'!$H$2:$H$201=Social_Media_Platform_Analysis!$AB318)*('[1]Engagement Summary(Task1)'!$B$2:$B$201=Social_Media_Platform_Analysis!$W318),'[1]Engagement Summary(Task1)'!$G$2:$G$201)</f>
        <v>49558</v>
      </c>
    </row>
    <row r="319" spans="23:29" x14ac:dyDescent="0.25">
      <c r="W319" s="11" t="s">
        <v>22</v>
      </c>
      <c r="X319" s="15">
        <v>45657</v>
      </c>
      <c r="Y319" s="11">
        <f xml:space="preserve"> SUM([1]!Posts[[#This Row],[Likes]],[1]!Posts[[#This Row],[Shares]],[1]!Posts[[#This Row],[Comments]])</f>
        <v>4892</v>
      </c>
      <c r="Z319" s="11">
        <f t="shared" si="12"/>
        <v>12</v>
      </c>
      <c r="AA319" s="11">
        <f t="shared" si="13"/>
        <v>5</v>
      </c>
      <c r="AB319" s="11">
        <f t="shared" si="14"/>
        <v>2024</v>
      </c>
      <c r="AC319" s="11" cm="1">
        <f t="array" ref="AC319">_xlfn.XLOOKUP(1, ('[1]Engagement Summary(Task1)'!$J$2:$J$201=Social_Media_Platform_Analysis!$AA319)*('[1]Engagement Summary(Task1)'!$I$2:$I$201=Social_Media_Platform_Analysis!$Z319)*('[1]Engagement Summary(Task1)'!$H$2:$H$201=Social_Media_Platform_Analysis!$AB319)*('[1]Engagement Summary(Task1)'!$B$2:$B$201=Social_Media_Platform_Analysis!$W319),'[1]Engagement Summary(Task1)'!$G$2:$G$201)</f>
        <v>39931</v>
      </c>
    </row>
    <row r="320" spans="23:29" x14ac:dyDescent="0.25">
      <c r="W320" s="11" t="s">
        <v>22</v>
      </c>
      <c r="X320" s="15">
        <v>45672</v>
      </c>
      <c r="Y320" s="11">
        <f xml:space="preserve"> SUM([1]!Posts[[#This Row],[Likes]],[1]!Posts[[#This Row],[Shares]],[1]!Posts[[#This Row],[Comments]])</f>
        <v>3962</v>
      </c>
      <c r="Z320" s="11">
        <f t="shared" si="12"/>
        <v>1</v>
      </c>
      <c r="AA320" s="11">
        <f t="shared" si="13"/>
        <v>3</v>
      </c>
      <c r="AB320" s="11">
        <f t="shared" si="14"/>
        <v>2025</v>
      </c>
      <c r="AC320" s="11" cm="1">
        <f t="array" ref="AC320">_xlfn.XLOOKUP(1, ('[1]Engagement Summary(Task1)'!$J$2:$J$201=Social_Media_Platform_Analysis!$AA320)*('[1]Engagement Summary(Task1)'!$I$2:$I$201=Social_Media_Platform_Analysis!$Z320)*('[1]Engagement Summary(Task1)'!$H$2:$H$201=Social_Media_Platform_Analysis!$AB320)*('[1]Engagement Summary(Task1)'!$B$2:$B$201=Social_Media_Platform_Analysis!$W320),'[1]Engagement Summary(Task1)'!$G$2:$G$201)</f>
        <v>7705</v>
      </c>
    </row>
    <row r="321" spans="23:29" x14ac:dyDescent="0.25">
      <c r="W321" s="11" t="s">
        <v>22</v>
      </c>
      <c r="X321" s="15">
        <v>45675</v>
      </c>
      <c r="Y321" s="11">
        <f xml:space="preserve"> SUM([1]!Posts[[#This Row],[Likes]],[1]!Posts[[#This Row],[Shares]],[1]!Posts[[#This Row],[Comments]])</f>
        <v>2104</v>
      </c>
      <c r="Z321" s="11">
        <f t="shared" si="12"/>
        <v>1</v>
      </c>
      <c r="AA321" s="11">
        <f t="shared" si="13"/>
        <v>3</v>
      </c>
      <c r="AB321" s="11">
        <f t="shared" si="14"/>
        <v>2025</v>
      </c>
      <c r="AC321" s="11" cm="1">
        <f t="array" ref="AC321">_xlfn.XLOOKUP(1, ('[1]Engagement Summary(Task1)'!$J$2:$J$201=Social_Media_Platform_Analysis!$AA321)*('[1]Engagement Summary(Task1)'!$I$2:$I$201=Social_Media_Platform_Analysis!$Z321)*('[1]Engagement Summary(Task1)'!$H$2:$H$201=Social_Media_Platform_Analysis!$AB321)*('[1]Engagement Summary(Task1)'!$B$2:$B$201=Social_Media_Platform_Analysis!$W321),'[1]Engagement Summary(Task1)'!$G$2:$G$201)</f>
        <v>7705</v>
      </c>
    </row>
    <row r="322" spans="23:29" x14ac:dyDescent="0.25">
      <c r="W322" s="11" t="s">
        <v>22</v>
      </c>
      <c r="X322" s="15">
        <v>45684</v>
      </c>
      <c r="Y322" s="11">
        <f xml:space="preserve"> SUM([1]!Posts[[#This Row],[Likes]],[1]!Posts[[#This Row],[Shares]],[1]!Posts[[#This Row],[Comments]])</f>
        <v>5851</v>
      </c>
      <c r="Z322" s="11">
        <f t="shared" si="12"/>
        <v>1</v>
      </c>
      <c r="AA322" s="11">
        <f t="shared" si="13"/>
        <v>4</v>
      </c>
      <c r="AB322" s="11">
        <f t="shared" si="14"/>
        <v>2025</v>
      </c>
      <c r="AC322" s="11" cm="1">
        <f t="array" ref="AC322">_xlfn.XLOOKUP(1, ('[1]Engagement Summary(Task1)'!$J$2:$J$201=Social_Media_Platform_Analysis!$AA322)*('[1]Engagement Summary(Task1)'!$I$2:$I$201=Social_Media_Platform_Analysis!$Z322)*('[1]Engagement Summary(Task1)'!$H$2:$H$201=Social_Media_Platform_Analysis!$AB322)*('[1]Engagement Summary(Task1)'!$B$2:$B$201=Social_Media_Platform_Analysis!$W322),'[1]Engagement Summary(Task1)'!$G$2:$G$201)</f>
        <v>43999</v>
      </c>
    </row>
    <row r="323" spans="23:29" x14ac:dyDescent="0.25">
      <c r="W323" s="11" t="s">
        <v>22</v>
      </c>
      <c r="X323" s="15">
        <v>45684</v>
      </c>
      <c r="Y323" s="11">
        <f xml:space="preserve"> SUM([1]!Posts[[#This Row],[Likes]],[1]!Posts[[#This Row],[Shares]],[1]!Posts[[#This Row],[Comments]])</f>
        <v>3214</v>
      </c>
      <c r="Z323" s="11">
        <f t="shared" si="12"/>
        <v>1</v>
      </c>
      <c r="AA323" s="11">
        <f t="shared" si="13"/>
        <v>4</v>
      </c>
      <c r="AB323" s="11">
        <f t="shared" si="14"/>
        <v>2025</v>
      </c>
      <c r="AC323" s="11" cm="1">
        <f t="array" ref="AC323">_xlfn.XLOOKUP(1, ('[1]Engagement Summary(Task1)'!$J$2:$J$201=Social_Media_Platform_Analysis!$AA323)*('[1]Engagement Summary(Task1)'!$I$2:$I$201=Social_Media_Platform_Analysis!$Z323)*('[1]Engagement Summary(Task1)'!$H$2:$H$201=Social_Media_Platform_Analysis!$AB323)*('[1]Engagement Summary(Task1)'!$B$2:$B$201=Social_Media_Platform_Analysis!$W323),'[1]Engagement Summary(Task1)'!$G$2:$G$201)</f>
        <v>43999</v>
      </c>
    </row>
    <row r="324" spans="23:29" x14ac:dyDescent="0.25">
      <c r="W324" s="11" t="s">
        <v>22</v>
      </c>
      <c r="X324" s="15">
        <v>45698</v>
      </c>
      <c r="Y324" s="11">
        <f xml:space="preserve"> SUM([1]!Posts[[#This Row],[Likes]],[1]!Posts[[#This Row],[Shares]],[1]!Posts[[#This Row],[Comments]])</f>
        <v>3006</v>
      </c>
      <c r="Z324" s="11">
        <f t="shared" si="12"/>
        <v>2</v>
      </c>
      <c r="AA324" s="11">
        <f t="shared" si="13"/>
        <v>2</v>
      </c>
      <c r="AB324" s="11">
        <f t="shared" si="14"/>
        <v>2025</v>
      </c>
      <c r="AC324" s="11" cm="1">
        <f t="array" ref="AC324">_xlfn.XLOOKUP(1, ('[1]Engagement Summary(Task1)'!$J$2:$J$201=Social_Media_Platform_Analysis!$AA324)*('[1]Engagement Summary(Task1)'!$I$2:$I$201=Social_Media_Platform_Analysis!$Z324)*('[1]Engagement Summary(Task1)'!$H$2:$H$201=Social_Media_Platform_Analysis!$AB324)*('[1]Engagement Summary(Task1)'!$B$2:$B$201=Social_Media_Platform_Analysis!$W324),'[1]Engagement Summary(Task1)'!$G$2:$G$201)</f>
        <v>24494</v>
      </c>
    </row>
    <row r="325" spans="23:29" x14ac:dyDescent="0.25">
      <c r="W325" s="11" t="s">
        <v>22</v>
      </c>
      <c r="X325" s="15">
        <v>45705</v>
      </c>
      <c r="Y325" s="11">
        <f xml:space="preserve"> SUM([1]!Posts[[#This Row],[Likes]],[1]!Posts[[#This Row],[Shares]],[1]!Posts[[#This Row],[Comments]])</f>
        <v>5033</v>
      </c>
      <c r="Z325" s="11">
        <f t="shared" si="12"/>
        <v>2</v>
      </c>
      <c r="AA325" s="11">
        <f t="shared" si="13"/>
        <v>3</v>
      </c>
      <c r="AB325" s="11">
        <f t="shared" si="14"/>
        <v>2025</v>
      </c>
      <c r="AC325" s="11" cm="1">
        <f t="array" ref="AC325">_xlfn.XLOOKUP(1, ('[1]Engagement Summary(Task1)'!$J$2:$J$201=Social_Media_Platform_Analysis!$AA325)*('[1]Engagement Summary(Task1)'!$I$2:$I$201=Social_Media_Platform_Analysis!$Z325)*('[1]Engagement Summary(Task1)'!$H$2:$H$201=Social_Media_Platform_Analysis!$AB325)*('[1]Engagement Summary(Task1)'!$B$2:$B$201=Social_Media_Platform_Analysis!$W325),'[1]Engagement Summary(Task1)'!$G$2:$G$201)</f>
        <v>22996</v>
      </c>
    </row>
    <row r="326" spans="23:29" x14ac:dyDescent="0.25">
      <c r="W326" s="11" t="s">
        <v>22</v>
      </c>
      <c r="X326" s="15">
        <v>45707</v>
      </c>
      <c r="Y326" s="11">
        <f xml:space="preserve"> SUM([1]!Posts[[#This Row],[Likes]],[1]!Posts[[#This Row],[Shares]],[1]!Posts[[#This Row],[Comments]])</f>
        <v>1522</v>
      </c>
      <c r="Z326" s="11">
        <f t="shared" si="12"/>
        <v>2</v>
      </c>
      <c r="AA326" s="11">
        <f t="shared" si="13"/>
        <v>3</v>
      </c>
      <c r="AB326" s="11">
        <f t="shared" si="14"/>
        <v>2025</v>
      </c>
      <c r="AC326" s="11" cm="1">
        <f t="array" ref="AC326">_xlfn.XLOOKUP(1, ('[1]Engagement Summary(Task1)'!$J$2:$J$201=Social_Media_Platform_Analysis!$AA326)*('[1]Engagement Summary(Task1)'!$I$2:$I$201=Social_Media_Platform_Analysis!$Z326)*('[1]Engagement Summary(Task1)'!$H$2:$H$201=Social_Media_Platform_Analysis!$AB326)*('[1]Engagement Summary(Task1)'!$B$2:$B$201=Social_Media_Platform_Analysis!$W326),'[1]Engagement Summary(Task1)'!$G$2:$G$201)</f>
        <v>22996</v>
      </c>
    </row>
    <row r="327" spans="23:29" x14ac:dyDescent="0.25">
      <c r="W327" s="11" t="s">
        <v>22</v>
      </c>
      <c r="X327" s="15">
        <v>45712</v>
      </c>
      <c r="Y327" s="11">
        <f xml:space="preserve"> SUM([1]!Posts[[#This Row],[Likes]],[1]!Posts[[#This Row],[Shares]],[1]!Posts[[#This Row],[Comments]])</f>
        <v>1522</v>
      </c>
      <c r="Z327" s="11">
        <f t="shared" ref="Z327:Z344" si="15">MONTH(X327)</f>
        <v>2</v>
      </c>
      <c r="AA327" s="11">
        <f t="shared" ref="AA327:AA344" si="16">INT((DAY(X327)-1)/7)+1</f>
        <v>4</v>
      </c>
      <c r="AB327" s="11">
        <f t="shared" ref="AB327:AB344" si="17">YEAR(X327)</f>
        <v>2025</v>
      </c>
      <c r="AC327" s="11" cm="1">
        <f t="array" ref="AC327">_xlfn.XLOOKUP(1, ('[1]Engagement Summary(Task1)'!$J$2:$J$201=Social_Media_Platform_Analysis!$AA327)*('[1]Engagement Summary(Task1)'!$I$2:$I$201=Social_Media_Platform_Analysis!$Z327)*('[1]Engagement Summary(Task1)'!$H$2:$H$201=Social_Media_Platform_Analysis!$AB327)*('[1]Engagement Summary(Task1)'!$B$2:$B$201=Social_Media_Platform_Analysis!$W327),'[1]Engagement Summary(Task1)'!$G$2:$G$201)</f>
        <v>39031</v>
      </c>
    </row>
    <row r="328" spans="23:29" x14ac:dyDescent="0.25">
      <c r="W328" s="11" t="s">
        <v>22</v>
      </c>
      <c r="X328" s="15">
        <v>45712</v>
      </c>
      <c r="Y328" s="11">
        <f xml:space="preserve"> SUM([1]!Posts[[#This Row],[Likes]],[1]!Posts[[#This Row],[Shares]],[1]!Posts[[#This Row],[Comments]])</f>
        <v>3601</v>
      </c>
      <c r="Z328" s="11">
        <f t="shared" si="15"/>
        <v>2</v>
      </c>
      <c r="AA328" s="11">
        <f t="shared" si="16"/>
        <v>4</v>
      </c>
      <c r="AB328" s="11">
        <f t="shared" si="17"/>
        <v>2025</v>
      </c>
      <c r="AC328" s="11" cm="1">
        <f t="array" ref="AC328">_xlfn.XLOOKUP(1, ('[1]Engagement Summary(Task1)'!$J$2:$J$201=Social_Media_Platform_Analysis!$AA328)*('[1]Engagement Summary(Task1)'!$I$2:$I$201=Social_Media_Platform_Analysis!$Z328)*('[1]Engagement Summary(Task1)'!$H$2:$H$201=Social_Media_Platform_Analysis!$AB328)*('[1]Engagement Summary(Task1)'!$B$2:$B$201=Social_Media_Platform_Analysis!$W328),'[1]Engagement Summary(Task1)'!$G$2:$G$201)</f>
        <v>39031</v>
      </c>
    </row>
    <row r="329" spans="23:29" x14ac:dyDescent="0.25">
      <c r="W329" s="11" t="s">
        <v>22</v>
      </c>
      <c r="X329" s="15">
        <v>45712</v>
      </c>
      <c r="Y329" s="11">
        <f xml:space="preserve"> SUM([1]!Posts[[#This Row],[Likes]],[1]!Posts[[#This Row],[Shares]],[1]!Posts[[#This Row],[Comments]])</f>
        <v>5180</v>
      </c>
      <c r="Z329" s="11">
        <f t="shared" si="15"/>
        <v>2</v>
      </c>
      <c r="AA329" s="11">
        <f t="shared" si="16"/>
        <v>4</v>
      </c>
      <c r="AB329" s="11">
        <f t="shared" si="17"/>
        <v>2025</v>
      </c>
      <c r="AC329" s="11" cm="1">
        <f t="array" ref="AC329">_xlfn.XLOOKUP(1, ('[1]Engagement Summary(Task1)'!$J$2:$J$201=Social_Media_Platform_Analysis!$AA329)*('[1]Engagement Summary(Task1)'!$I$2:$I$201=Social_Media_Platform_Analysis!$Z329)*('[1]Engagement Summary(Task1)'!$H$2:$H$201=Social_Media_Platform_Analysis!$AB329)*('[1]Engagement Summary(Task1)'!$B$2:$B$201=Social_Media_Platform_Analysis!$W329),'[1]Engagement Summary(Task1)'!$G$2:$G$201)</f>
        <v>39031</v>
      </c>
    </row>
    <row r="330" spans="23:29" x14ac:dyDescent="0.25">
      <c r="W330" s="11" t="s">
        <v>22</v>
      </c>
      <c r="X330" s="15">
        <v>45715</v>
      </c>
      <c r="Y330" s="11">
        <f xml:space="preserve"> SUM([1]!Posts[[#This Row],[Likes]],[1]!Posts[[#This Row],[Shares]],[1]!Posts[[#This Row],[Comments]])</f>
        <v>2583</v>
      </c>
      <c r="Z330" s="11">
        <f t="shared" si="15"/>
        <v>2</v>
      </c>
      <c r="AA330" s="11">
        <f t="shared" si="16"/>
        <v>4</v>
      </c>
      <c r="AB330" s="11">
        <f t="shared" si="17"/>
        <v>2025</v>
      </c>
      <c r="AC330" s="11" cm="1">
        <f t="array" ref="AC330">_xlfn.XLOOKUP(1, ('[1]Engagement Summary(Task1)'!$J$2:$J$201=Social_Media_Platform_Analysis!$AA330)*('[1]Engagement Summary(Task1)'!$I$2:$I$201=Social_Media_Platform_Analysis!$Z330)*('[1]Engagement Summary(Task1)'!$H$2:$H$201=Social_Media_Platform_Analysis!$AB330)*('[1]Engagement Summary(Task1)'!$B$2:$B$201=Social_Media_Platform_Analysis!$W330),'[1]Engagement Summary(Task1)'!$G$2:$G$201)</f>
        <v>39031</v>
      </c>
    </row>
    <row r="331" spans="23:29" x14ac:dyDescent="0.25">
      <c r="W331" s="11" t="s">
        <v>22</v>
      </c>
      <c r="X331" s="15">
        <v>45715</v>
      </c>
      <c r="Y331" s="11">
        <f xml:space="preserve"> SUM([1]!Posts[[#This Row],[Likes]],[1]!Posts[[#This Row],[Shares]],[1]!Posts[[#This Row],[Comments]])</f>
        <v>2583</v>
      </c>
      <c r="Z331" s="11">
        <f t="shared" si="15"/>
        <v>2</v>
      </c>
      <c r="AA331" s="11">
        <f t="shared" si="16"/>
        <v>4</v>
      </c>
      <c r="AB331" s="11">
        <f t="shared" si="17"/>
        <v>2025</v>
      </c>
      <c r="AC331" s="11" cm="1">
        <f t="array" ref="AC331">_xlfn.XLOOKUP(1, ('[1]Engagement Summary(Task1)'!$J$2:$J$201=Social_Media_Platform_Analysis!$AA331)*('[1]Engagement Summary(Task1)'!$I$2:$I$201=Social_Media_Platform_Analysis!$Z331)*('[1]Engagement Summary(Task1)'!$H$2:$H$201=Social_Media_Platform_Analysis!$AB331)*('[1]Engagement Summary(Task1)'!$B$2:$B$201=Social_Media_Platform_Analysis!$W331),'[1]Engagement Summary(Task1)'!$G$2:$G$201)</f>
        <v>39031</v>
      </c>
    </row>
    <row r="332" spans="23:29" x14ac:dyDescent="0.25">
      <c r="W332" s="11" t="s">
        <v>22</v>
      </c>
      <c r="X332" s="15">
        <v>45719</v>
      </c>
      <c r="Y332" s="11">
        <f xml:space="preserve"> SUM([1]!Posts[[#This Row],[Likes]],[1]!Posts[[#This Row],[Shares]],[1]!Posts[[#This Row],[Comments]])</f>
        <v>2583</v>
      </c>
      <c r="Z332" s="11">
        <f t="shared" si="15"/>
        <v>3</v>
      </c>
      <c r="AA332" s="11">
        <f t="shared" si="16"/>
        <v>1</v>
      </c>
      <c r="AB332" s="11">
        <f t="shared" si="17"/>
        <v>2025</v>
      </c>
      <c r="AC332" s="11" cm="1">
        <f t="array" ref="AC332">_xlfn.XLOOKUP(1, ('[1]Engagement Summary(Task1)'!$J$2:$J$201=Social_Media_Platform_Analysis!$AA332)*('[1]Engagement Summary(Task1)'!$I$2:$I$201=Social_Media_Platform_Analysis!$Z332)*('[1]Engagement Summary(Task1)'!$H$2:$H$201=Social_Media_Platform_Analysis!$AB332)*('[1]Engagement Summary(Task1)'!$B$2:$B$201=Social_Media_Platform_Analysis!$W332),'[1]Engagement Summary(Task1)'!$G$2:$G$201)</f>
        <v>30987</v>
      </c>
    </row>
    <row r="333" spans="23:29" x14ac:dyDescent="0.25">
      <c r="W333" s="11" t="s">
        <v>22</v>
      </c>
      <c r="X333" s="15">
        <v>45719</v>
      </c>
      <c r="Y333" s="11">
        <f xml:space="preserve"> SUM([1]!Posts[[#This Row],[Likes]],[1]!Posts[[#This Row],[Shares]],[1]!Posts[[#This Row],[Comments]])</f>
        <v>3473</v>
      </c>
      <c r="Z333" s="11">
        <f t="shared" si="15"/>
        <v>3</v>
      </c>
      <c r="AA333" s="11">
        <f t="shared" si="16"/>
        <v>1</v>
      </c>
      <c r="AB333" s="11">
        <f t="shared" si="17"/>
        <v>2025</v>
      </c>
      <c r="AC333" s="11" cm="1">
        <f t="array" ref="AC333">_xlfn.XLOOKUP(1, ('[1]Engagement Summary(Task1)'!$J$2:$J$201=Social_Media_Platform_Analysis!$AA333)*('[1]Engagement Summary(Task1)'!$I$2:$I$201=Social_Media_Platform_Analysis!$Z333)*('[1]Engagement Summary(Task1)'!$H$2:$H$201=Social_Media_Platform_Analysis!$AB333)*('[1]Engagement Summary(Task1)'!$B$2:$B$201=Social_Media_Platform_Analysis!$W333),'[1]Engagement Summary(Task1)'!$G$2:$G$201)</f>
        <v>30987</v>
      </c>
    </row>
    <row r="334" spans="23:29" x14ac:dyDescent="0.25">
      <c r="W334" s="11" t="s">
        <v>22</v>
      </c>
      <c r="X334" s="15">
        <v>45721</v>
      </c>
      <c r="Y334" s="11">
        <f xml:space="preserve"> SUM([1]!Posts[[#This Row],[Likes]],[1]!Posts[[#This Row],[Shares]],[1]!Posts[[#This Row],[Comments]])</f>
        <v>3473</v>
      </c>
      <c r="Z334" s="11">
        <f t="shared" si="15"/>
        <v>3</v>
      </c>
      <c r="AA334" s="11">
        <f t="shared" si="16"/>
        <v>1</v>
      </c>
      <c r="AB334" s="11">
        <f t="shared" si="17"/>
        <v>2025</v>
      </c>
      <c r="AC334" s="11" cm="1">
        <f t="array" ref="AC334">_xlfn.XLOOKUP(1, ('[1]Engagement Summary(Task1)'!$J$2:$J$201=Social_Media_Platform_Analysis!$AA334)*('[1]Engagement Summary(Task1)'!$I$2:$I$201=Social_Media_Platform_Analysis!$Z334)*('[1]Engagement Summary(Task1)'!$H$2:$H$201=Social_Media_Platform_Analysis!$AB334)*('[1]Engagement Summary(Task1)'!$B$2:$B$201=Social_Media_Platform_Analysis!$W334),'[1]Engagement Summary(Task1)'!$G$2:$G$201)</f>
        <v>30987</v>
      </c>
    </row>
    <row r="335" spans="23:29" x14ac:dyDescent="0.25">
      <c r="W335" s="11" t="s">
        <v>22</v>
      </c>
      <c r="X335" s="15">
        <v>45729</v>
      </c>
      <c r="Y335" s="11">
        <f xml:space="preserve"> SUM([1]!Posts[[#This Row],[Likes]],[1]!Posts[[#This Row],[Shares]],[1]!Posts[[#This Row],[Comments]])</f>
        <v>2637</v>
      </c>
      <c r="Z335" s="11">
        <f t="shared" si="15"/>
        <v>3</v>
      </c>
      <c r="AA335" s="11">
        <f t="shared" si="16"/>
        <v>2</v>
      </c>
      <c r="AB335" s="11">
        <f t="shared" si="17"/>
        <v>2025</v>
      </c>
      <c r="AC335" s="11" cm="1">
        <f t="array" ref="AC335">_xlfn.XLOOKUP(1, ('[1]Engagement Summary(Task1)'!$J$2:$J$201=Social_Media_Platform_Analysis!$AA335)*('[1]Engagement Summary(Task1)'!$I$2:$I$201=Social_Media_Platform_Analysis!$Z335)*('[1]Engagement Summary(Task1)'!$H$2:$H$201=Social_Media_Platform_Analysis!$AB335)*('[1]Engagement Summary(Task1)'!$B$2:$B$201=Social_Media_Platform_Analysis!$W335),'[1]Engagement Summary(Task1)'!$G$2:$G$201)</f>
        <v>11383</v>
      </c>
    </row>
    <row r="336" spans="23:29" x14ac:dyDescent="0.25">
      <c r="W336" s="11" t="s">
        <v>22</v>
      </c>
      <c r="X336" s="15">
        <v>45734</v>
      </c>
      <c r="Y336" s="11">
        <f xml:space="preserve"> SUM([1]!Posts[[#This Row],[Likes]],[1]!Posts[[#This Row],[Shares]],[1]!Posts[[#This Row],[Comments]])</f>
        <v>5040</v>
      </c>
      <c r="Z336" s="11">
        <f t="shared" si="15"/>
        <v>3</v>
      </c>
      <c r="AA336" s="11">
        <f t="shared" si="16"/>
        <v>3</v>
      </c>
      <c r="AB336" s="11">
        <f t="shared" si="17"/>
        <v>2025</v>
      </c>
      <c r="AC336" s="11" cm="1">
        <f t="array" ref="AC336">_xlfn.XLOOKUP(1, ('[1]Engagement Summary(Task1)'!$J$2:$J$201=Social_Media_Platform_Analysis!$AA336)*('[1]Engagement Summary(Task1)'!$I$2:$I$201=Social_Media_Platform_Analysis!$Z336)*('[1]Engagement Summary(Task1)'!$H$2:$H$201=Social_Media_Platform_Analysis!$AB336)*('[1]Engagement Summary(Task1)'!$B$2:$B$201=Social_Media_Platform_Analysis!$W336),'[1]Engagement Summary(Task1)'!$G$2:$G$201)</f>
        <v>35801</v>
      </c>
    </row>
    <row r="337" spans="23:29" x14ac:dyDescent="0.25">
      <c r="W337" s="11" t="s">
        <v>22</v>
      </c>
      <c r="X337" s="15">
        <v>45737</v>
      </c>
      <c r="Y337" s="11">
        <f xml:space="preserve"> SUM([1]!Posts[[#This Row],[Likes]],[1]!Posts[[#This Row],[Shares]],[1]!Posts[[#This Row],[Comments]])</f>
        <v>3215</v>
      </c>
      <c r="Z337" s="11">
        <f t="shared" si="15"/>
        <v>3</v>
      </c>
      <c r="AA337" s="11">
        <f t="shared" si="16"/>
        <v>3</v>
      </c>
      <c r="AB337" s="11">
        <f t="shared" si="17"/>
        <v>2025</v>
      </c>
      <c r="AC337" s="11" cm="1">
        <f t="array" ref="AC337">_xlfn.XLOOKUP(1, ('[1]Engagement Summary(Task1)'!$J$2:$J$201=Social_Media_Platform_Analysis!$AA337)*('[1]Engagement Summary(Task1)'!$I$2:$I$201=Social_Media_Platform_Analysis!$Z337)*('[1]Engagement Summary(Task1)'!$H$2:$H$201=Social_Media_Platform_Analysis!$AB337)*('[1]Engagement Summary(Task1)'!$B$2:$B$201=Social_Media_Platform_Analysis!$W337),'[1]Engagement Summary(Task1)'!$G$2:$G$201)</f>
        <v>35801</v>
      </c>
    </row>
    <row r="338" spans="23:29" x14ac:dyDescent="0.25">
      <c r="W338" s="11" t="s">
        <v>22</v>
      </c>
      <c r="X338" s="15">
        <v>45738</v>
      </c>
      <c r="Y338" s="11">
        <f xml:space="preserve"> SUM([1]!Posts[[#This Row],[Likes]],[1]!Posts[[#This Row],[Shares]],[1]!Posts[[#This Row],[Comments]])</f>
        <v>5256</v>
      </c>
      <c r="Z338" s="11">
        <f t="shared" si="15"/>
        <v>3</v>
      </c>
      <c r="AA338" s="11">
        <f t="shared" si="16"/>
        <v>4</v>
      </c>
      <c r="AB338" s="11">
        <f t="shared" si="17"/>
        <v>2025</v>
      </c>
      <c r="AC338" s="11" cm="1">
        <f t="array" ref="AC338">_xlfn.XLOOKUP(1, ('[1]Engagement Summary(Task1)'!$J$2:$J$201=Social_Media_Platform_Analysis!$AA338)*('[1]Engagement Summary(Task1)'!$I$2:$I$201=Social_Media_Platform_Analysis!$Z338)*('[1]Engagement Summary(Task1)'!$H$2:$H$201=Social_Media_Platform_Analysis!$AB338)*('[1]Engagement Summary(Task1)'!$B$2:$B$201=Social_Media_Platform_Analysis!$W338),'[1]Engagement Summary(Task1)'!$G$2:$G$201)</f>
        <v>20059</v>
      </c>
    </row>
    <row r="339" spans="23:29" x14ac:dyDescent="0.25">
      <c r="W339" s="11" t="s">
        <v>22</v>
      </c>
      <c r="X339" s="15">
        <v>45739</v>
      </c>
      <c r="Y339" s="11">
        <f xml:space="preserve"> SUM([1]!Posts[[#This Row],[Likes]],[1]!Posts[[#This Row],[Shares]],[1]!Posts[[#This Row],[Comments]])</f>
        <v>5256</v>
      </c>
      <c r="Z339" s="11">
        <f t="shared" si="15"/>
        <v>3</v>
      </c>
      <c r="AA339" s="11">
        <f t="shared" si="16"/>
        <v>4</v>
      </c>
      <c r="AB339" s="11">
        <f t="shared" si="17"/>
        <v>2025</v>
      </c>
      <c r="AC339" s="11" cm="1">
        <f t="array" ref="AC339">_xlfn.XLOOKUP(1, ('[1]Engagement Summary(Task1)'!$J$2:$J$201=Social_Media_Platform_Analysis!$AA339)*('[1]Engagement Summary(Task1)'!$I$2:$I$201=Social_Media_Platform_Analysis!$Z339)*('[1]Engagement Summary(Task1)'!$H$2:$H$201=Social_Media_Platform_Analysis!$AB339)*('[1]Engagement Summary(Task1)'!$B$2:$B$201=Social_Media_Platform_Analysis!$W339),'[1]Engagement Summary(Task1)'!$G$2:$G$201)</f>
        <v>20059</v>
      </c>
    </row>
    <row r="340" spans="23:29" x14ac:dyDescent="0.25">
      <c r="W340" s="11" t="s">
        <v>22</v>
      </c>
      <c r="X340" s="15">
        <v>45741</v>
      </c>
      <c r="Y340" s="11">
        <f xml:space="preserve"> SUM([1]!Posts[[#This Row],[Likes]],[1]!Posts[[#This Row],[Shares]],[1]!Posts[[#This Row],[Comments]])</f>
        <v>5256</v>
      </c>
      <c r="Z340" s="11">
        <f t="shared" si="15"/>
        <v>3</v>
      </c>
      <c r="AA340" s="11">
        <f t="shared" si="16"/>
        <v>4</v>
      </c>
      <c r="AB340" s="11">
        <f t="shared" si="17"/>
        <v>2025</v>
      </c>
      <c r="AC340" s="11" cm="1">
        <f t="array" ref="AC340">_xlfn.XLOOKUP(1, ('[1]Engagement Summary(Task1)'!$J$2:$J$201=Social_Media_Platform_Analysis!$AA340)*('[1]Engagement Summary(Task1)'!$I$2:$I$201=Social_Media_Platform_Analysis!$Z340)*('[1]Engagement Summary(Task1)'!$H$2:$H$201=Social_Media_Platform_Analysis!$AB340)*('[1]Engagement Summary(Task1)'!$B$2:$B$201=Social_Media_Platform_Analysis!$W340),'[1]Engagement Summary(Task1)'!$G$2:$G$201)</f>
        <v>20059</v>
      </c>
    </row>
    <row r="341" spans="23:29" x14ac:dyDescent="0.25">
      <c r="W341" s="11" t="s">
        <v>22</v>
      </c>
      <c r="X341" s="15">
        <v>45752</v>
      </c>
      <c r="Y341" s="11" t="e">
        <f xml:space="preserve"> SUM([1]!Posts[[#This Row],[Likes]],[1]!Posts[[#This Row],[Shares]],[1]!Posts[[#This Row],[Comments]])</f>
        <v>#VALUE!</v>
      </c>
      <c r="Z341" s="11">
        <f t="shared" si="15"/>
        <v>4</v>
      </c>
      <c r="AA341" s="11">
        <f t="shared" si="16"/>
        <v>1</v>
      </c>
      <c r="AB341" s="11">
        <f t="shared" si="17"/>
        <v>2025</v>
      </c>
      <c r="AC341" s="11" cm="1">
        <f t="array" ref="AC341">_xlfn.XLOOKUP(1, ('[1]Engagement Summary(Task1)'!$J$2:$J$201=Social_Media_Platform_Analysis!$AA341)*('[1]Engagement Summary(Task1)'!$I$2:$I$201=Social_Media_Platform_Analysis!$Z341)*('[1]Engagement Summary(Task1)'!$H$2:$H$201=Social_Media_Platform_Analysis!$AB341)*('[1]Engagement Summary(Task1)'!$B$2:$B$201=Social_Media_Platform_Analysis!$W341),'[1]Engagement Summary(Task1)'!$G$2:$G$201)</f>
        <v>39923</v>
      </c>
    </row>
    <row r="342" spans="23:29" x14ac:dyDescent="0.25">
      <c r="W342" s="11" t="s">
        <v>22</v>
      </c>
      <c r="X342" s="15">
        <v>45753</v>
      </c>
      <c r="Y342" s="11" t="e">
        <f xml:space="preserve"> SUM([1]!Posts[[#This Row],[Likes]],[1]!Posts[[#This Row],[Shares]],[1]!Posts[[#This Row],[Comments]])</f>
        <v>#VALUE!</v>
      </c>
      <c r="Z342" s="11">
        <f t="shared" si="15"/>
        <v>4</v>
      </c>
      <c r="AA342" s="11">
        <f t="shared" si="16"/>
        <v>1</v>
      </c>
      <c r="AB342" s="11">
        <f t="shared" si="17"/>
        <v>2025</v>
      </c>
      <c r="AC342" s="11" cm="1">
        <f t="array" ref="AC342">_xlfn.XLOOKUP(1, ('[1]Engagement Summary(Task1)'!$J$2:$J$201=Social_Media_Platform_Analysis!$AA342)*('[1]Engagement Summary(Task1)'!$I$2:$I$201=Social_Media_Platform_Analysis!$Z342)*('[1]Engagement Summary(Task1)'!$H$2:$H$201=Social_Media_Platform_Analysis!$AB342)*('[1]Engagement Summary(Task1)'!$B$2:$B$201=Social_Media_Platform_Analysis!$W342),'[1]Engagement Summary(Task1)'!$G$2:$G$201)</f>
        <v>39923</v>
      </c>
    </row>
    <row r="343" spans="23:29" x14ac:dyDescent="0.25">
      <c r="W343" s="11" t="s">
        <v>22</v>
      </c>
      <c r="X343" s="15">
        <v>45764</v>
      </c>
      <c r="Y343" s="11" t="e">
        <f xml:space="preserve"> SUM([1]!Posts[[#This Row],[Likes]],[1]!Posts[[#This Row],[Shares]],[1]!Posts[[#This Row],[Comments]])</f>
        <v>#VALUE!</v>
      </c>
      <c r="Z343" s="11">
        <f t="shared" si="15"/>
        <v>4</v>
      </c>
      <c r="AA343" s="11">
        <f t="shared" si="16"/>
        <v>3</v>
      </c>
      <c r="AB343" s="11">
        <f t="shared" si="17"/>
        <v>2025</v>
      </c>
      <c r="AC343" s="11" cm="1">
        <f t="array" ref="AC343">_xlfn.XLOOKUP(1, ('[1]Engagement Summary(Task1)'!$J$2:$J$201=Social_Media_Platform_Analysis!$AA343)*('[1]Engagement Summary(Task1)'!$I$2:$I$201=Social_Media_Platform_Analysis!$Z343)*('[1]Engagement Summary(Task1)'!$H$2:$H$201=Social_Media_Platform_Analysis!$AB343)*('[1]Engagement Summary(Task1)'!$B$2:$B$201=Social_Media_Platform_Analysis!$W343),'[1]Engagement Summary(Task1)'!$G$2:$G$201)</f>
        <v>14090</v>
      </c>
    </row>
    <row r="344" spans="23:29" x14ac:dyDescent="0.25">
      <c r="W344" s="11" t="s">
        <v>22</v>
      </c>
      <c r="X344" s="15">
        <v>45789</v>
      </c>
      <c r="Y344" s="11" t="e">
        <f xml:space="preserve"> SUM([1]!Posts[[#This Row],[Likes]],[1]!Posts[[#This Row],[Shares]],[1]!Posts[[#This Row],[Comments]])</f>
        <v>#VALUE!</v>
      </c>
      <c r="Z344" s="11">
        <f t="shared" si="15"/>
        <v>5</v>
      </c>
      <c r="AA344" s="11">
        <f t="shared" si="16"/>
        <v>2</v>
      </c>
      <c r="AB344" s="11">
        <f t="shared" si="17"/>
        <v>2025</v>
      </c>
      <c r="AC344" s="11" cm="1">
        <f t="array" ref="AC344">_xlfn.XLOOKUP(1, ('[1]Engagement Summary(Task1)'!$J$2:$J$201=Social_Media_Platform_Analysis!$AA344)*('[1]Engagement Summary(Task1)'!$I$2:$I$201=Social_Media_Platform_Analysis!$Z344)*('[1]Engagement Summary(Task1)'!$H$2:$H$201=Social_Media_Platform_Analysis!$AB344)*('[1]Engagement Summary(Task1)'!$B$2:$B$201=Social_Media_Platform_Analysis!$W344),'[1]Engagement Summary(Task1)'!$G$2:$G$201)</f>
        <v>12174</v>
      </c>
    </row>
  </sheetData>
  <mergeCells count="13">
    <mergeCell ref="AM31:AP38"/>
    <mergeCell ref="D18:E18"/>
    <mergeCell ref="D19:D22"/>
    <mergeCell ref="E19:E22"/>
    <mergeCell ref="D23:D25"/>
    <mergeCell ref="E23:E25"/>
    <mergeCell ref="AM30:AP30"/>
    <mergeCell ref="H2:R3"/>
    <mergeCell ref="X4:AK4"/>
    <mergeCell ref="AM4:AP4"/>
    <mergeCell ref="I5:T5"/>
    <mergeCell ref="D6:E6"/>
    <mergeCell ref="AM13:AP13"/>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Social_Media_Platform_Analysis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Balaji</dc:creator>
  <cp:lastModifiedBy>Sanika Balaji</cp:lastModifiedBy>
  <dcterms:created xsi:type="dcterms:W3CDTF">2025-11-07T19:58:20Z</dcterms:created>
  <dcterms:modified xsi:type="dcterms:W3CDTF">2025-11-07T19:59:26Z</dcterms:modified>
</cp:coreProperties>
</file>