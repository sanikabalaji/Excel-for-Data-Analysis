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ndia\Documents\"/>
    </mc:Choice>
  </mc:AlternateContent>
  <xr:revisionPtr revIDLastSave="0" documentId="8_{5294A87A-7967-4757-AEBE-B461C913DA01}" xr6:coauthVersionLast="47" xr6:coauthVersionMax="47" xr10:uidLastSave="{00000000-0000-0000-0000-000000000000}"/>
  <bookViews>
    <workbookView xWindow="-120" yWindow="-120" windowWidth="23280" windowHeight="14880" xr2:uid="{8C9248A4-D8B8-4312-B4B2-789DA851DC16}"/>
  </bookViews>
  <sheets>
    <sheet name="FollowerRetention&amp;Loyalty" sheetId="1" r:id="rId1"/>
  </sheets>
  <externalReferences>
    <externalReference r:id="rId2"/>
  </externalReferences>
  <definedNames>
    <definedName name="Slicer_Platform">#N/A</definedName>
    <definedName name="Slicer_Year1">#N/A</definedName>
  </definedNames>
  <calcPr calcId="191029"/>
  <pivotCaches>
    <pivotCache cacheId="20" r:id="rId3"/>
    <pivotCache cacheId="22" r:id="rId4"/>
    <pivotCache cacheId="2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206" i="1" l="1"/>
  <c r="CE206" i="1"/>
  <c r="CD206" i="1"/>
  <c r="CC206" i="1"/>
  <c r="L206" i="1"/>
  <c r="K206" i="1"/>
  <c r="J206" i="1"/>
  <c r="I206" i="1"/>
  <c r="CI205" i="1"/>
  <c r="CE205" i="1"/>
  <c r="CD205" i="1"/>
  <c r="CC205" i="1"/>
  <c r="L205" i="1"/>
  <c r="K205" i="1"/>
  <c r="J205" i="1"/>
  <c r="I205" i="1"/>
  <c r="CI204" i="1"/>
  <c r="CE204" i="1"/>
  <c r="CD204" i="1"/>
  <c r="CC204" i="1"/>
  <c r="L204" i="1"/>
  <c r="K204" i="1"/>
  <c r="J204" i="1"/>
  <c r="I204" i="1"/>
  <c r="CI203" i="1"/>
  <c r="CE203" i="1"/>
  <c r="CD203" i="1"/>
  <c r="CC203" i="1"/>
  <c r="L203" i="1"/>
  <c r="K203" i="1"/>
  <c r="J203" i="1"/>
  <c r="I203" i="1"/>
  <c r="CI202" i="1"/>
  <c r="CE202" i="1"/>
  <c r="CD202" i="1"/>
  <c r="CC202" i="1"/>
  <c r="L202" i="1"/>
  <c r="K202" i="1"/>
  <c r="J202" i="1"/>
  <c r="I202" i="1"/>
  <c r="CI201" i="1"/>
  <c r="CE201" i="1"/>
  <c r="CD201" i="1"/>
  <c r="CC201" i="1"/>
  <c r="L201" i="1"/>
  <c r="K201" i="1"/>
  <c r="J201" i="1"/>
  <c r="I201" i="1"/>
  <c r="CI200" i="1"/>
  <c r="CE200" i="1"/>
  <c r="CD200" i="1"/>
  <c r="CC200" i="1"/>
  <c r="L200" i="1"/>
  <c r="K200" i="1"/>
  <c r="J200" i="1"/>
  <c r="I200" i="1"/>
  <c r="CI199" i="1"/>
  <c r="CE199" i="1"/>
  <c r="CD199" i="1"/>
  <c r="CC199" i="1"/>
  <c r="L199" i="1"/>
  <c r="K199" i="1"/>
  <c r="J199" i="1"/>
  <c r="I199" i="1"/>
  <c r="CI198" i="1"/>
  <c r="CE198" i="1"/>
  <c r="CD198" i="1"/>
  <c r="CC198" i="1"/>
  <c r="L198" i="1"/>
  <c r="K198" i="1"/>
  <c r="J198" i="1"/>
  <c r="I198" i="1"/>
  <c r="CI197" i="1"/>
  <c r="CE197" i="1"/>
  <c r="CD197" i="1"/>
  <c r="CC197" i="1"/>
  <c r="L197" i="1"/>
  <c r="K197" i="1"/>
  <c r="J197" i="1"/>
  <c r="I197" i="1"/>
  <c r="CI196" i="1"/>
  <c r="CE196" i="1"/>
  <c r="CD196" i="1"/>
  <c r="CC196" i="1"/>
  <c r="L196" i="1"/>
  <c r="K196" i="1"/>
  <c r="J196" i="1"/>
  <c r="I196" i="1"/>
  <c r="CI195" i="1"/>
  <c r="CE195" i="1"/>
  <c r="CD195" i="1"/>
  <c r="CC195" i="1"/>
  <c r="L195" i="1"/>
  <c r="K195" i="1"/>
  <c r="J195" i="1"/>
  <c r="I195" i="1"/>
  <c r="CI194" i="1"/>
  <c r="CE194" i="1"/>
  <c r="CD194" i="1"/>
  <c r="CC194" i="1"/>
  <c r="L194" i="1"/>
  <c r="K194" i="1"/>
  <c r="J194" i="1"/>
  <c r="I194" i="1"/>
  <c r="CI193" i="1"/>
  <c r="CE193" i="1"/>
  <c r="CD193" i="1"/>
  <c r="CC193" i="1"/>
  <c r="L193" i="1"/>
  <c r="K193" i="1"/>
  <c r="J193" i="1"/>
  <c r="I193" i="1"/>
  <c r="CI192" i="1"/>
  <c r="CE192" i="1"/>
  <c r="CD192" i="1"/>
  <c r="CC192" i="1"/>
  <c r="L192" i="1"/>
  <c r="K192" i="1"/>
  <c r="J192" i="1"/>
  <c r="I192" i="1"/>
  <c r="CI191" i="1"/>
  <c r="CE191" i="1"/>
  <c r="CD191" i="1"/>
  <c r="CC191" i="1"/>
  <c r="L191" i="1"/>
  <c r="K191" i="1"/>
  <c r="J191" i="1"/>
  <c r="I191" i="1"/>
  <c r="CI190" i="1"/>
  <c r="CE190" i="1"/>
  <c r="CD190" i="1"/>
  <c r="CC190" i="1"/>
  <c r="L190" i="1"/>
  <c r="K190" i="1"/>
  <c r="J190" i="1"/>
  <c r="I190" i="1"/>
  <c r="CI189" i="1"/>
  <c r="CE189" i="1"/>
  <c r="CD189" i="1"/>
  <c r="CC189" i="1"/>
  <c r="L189" i="1"/>
  <c r="K189" i="1"/>
  <c r="J189" i="1"/>
  <c r="I189" i="1"/>
  <c r="CI188" i="1"/>
  <c r="CE188" i="1"/>
  <c r="CD188" i="1"/>
  <c r="CC188" i="1"/>
  <c r="L188" i="1"/>
  <c r="K188" i="1"/>
  <c r="J188" i="1"/>
  <c r="I188" i="1"/>
  <c r="CI187" i="1"/>
  <c r="CE187" i="1"/>
  <c r="CD187" i="1"/>
  <c r="CC187" i="1"/>
  <c r="L187" i="1"/>
  <c r="K187" i="1"/>
  <c r="J187" i="1"/>
  <c r="I187" i="1"/>
  <c r="CI186" i="1"/>
  <c r="CE186" i="1"/>
  <c r="CD186" i="1"/>
  <c r="CC186" i="1"/>
  <c r="L186" i="1"/>
  <c r="K186" i="1"/>
  <c r="J186" i="1"/>
  <c r="I186" i="1"/>
  <c r="CI185" i="1"/>
  <c r="CE185" i="1"/>
  <c r="CD185" i="1"/>
  <c r="CC185" i="1"/>
  <c r="L185" i="1"/>
  <c r="K185" i="1"/>
  <c r="J185" i="1"/>
  <c r="I185" i="1"/>
  <c r="CI184" i="1"/>
  <c r="CE184" i="1"/>
  <c r="CD184" i="1"/>
  <c r="CC184" i="1"/>
  <c r="L184" i="1"/>
  <c r="K184" i="1"/>
  <c r="J184" i="1"/>
  <c r="I184" i="1"/>
  <c r="CI183" i="1"/>
  <c r="CE183" i="1"/>
  <c r="CD183" i="1"/>
  <c r="CC183" i="1"/>
  <c r="L183" i="1"/>
  <c r="K183" i="1"/>
  <c r="J183" i="1"/>
  <c r="I183" i="1"/>
  <c r="CI182" i="1"/>
  <c r="CE182" i="1"/>
  <c r="CD182" i="1"/>
  <c r="CC182" i="1"/>
  <c r="L182" i="1"/>
  <c r="K182" i="1"/>
  <c r="J182" i="1"/>
  <c r="I182" i="1"/>
  <c r="CI181" i="1"/>
  <c r="CE181" i="1"/>
  <c r="CD181" i="1"/>
  <c r="CC181" i="1"/>
  <c r="L181" i="1"/>
  <c r="K181" i="1"/>
  <c r="J181" i="1"/>
  <c r="I181" i="1"/>
  <c r="CI180" i="1"/>
  <c r="CE180" i="1"/>
  <c r="CD180" i="1"/>
  <c r="CC180" i="1"/>
  <c r="L180" i="1"/>
  <c r="K180" i="1"/>
  <c r="J180" i="1"/>
  <c r="I180" i="1"/>
  <c r="CI179" i="1"/>
  <c r="CE179" i="1"/>
  <c r="CD179" i="1"/>
  <c r="CC179" i="1"/>
  <c r="L179" i="1"/>
  <c r="K179" i="1"/>
  <c r="J179" i="1"/>
  <c r="I179" i="1"/>
  <c r="CI178" i="1"/>
  <c r="CE178" i="1"/>
  <c r="CD178" i="1"/>
  <c r="CC178" i="1"/>
  <c r="L178" i="1"/>
  <c r="K178" i="1"/>
  <c r="J178" i="1"/>
  <c r="I178" i="1"/>
  <c r="CI177" i="1"/>
  <c r="CE177" i="1"/>
  <c r="CD177" i="1"/>
  <c r="CC177" i="1"/>
  <c r="L177" i="1"/>
  <c r="K177" i="1"/>
  <c r="J177" i="1"/>
  <c r="I177" i="1"/>
  <c r="CI176" i="1"/>
  <c r="CE176" i="1"/>
  <c r="CD176" i="1"/>
  <c r="CC176" i="1"/>
  <c r="L176" i="1"/>
  <c r="K176" i="1"/>
  <c r="J176" i="1"/>
  <c r="I176" i="1"/>
  <c r="CI175" i="1"/>
  <c r="CE175" i="1"/>
  <c r="CD175" i="1"/>
  <c r="CC175" i="1"/>
  <c r="L175" i="1"/>
  <c r="K175" i="1"/>
  <c r="J175" i="1"/>
  <c r="I175" i="1"/>
  <c r="CI174" i="1"/>
  <c r="CE174" i="1"/>
  <c r="CD174" i="1"/>
  <c r="CC174" i="1"/>
  <c r="L174" i="1"/>
  <c r="K174" i="1"/>
  <c r="J174" i="1"/>
  <c r="I174" i="1"/>
  <c r="CI173" i="1"/>
  <c r="CE173" i="1"/>
  <c r="CD173" i="1"/>
  <c r="CC173" i="1"/>
  <c r="L173" i="1"/>
  <c r="K173" i="1"/>
  <c r="J173" i="1"/>
  <c r="I173" i="1"/>
  <c r="CI172" i="1"/>
  <c r="CE172" i="1"/>
  <c r="CD172" i="1"/>
  <c r="CC172" i="1"/>
  <c r="L172" i="1"/>
  <c r="K172" i="1"/>
  <c r="J172" i="1"/>
  <c r="I172" i="1"/>
  <c r="CI171" i="1"/>
  <c r="CE171" i="1"/>
  <c r="CD171" i="1"/>
  <c r="CC171" i="1"/>
  <c r="L171" i="1"/>
  <c r="K171" i="1"/>
  <c r="J171" i="1"/>
  <c r="I171" i="1"/>
  <c r="CI170" i="1"/>
  <c r="CE170" i="1"/>
  <c r="CD170" i="1"/>
  <c r="CC170" i="1"/>
  <c r="L170" i="1"/>
  <c r="K170" i="1"/>
  <c r="J170" i="1"/>
  <c r="I170" i="1"/>
  <c r="CI169" i="1"/>
  <c r="CE169" i="1"/>
  <c r="CD169" i="1"/>
  <c r="CC169" i="1"/>
  <c r="L169" i="1"/>
  <c r="K169" i="1"/>
  <c r="J169" i="1"/>
  <c r="I169" i="1"/>
  <c r="CI168" i="1"/>
  <c r="CE168" i="1"/>
  <c r="CD168" i="1"/>
  <c r="CC168" i="1"/>
  <c r="L168" i="1"/>
  <c r="K168" i="1"/>
  <c r="J168" i="1"/>
  <c r="I168" i="1"/>
  <c r="CI167" i="1"/>
  <c r="CE167" i="1"/>
  <c r="CD167" i="1"/>
  <c r="CC167" i="1"/>
  <c r="L167" i="1"/>
  <c r="K167" i="1"/>
  <c r="J167" i="1"/>
  <c r="I167" i="1"/>
  <c r="CI166" i="1"/>
  <c r="CE166" i="1"/>
  <c r="CD166" i="1"/>
  <c r="CC166" i="1"/>
  <c r="L166" i="1"/>
  <c r="K166" i="1"/>
  <c r="J166" i="1"/>
  <c r="I166" i="1"/>
  <c r="CI165" i="1"/>
  <c r="CE165" i="1"/>
  <c r="CD165" i="1"/>
  <c r="CC165" i="1"/>
  <c r="L165" i="1"/>
  <c r="K165" i="1"/>
  <c r="J165" i="1"/>
  <c r="I165" i="1"/>
  <c r="CI164" i="1"/>
  <c r="CE164" i="1"/>
  <c r="CD164" i="1"/>
  <c r="CC164" i="1"/>
  <c r="L164" i="1"/>
  <c r="K164" i="1"/>
  <c r="J164" i="1"/>
  <c r="I164" i="1"/>
  <c r="CI163" i="1"/>
  <c r="CE163" i="1"/>
  <c r="CD163" i="1"/>
  <c r="CC163" i="1"/>
  <c r="L163" i="1"/>
  <c r="K163" i="1"/>
  <c r="J163" i="1"/>
  <c r="I163" i="1"/>
  <c r="CI162" i="1"/>
  <c r="CE162" i="1"/>
  <c r="CD162" i="1"/>
  <c r="CC162" i="1"/>
  <c r="L162" i="1"/>
  <c r="K162" i="1"/>
  <c r="J162" i="1"/>
  <c r="I162" i="1"/>
  <c r="CI161" i="1"/>
  <c r="CE161" i="1"/>
  <c r="CD161" i="1"/>
  <c r="CC161" i="1"/>
  <c r="L161" i="1"/>
  <c r="K161" i="1"/>
  <c r="J161" i="1"/>
  <c r="I161" i="1"/>
  <c r="CI160" i="1"/>
  <c r="CE160" i="1"/>
  <c r="CD160" i="1"/>
  <c r="CC160" i="1"/>
  <c r="L160" i="1"/>
  <c r="K160" i="1"/>
  <c r="J160" i="1"/>
  <c r="I160" i="1"/>
  <c r="CI159" i="1"/>
  <c r="CE159" i="1"/>
  <c r="CD159" i="1"/>
  <c r="CC159" i="1"/>
  <c r="L159" i="1"/>
  <c r="K159" i="1"/>
  <c r="J159" i="1"/>
  <c r="I159" i="1"/>
  <c r="CI158" i="1"/>
  <c r="CE158" i="1"/>
  <c r="CD158" i="1"/>
  <c r="CC158" i="1"/>
  <c r="L158" i="1"/>
  <c r="K158" i="1"/>
  <c r="J158" i="1"/>
  <c r="I158" i="1"/>
  <c r="CI157" i="1"/>
  <c r="CE157" i="1"/>
  <c r="CD157" i="1"/>
  <c r="CC157" i="1"/>
  <c r="L157" i="1"/>
  <c r="K157" i="1"/>
  <c r="J157" i="1"/>
  <c r="I157" i="1"/>
  <c r="CI156" i="1"/>
  <c r="CE156" i="1"/>
  <c r="CD156" i="1"/>
  <c r="CC156" i="1"/>
  <c r="L156" i="1"/>
  <c r="K156" i="1"/>
  <c r="J156" i="1"/>
  <c r="I156" i="1"/>
  <c r="CI155" i="1"/>
  <c r="CE155" i="1"/>
  <c r="CD155" i="1"/>
  <c r="CC155" i="1"/>
  <c r="L155" i="1"/>
  <c r="K155" i="1"/>
  <c r="J155" i="1"/>
  <c r="I155" i="1"/>
  <c r="CI154" i="1"/>
  <c r="CE154" i="1"/>
  <c r="CD154" i="1"/>
  <c r="CC154" i="1"/>
  <c r="L154" i="1"/>
  <c r="K154" i="1"/>
  <c r="J154" i="1"/>
  <c r="I154" i="1"/>
  <c r="CI153" i="1"/>
  <c r="CE153" i="1"/>
  <c r="CD153" i="1"/>
  <c r="CC153" i="1"/>
  <c r="L153" i="1"/>
  <c r="K153" i="1"/>
  <c r="J153" i="1"/>
  <c r="I153" i="1"/>
  <c r="CI152" i="1"/>
  <c r="CE152" i="1"/>
  <c r="CD152" i="1"/>
  <c r="CC152" i="1"/>
  <c r="L152" i="1"/>
  <c r="K152" i="1"/>
  <c r="J152" i="1"/>
  <c r="I152" i="1"/>
  <c r="CI151" i="1"/>
  <c r="CE151" i="1"/>
  <c r="CD151" i="1"/>
  <c r="CC151" i="1"/>
  <c r="L151" i="1"/>
  <c r="K151" i="1"/>
  <c r="J151" i="1"/>
  <c r="I151" i="1"/>
  <c r="CI150" i="1"/>
  <c r="CE150" i="1"/>
  <c r="CD150" i="1"/>
  <c r="CC150" i="1"/>
  <c r="L150" i="1"/>
  <c r="K150" i="1"/>
  <c r="J150" i="1"/>
  <c r="I150" i="1"/>
  <c r="CI149" i="1"/>
  <c r="CE149" i="1"/>
  <c r="CD149" i="1"/>
  <c r="CC149" i="1"/>
  <c r="L149" i="1"/>
  <c r="K149" i="1"/>
  <c r="J149" i="1"/>
  <c r="I149" i="1"/>
  <c r="CI148" i="1"/>
  <c r="CE148" i="1"/>
  <c r="CD148" i="1"/>
  <c r="CC148" i="1"/>
  <c r="L148" i="1"/>
  <c r="K148" i="1"/>
  <c r="J148" i="1"/>
  <c r="I148" i="1"/>
  <c r="CI147" i="1"/>
  <c r="CE147" i="1"/>
  <c r="CD147" i="1"/>
  <c r="CC147" i="1"/>
  <c r="L147" i="1"/>
  <c r="K147" i="1"/>
  <c r="J147" i="1"/>
  <c r="I147" i="1"/>
  <c r="CI146" i="1"/>
  <c r="CE146" i="1"/>
  <c r="CD146" i="1"/>
  <c r="CC146" i="1"/>
  <c r="L146" i="1"/>
  <c r="K146" i="1"/>
  <c r="J146" i="1"/>
  <c r="I146" i="1"/>
  <c r="CI145" i="1"/>
  <c r="CE145" i="1"/>
  <c r="CD145" i="1"/>
  <c r="CC145" i="1"/>
  <c r="L145" i="1"/>
  <c r="K145" i="1"/>
  <c r="J145" i="1"/>
  <c r="I145" i="1"/>
  <c r="CI144" i="1"/>
  <c r="CE144" i="1"/>
  <c r="CD144" i="1"/>
  <c r="CC144" i="1"/>
  <c r="L144" i="1"/>
  <c r="K144" i="1"/>
  <c r="J144" i="1"/>
  <c r="I144" i="1"/>
  <c r="CI143" i="1"/>
  <c r="CE143" i="1"/>
  <c r="CD143" i="1"/>
  <c r="CC143" i="1"/>
  <c r="L143" i="1"/>
  <c r="K143" i="1"/>
  <c r="J143" i="1"/>
  <c r="I143" i="1"/>
  <c r="CI142" i="1"/>
  <c r="CE142" i="1"/>
  <c r="CD142" i="1"/>
  <c r="CC142" i="1"/>
  <c r="L142" i="1"/>
  <c r="K142" i="1"/>
  <c r="J142" i="1"/>
  <c r="I142" i="1"/>
  <c r="CI141" i="1"/>
  <c r="CE141" i="1"/>
  <c r="CD141" i="1"/>
  <c r="CC141" i="1"/>
  <c r="L141" i="1"/>
  <c r="K141" i="1"/>
  <c r="J141" i="1"/>
  <c r="I141" i="1"/>
  <c r="CI140" i="1"/>
  <c r="CE140" i="1"/>
  <c r="CD140" i="1"/>
  <c r="CC140" i="1"/>
  <c r="L140" i="1"/>
  <c r="K140" i="1"/>
  <c r="J140" i="1"/>
  <c r="I140" i="1"/>
  <c r="CI139" i="1"/>
  <c r="CE139" i="1"/>
  <c r="CD139" i="1"/>
  <c r="CC139" i="1"/>
  <c r="L139" i="1"/>
  <c r="K139" i="1"/>
  <c r="J139" i="1"/>
  <c r="I139" i="1"/>
  <c r="CI138" i="1"/>
  <c r="CE138" i="1"/>
  <c r="CD138" i="1"/>
  <c r="CC138" i="1"/>
  <c r="L138" i="1"/>
  <c r="K138" i="1"/>
  <c r="J138" i="1"/>
  <c r="I138" i="1"/>
  <c r="CI137" i="1"/>
  <c r="CE137" i="1"/>
  <c r="CD137" i="1"/>
  <c r="CC137" i="1"/>
  <c r="L137" i="1"/>
  <c r="K137" i="1"/>
  <c r="J137" i="1"/>
  <c r="I137" i="1"/>
  <c r="CI136" i="1"/>
  <c r="CE136" i="1"/>
  <c r="CD136" i="1"/>
  <c r="CC136" i="1"/>
  <c r="L136" i="1"/>
  <c r="K136" i="1"/>
  <c r="J136" i="1"/>
  <c r="I136" i="1"/>
  <c r="CI135" i="1"/>
  <c r="CE135" i="1"/>
  <c r="CD135" i="1"/>
  <c r="CC135" i="1"/>
  <c r="L135" i="1"/>
  <c r="K135" i="1"/>
  <c r="J135" i="1"/>
  <c r="I135" i="1"/>
  <c r="CI134" i="1"/>
  <c r="CE134" i="1"/>
  <c r="CD134" i="1"/>
  <c r="CC134" i="1"/>
  <c r="L134" i="1"/>
  <c r="K134" i="1"/>
  <c r="J134" i="1"/>
  <c r="I134" i="1"/>
  <c r="CI133" i="1"/>
  <c r="CE133" i="1"/>
  <c r="CD133" i="1"/>
  <c r="CC133" i="1"/>
  <c r="L133" i="1"/>
  <c r="K133" i="1"/>
  <c r="J133" i="1"/>
  <c r="I133" i="1"/>
  <c r="CI132" i="1"/>
  <c r="CE132" i="1"/>
  <c r="CD132" i="1"/>
  <c r="CC132" i="1"/>
  <c r="L132" i="1"/>
  <c r="K132" i="1"/>
  <c r="J132" i="1"/>
  <c r="I132" i="1"/>
  <c r="CI131" i="1"/>
  <c r="CE131" i="1"/>
  <c r="CD131" i="1"/>
  <c r="CC131" i="1"/>
  <c r="L131" i="1"/>
  <c r="K131" i="1"/>
  <c r="J131" i="1"/>
  <c r="I131" i="1"/>
  <c r="CI130" i="1"/>
  <c r="CE130" i="1"/>
  <c r="CD130" i="1"/>
  <c r="CC130" i="1"/>
  <c r="L130" i="1"/>
  <c r="K130" i="1"/>
  <c r="J130" i="1"/>
  <c r="I130" i="1"/>
  <c r="CI129" i="1"/>
  <c r="CE129" i="1"/>
  <c r="CD129" i="1"/>
  <c r="CC129" i="1"/>
  <c r="L129" i="1"/>
  <c r="K129" i="1"/>
  <c r="J129" i="1"/>
  <c r="I129" i="1"/>
  <c r="CI128" i="1"/>
  <c r="CE128" i="1"/>
  <c r="CD128" i="1"/>
  <c r="CC128" i="1"/>
  <c r="L128" i="1"/>
  <c r="K128" i="1"/>
  <c r="J128" i="1"/>
  <c r="I128" i="1"/>
  <c r="CI127" i="1"/>
  <c r="CE127" i="1"/>
  <c r="CD127" i="1"/>
  <c r="CC127" i="1"/>
  <c r="L127" i="1"/>
  <c r="K127" i="1"/>
  <c r="J127" i="1"/>
  <c r="I127" i="1"/>
  <c r="CI126" i="1"/>
  <c r="CE126" i="1"/>
  <c r="CD126" i="1"/>
  <c r="CC126" i="1"/>
  <c r="L126" i="1"/>
  <c r="K126" i="1"/>
  <c r="J126" i="1"/>
  <c r="I126" i="1"/>
  <c r="CI125" i="1"/>
  <c r="CE125" i="1"/>
  <c r="CD125" i="1"/>
  <c r="CC125" i="1"/>
  <c r="L125" i="1"/>
  <c r="K125" i="1"/>
  <c r="J125" i="1"/>
  <c r="I125" i="1"/>
  <c r="CI124" i="1"/>
  <c r="CE124" i="1"/>
  <c r="CD124" i="1"/>
  <c r="CC124" i="1"/>
  <c r="L124" i="1"/>
  <c r="K124" i="1"/>
  <c r="J124" i="1"/>
  <c r="I124" i="1"/>
  <c r="CI123" i="1"/>
  <c r="CE123" i="1"/>
  <c r="CD123" i="1"/>
  <c r="CC123" i="1"/>
  <c r="L123" i="1"/>
  <c r="K123" i="1"/>
  <c r="J123" i="1"/>
  <c r="I123" i="1"/>
  <c r="CI122" i="1"/>
  <c r="CE122" i="1"/>
  <c r="CD122" i="1"/>
  <c r="CC122" i="1"/>
  <c r="L122" i="1"/>
  <c r="K122" i="1"/>
  <c r="J122" i="1"/>
  <c r="I122" i="1"/>
  <c r="CI121" i="1"/>
  <c r="CE121" i="1"/>
  <c r="CD121" i="1"/>
  <c r="CC121" i="1"/>
  <c r="L121" i="1"/>
  <c r="K121" i="1"/>
  <c r="J121" i="1"/>
  <c r="I121" i="1"/>
  <c r="CI120" i="1"/>
  <c r="CE120" i="1"/>
  <c r="CD120" i="1"/>
  <c r="CC120" i="1"/>
  <c r="L120" i="1"/>
  <c r="K120" i="1"/>
  <c r="J120" i="1"/>
  <c r="I120" i="1"/>
  <c r="CI119" i="1"/>
  <c r="CE119" i="1"/>
  <c r="CD119" i="1"/>
  <c r="CC119" i="1"/>
  <c r="L119" i="1"/>
  <c r="K119" i="1"/>
  <c r="J119" i="1"/>
  <c r="I119" i="1"/>
  <c r="CI118" i="1"/>
  <c r="CE118" i="1"/>
  <c r="CD118" i="1"/>
  <c r="CC118" i="1"/>
  <c r="L118" i="1"/>
  <c r="K118" i="1"/>
  <c r="J118" i="1"/>
  <c r="I118" i="1"/>
  <c r="CI117" i="1"/>
  <c r="CE117" i="1"/>
  <c r="CD117" i="1"/>
  <c r="CC117" i="1"/>
  <c r="L117" i="1"/>
  <c r="K117" i="1"/>
  <c r="J117" i="1"/>
  <c r="I117" i="1"/>
  <c r="CI116" i="1"/>
  <c r="CE116" i="1"/>
  <c r="CD116" i="1"/>
  <c r="CC116" i="1"/>
  <c r="L116" i="1"/>
  <c r="K116" i="1"/>
  <c r="J116" i="1"/>
  <c r="I116" i="1"/>
  <c r="CI115" i="1"/>
  <c r="CE115" i="1"/>
  <c r="CD115" i="1"/>
  <c r="CC115" i="1"/>
  <c r="L115" i="1"/>
  <c r="K115" i="1"/>
  <c r="J115" i="1"/>
  <c r="I115" i="1"/>
  <c r="CI114" i="1"/>
  <c r="CE114" i="1"/>
  <c r="CD114" i="1"/>
  <c r="CC114" i="1"/>
  <c r="L114" i="1"/>
  <c r="K114" i="1"/>
  <c r="J114" i="1"/>
  <c r="I114" i="1"/>
  <c r="CI113" i="1"/>
  <c r="CE113" i="1"/>
  <c r="CD113" i="1"/>
  <c r="CC113" i="1"/>
  <c r="L113" i="1"/>
  <c r="K113" i="1"/>
  <c r="J113" i="1"/>
  <c r="I113" i="1"/>
  <c r="CI112" i="1"/>
  <c r="CE112" i="1"/>
  <c r="CD112" i="1"/>
  <c r="CC112" i="1"/>
  <c r="L112" i="1"/>
  <c r="K112" i="1"/>
  <c r="J112" i="1"/>
  <c r="I112" i="1"/>
  <c r="CI111" i="1"/>
  <c r="CE111" i="1"/>
  <c r="CD111" i="1"/>
  <c r="CC111" i="1"/>
  <c r="L111" i="1"/>
  <c r="K111" i="1"/>
  <c r="J111" i="1"/>
  <c r="I111" i="1"/>
  <c r="CI110" i="1"/>
  <c r="CE110" i="1"/>
  <c r="CD110" i="1"/>
  <c r="CC110" i="1"/>
  <c r="L110" i="1"/>
  <c r="K110" i="1"/>
  <c r="J110" i="1"/>
  <c r="I110" i="1"/>
  <c r="CI109" i="1"/>
  <c r="CE109" i="1"/>
  <c r="CD109" i="1"/>
  <c r="CC109" i="1"/>
  <c r="L109" i="1"/>
  <c r="K109" i="1"/>
  <c r="J109" i="1"/>
  <c r="I109" i="1"/>
  <c r="CI108" i="1"/>
  <c r="CE108" i="1"/>
  <c r="CD108" i="1"/>
  <c r="CC108" i="1"/>
  <c r="L108" i="1"/>
  <c r="K108" i="1"/>
  <c r="J108" i="1"/>
  <c r="I108" i="1"/>
  <c r="CI107" i="1"/>
  <c r="CE107" i="1"/>
  <c r="CD107" i="1"/>
  <c r="CC107" i="1"/>
  <c r="L107" i="1"/>
  <c r="K107" i="1"/>
  <c r="J107" i="1"/>
  <c r="I107" i="1"/>
  <c r="CI106" i="1"/>
  <c r="CE106" i="1"/>
  <c r="CD106" i="1"/>
  <c r="CC106" i="1"/>
  <c r="L106" i="1"/>
  <c r="K106" i="1"/>
  <c r="J106" i="1"/>
  <c r="I106" i="1"/>
  <c r="CI105" i="1"/>
  <c r="CE105" i="1"/>
  <c r="CD105" i="1"/>
  <c r="CC105" i="1"/>
  <c r="L105" i="1"/>
  <c r="K105" i="1"/>
  <c r="J105" i="1"/>
  <c r="I105" i="1"/>
  <c r="CI104" i="1"/>
  <c r="CE104" i="1"/>
  <c r="CD104" i="1"/>
  <c r="CC104" i="1"/>
  <c r="L104" i="1"/>
  <c r="K104" i="1"/>
  <c r="J104" i="1"/>
  <c r="I104" i="1"/>
  <c r="CI103" i="1"/>
  <c r="CE103" i="1"/>
  <c r="CD103" i="1"/>
  <c r="CC103" i="1"/>
  <c r="L103" i="1"/>
  <c r="K103" i="1"/>
  <c r="J103" i="1"/>
  <c r="I103" i="1"/>
  <c r="CI102" i="1"/>
  <c r="CE102" i="1"/>
  <c r="CD102" i="1"/>
  <c r="CC102" i="1"/>
  <c r="L102" i="1"/>
  <c r="K102" i="1"/>
  <c r="J102" i="1"/>
  <c r="I102" i="1"/>
  <c r="CI101" i="1"/>
  <c r="CE101" i="1"/>
  <c r="CD101" i="1"/>
  <c r="CC101" i="1"/>
  <c r="L101" i="1"/>
  <c r="K101" i="1"/>
  <c r="J101" i="1"/>
  <c r="I101" i="1"/>
  <c r="CI100" i="1"/>
  <c r="CE100" i="1"/>
  <c r="CD100" i="1"/>
  <c r="CC100" i="1"/>
  <c r="L100" i="1"/>
  <c r="K100" i="1"/>
  <c r="J100" i="1"/>
  <c r="I100" i="1"/>
  <c r="CI99" i="1"/>
  <c r="CE99" i="1"/>
  <c r="CD99" i="1"/>
  <c r="CC99" i="1"/>
  <c r="L99" i="1"/>
  <c r="K99" i="1"/>
  <c r="J99" i="1"/>
  <c r="I99" i="1"/>
  <c r="CI98" i="1"/>
  <c r="CE98" i="1"/>
  <c r="CD98" i="1"/>
  <c r="CC98" i="1"/>
  <c r="L98" i="1"/>
  <c r="K98" i="1"/>
  <c r="J98" i="1"/>
  <c r="I98" i="1"/>
  <c r="CI97" i="1"/>
  <c r="CE97" i="1"/>
  <c r="CD97" i="1"/>
  <c r="CC97" i="1"/>
  <c r="L97" i="1"/>
  <c r="K97" i="1"/>
  <c r="J97" i="1"/>
  <c r="I97" i="1"/>
  <c r="CI96" i="1"/>
  <c r="CE96" i="1"/>
  <c r="CD96" i="1"/>
  <c r="CC96" i="1"/>
  <c r="L96" i="1"/>
  <c r="K96" i="1"/>
  <c r="J96" i="1"/>
  <c r="I96" i="1"/>
  <c r="CI95" i="1"/>
  <c r="CE95" i="1"/>
  <c r="CD95" i="1"/>
  <c r="CC95" i="1"/>
  <c r="L95" i="1"/>
  <c r="K95" i="1"/>
  <c r="J95" i="1"/>
  <c r="I95" i="1"/>
  <c r="CI94" i="1"/>
  <c r="CE94" i="1"/>
  <c r="CD94" i="1"/>
  <c r="CC94" i="1"/>
  <c r="L94" i="1"/>
  <c r="K94" i="1"/>
  <c r="J94" i="1"/>
  <c r="I94" i="1"/>
  <c r="CI93" i="1"/>
  <c r="CE93" i="1"/>
  <c r="CD93" i="1"/>
  <c r="CC93" i="1"/>
  <c r="L93" i="1"/>
  <c r="K93" i="1"/>
  <c r="J93" i="1"/>
  <c r="I93" i="1"/>
  <c r="CI92" i="1"/>
  <c r="CE92" i="1"/>
  <c r="CD92" i="1"/>
  <c r="CC92" i="1"/>
  <c r="L92" i="1"/>
  <c r="K92" i="1"/>
  <c r="J92" i="1"/>
  <c r="I92" i="1"/>
  <c r="CI91" i="1"/>
  <c r="CE91" i="1"/>
  <c r="CD91" i="1"/>
  <c r="CC91" i="1"/>
  <c r="L91" i="1"/>
  <c r="K91" i="1"/>
  <c r="J91" i="1"/>
  <c r="I91" i="1"/>
  <c r="CI90" i="1"/>
  <c r="CE90" i="1"/>
  <c r="CD90" i="1"/>
  <c r="CC90" i="1"/>
  <c r="L90" i="1"/>
  <c r="K90" i="1"/>
  <c r="J90" i="1"/>
  <c r="I90" i="1"/>
  <c r="CI89" i="1"/>
  <c r="CE89" i="1"/>
  <c r="CD89" i="1"/>
  <c r="CC89" i="1"/>
  <c r="L89" i="1"/>
  <c r="K89" i="1"/>
  <c r="J89" i="1"/>
  <c r="I89" i="1"/>
  <c r="CI88" i="1"/>
  <c r="CE88" i="1"/>
  <c r="CD88" i="1"/>
  <c r="CC88" i="1"/>
  <c r="L88" i="1"/>
  <c r="K88" i="1"/>
  <c r="J88" i="1"/>
  <c r="I88" i="1"/>
  <c r="CI87" i="1"/>
  <c r="CE87" i="1"/>
  <c r="CD87" i="1"/>
  <c r="CC87" i="1"/>
  <c r="L87" i="1"/>
  <c r="K87" i="1"/>
  <c r="J87" i="1"/>
  <c r="I87" i="1"/>
  <c r="CI86" i="1"/>
  <c r="CE86" i="1"/>
  <c r="CD86" i="1"/>
  <c r="CC86" i="1"/>
  <c r="L86" i="1"/>
  <c r="K86" i="1"/>
  <c r="J86" i="1"/>
  <c r="I86" i="1"/>
  <c r="CI85" i="1"/>
  <c r="CE85" i="1"/>
  <c r="CD85" i="1"/>
  <c r="CC85" i="1"/>
  <c r="L85" i="1"/>
  <c r="K85" i="1"/>
  <c r="J85" i="1"/>
  <c r="I85" i="1"/>
  <c r="CI84" i="1"/>
  <c r="CE84" i="1"/>
  <c r="CD84" i="1"/>
  <c r="CC84" i="1"/>
  <c r="L84" i="1"/>
  <c r="K84" i="1"/>
  <c r="J84" i="1"/>
  <c r="I84" i="1"/>
  <c r="CI83" i="1"/>
  <c r="CE83" i="1"/>
  <c r="CD83" i="1"/>
  <c r="CC83" i="1"/>
  <c r="L83" i="1"/>
  <c r="K83" i="1"/>
  <c r="J83" i="1"/>
  <c r="I83" i="1"/>
  <c r="CI82" i="1"/>
  <c r="CE82" i="1"/>
  <c r="CD82" i="1"/>
  <c r="CC82" i="1"/>
  <c r="L82" i="1"/>
  <c r="K82" i="1"/>
  <c r="J82" i="1"/>
  <c r="I82" i="1"/>
  <c r="CI81" i="1"/>
  <c r="CE81" i="1"/>
  <c r="CD81" i="1"/>
  <c r="CC81" i="1"/>
  <c r="L81" i="1"/>
  <c r="K81" i="1"/>
  <c r="J81" i="1"/>
  <c r="I81" i="1"/>
  <c r="CI80" i="1"/>
  <c r="CE80" i="1"/>
  <c r="CD80" i="1"/>
  <c r="CC80" i="1"/>
  <c r="L80" i="1"/>
  <c r="K80" i="1"/>
  <c r="J80" i="1"/>
  <c r="I80" i="1"/>
  <c r="CI79" i="1"/>
  <c r="CE79" i="1"/>
  <c r="CD79" i="1"/>
  <c r="CC79" i="1"/>
  <c r="L79" i="1"/>
  <c r="K79" i="1"/>
  <c r="J79" i="1"/>
  <c r="I79" i="1"/>
  <c r="CI78" i="1"/>
  <c r="CE78" i="1"/>
  <c r="CD78" i="1"/>
  <c r="CC78" i="1"/>
  <c r="L78" i="1"/>
  <c r="K78" i="1"/>
  <c r="J78" i="1"/>
  <c r="I78" i="1"/>
  <c r="CI77" i="1"/>
  <c r="CE77" i="1"/>
  <c r="CD77" i="1"/>
  <c r="CC77" i="1"/>
  <c r="L77" i="1"/>
  <c r="K77" i="1"/>
  <c r="J77" i="1"/>
  <c r="I77" i="1"/>
  <c r="CI76" i="1"/>
  <c r="CE76" i="1"/>
  <c r="CD76" i="1"/>
  <c r="CC76" i="1"/>
  <c r="L76" i="1"/>
  <c r="K76" i="1"/>
  <c r="J76" i="1"/>
  <c r="I76" i="1"/>
  <c r="CI75" i="1"/>
  <c r="CE75" i="1"/>
  <c r="CD75" i="1"/>
  <c r="CC75" i="1"/>
  <c r="L75" i="1"/>
  <c r="K75" i="1"/>
  <c r="J75" i="1"/>
  <c r="I75" i="1"/>
  <c r="CI74" i="1"/>
  <c r="CE74" i="1"/>
  <c r="CD74" i="1"/>
  <c r="CC74" i="1"/>
  <c r="L74" i="1"/>
  <c r="K74" i="1"/>
  <c r="J74" i="1"/>
  <c r="I74" i="1"/>
  <c r="CI73" i="1"/>
  <c r="CE73" i="1"/>
  <c r="CD73" i="1"/>
  <c r="CC73" i="1"/>
  <c r="L73" i="1"/>
  <c r="K73" i="1"/>
  <c r="J73" i="1"/>
  <c r="I73" i="1"/>
  <c r="CI72" i="1"/>
  <c r="CE72" i="1"/>
  <c r="CD72" i="1"/>
  <c r="CC72" i="1"/>
  <c r="L72" i="1"/>
  <c r="K72" i="1"/>
  <c r="J72" i="1"/>
  <c r="I72" i="1"/>
  <c r="CI71" i="1"/>
  <c r="CE71" i="1"/>
  <c r="CD71" i="1"/>
  <c r="CC71" i="1"/>
  <c r="L71" i="1"/>
  <c r="K71" i="1"/>
  <c r="J71" i="1"/>
  <c r="I71" i="1"/>
  <c r="CI70" i="1"/>
  <c r="CE70" i="1"/>
  <c r="CD70" i="1"/>
  <c r="CC70" i="1"/>
  <c r="L70" i="1"/>
  <c r="K70" i="1"/>
  <c r="J70" i="1"/>
  <c r="I70" i="1"/>
  <c r="CI69" i="1"/>
  <c r="CE69" i="1"/>
  <c r="CD69" i="1"/>
  <c r="CC69" i="1"/>
  <c r="L69" i="1"/>
  <c r="K69" i="1"/>
  <c r="J69" i="1"/>
  <c r="I69" i="1"/>
  <c r="CI68" i="1"/>
  <c r="CE68" i="1"/>
  <c r="CD68" i="1"/>
  <c r="CC68" i="1"/>
  <c r="L68" i="1"/>
  <c r="K68" i="1"/>
  <c r="J68" i="1"/>
  <c r="I68" i="1"/>
  <c r="CI67" i="1"/>
  <c r="CE67" i="1"/>
  <c r="CD67" i="1"/>
  <c r="CC67" i="1"/>
  <c r="L67" i="1"/>
  <c r="K67" i="1"/>
  <c r="J67" i="1"/>
  <c r="I67" i="1"/>
  <c r="CI66" i="1"/>
  <c r="CE66" i="1"/>
  <c r="CD66" i="1"/>
  <c r="CC66" i="1"/>
  <c r="L66" i="1"/>
  <c r="K66" i="1"/>
  <c r="J66" i="1"/>
  <c r="I66" i="1"/>
  <c r="CI65" i="1"/>
  <c r="CE65" i="1"/>
  <c r="CD65" i="1"/>
  <c r="CC65" i="1"/>
  <c r="L65" i="1"/>
  <c r="K65" i="1"/>
  <c r="J65" i="1"/>
  <c r="I65" i="1"/>
  <c r="CI64" i="1"/>
  <c r="CE64" i="1"/>
  <c r="CD64" i="1"/>
  <c r="CC64" i="1"/>
  <c r="L64" i="1"/>
  <c r="K64" i="1"/>
  <c r="J64" i="1"/>
  <c r="I64" i="1"/>
  <c r="CI63" i="1"/>
  <c r="CE63" i="1"/>
  <c r="CD63" i="1"/>
  <c r="CC63" i="1"/>
  <c r="L63" i="1"/>
  <c r="K63" i="1"/>
  <c r="J63" i="1"/>
  <c r="I63" i="1"/>
  <c r="CI62" i="1"/>
  <c r="CE62" i="1"/>
  <c r="CD62" i="1"/>
  <c r="CC62" i="1"/>
  <c r="L62" i="1"/>
  <c r="K62" i="1"/>
  <c r="J62" i="1"/>
  <c r="I62" i="1"/>
  <c r="CI61" i="1"/>
  <c r="CE61" i="1"/>
  <c r="CD61" i="1"/>
  <c r="CC61" i="1"/>
  <c r="L61" i="1"/>
  <c r="K61" i="1"/>
  <c r="J61" i="1"/>
  <c r="I61" i="1"/>
  <c r="CI60" i="1"/>
  <c r="CE60" i="1"/>
  <c r="CD60" i="1"/>
  <c r="CC60" i="1"/>
  <c r="L60" i="1"/>
  <c r="K60" i="1"/>
  <c r="J60" i="1"/>
  <c r="I60" i="1"/>
  <c r="CI59" i="1"/>
  <c r="CE59" i="1"/>
  <c r="CD59" i="1"/>
  <c r="CC59" i="1"/>
  <c r="L59" i="1"/>
  <c r="K59" i="1"/>
  <c r="J59" i="1"/>
  <c r="I59" i="1"/>
  <c r="CI58" i="1"/>
  <c r="CE58" i="1"/>
  <c r="CD58" i="1"/>
  <c r="CC58" i="1"/>
  <c r="L58" i="1"/>
  <c r="K58" i="1"/>
  <c r="J58" i="1"/>
  <c r="I58" i="1"/>
  <c r="CI57" i="1"/>
  <c r="CE57" i="1"/>
  <c r="CD57" i="1"/>
  <c r="CC57" i="1"/>
  <c r="L57" i="1"/>
  <c r="K57" i="1"/>
  <c r="J57" i="1"/>
  <c r="I57" i="1"/>
  <c r="CI56" i="1"/>
  <c r="CE56" i="1"/>
  <c r="CD56" i="1"/>
  <c r="CC56" i="1"/>
  <c r="L56" i="1"/>
  <c r="K56" i="1"/>
  <c r="J56" i="1"/>
  <c r="I56" i="1"/>
  <c r="CI55" i="1"/>
  <c r="CE55" i="1"/>
  <c r="CD55" i="1"/>
  <c r="CC55" i="1"/>
  <c r="L55" i="1"/>
  <c r="K55" i="1"/>
  <c r="J55" i="1"/>
  <c r="I55" i="1"/>
  <c r="CI54" i="1"/>
  <c r="CE54" i="1"/>
  <c r="CD54" i="1"/>
  <c r="CC54" i="1"/>
  <c r="L54" i="1"/>
  <c r="K54" i="1"/>
  <c r="J54" i="1"/>
  <c r="I54" i="1"/>
  <c r="CI53" i="1"/>
  <c r="CE53" i="1"/>
  <c r="CD53" i="1"/>
  <c r="CC53" i="1"/>
  <c r="L53" i="1"/>
  <c r="K53" i="1"/>
  <c r="J53" i="1"/>
  <c r="I53" i="1"/>
  <c r="CI52" i="1"/>
  <c r="CE52" i="1"/>
  <c r="CD52" i="1"/>
  <c r="CC52" i="1"/>
  <c r="L52" i="1"/>
  <c r="K52" i="1"/>
  <c r="J52" i="1"/>
  <c r="I52" i="1"/>
  <c r="CI51" i="1"/>
  <c r="CE51" i="1"/>
  <c r="CD51" i="1"/>
  <c r="CC51" i="1"/>
  <c r="L51" i="1"/>
  <c r="K51" i="1"/>
  <c r="J51" i="1"/>
  <c r="I51" i="1"/>
  <c r="CI50" i="1"/>
  <c r="CE50" i="1"/>
  <c r="CD50" i="1"/>
  <c r="CC50" i="1"/>
  <c r="L50" i="1"/>
  <c r="K50" i="1"/>
  <c r="J50" i="1"/>
  <c r="I50" i="1"/>
  <c r="CI49" i="1"/>
  <c r="CE49" i="1"/>
  <c r="CD49" i="1"/>
  <c r="CC49" i="1"/>
  <c r="L49" i="1"/>
  <c r="K49" i="1"/>
  <c r="J49" i="1"/>
  <c r="I49" i="1"/>
  <c r="CI48" i="1"/>
  <c r="CE48" i="1"/>
  <c r="CD48" i="1"/>
  <c r="CC48" i="1"/>
  <c r="L48" i="1"/>
  <c r="K48" i="1"/>
  <c r="J48" i="1"/>
  <c r="I48" i="1"/>
  <c r="CI47" i="1"/>
  <c r="CE47" i="1"/>
  <c r="CD47" i="1"/>
  <c r="CC47" i="1"/>
  <c r="L47" i="1"/>
  <c r="K47" i="1"/>
  <c r="J47" i="1"/>
  <c r="I47" i="1"/>
  <c r="CI46" i="1"/>
  <c r="CE46" i="1"/>
  <c r="CD46" i="1"/>
  <c r="CC46" i="1"/>
  <c r="L46" i="1"/>
  <c r="K46" i="1"/>
  <c r="J46" i="1"/>
  <c r="I46" i="1"/>
  <c r="CI45" i="1"/>
  <c r="CE45" i="1"/>
  <c r="CD45" i="1"/>
  <c r="CC45" i="1"/>
  <c r="L45" i="1"/>
  <c r="K45" i="1"/>
  <c r="J45" i="1"/>
  <c r="I45" i="1"/>
  <c r="CI44" i="1"/>
  <c r="CE44" i="1"/>
  <c r="CD44" i="1"/>
  <c r="CC44" i="1"/>
  <c r="L44" i="1"/>
  <c r="K44" i="1"/>
  <c r="J44" i="1"/>
  <c r="I44" i="1"/>
  <c r="CI43" i="1"/>
  <c r="CE43" i="1"/>
  <c r="CD43" i="1"/>
  <c r="CC43" i="1"/>
  <c r="L43" i="1"/>
  <c r="K43" i="1"/>
  <c r="J43" i="1"/>
  <c r="I43" i="1"/>
  <c r="CI42" i="1"/>
  <c r="CE42" i="1"/>
  <c r="CD42" i="1"/>
  <c r="CC42" i="1"/>
  <c r="L42" i="1"/>
  <c r="K42" i="1"/>
  <c r="J42" i="1"/>
  <c r="I42" i="1"/>
  <c r="CI41" i="1"/>
  <c r="CE41" i="1"/>
  <c r="CD41" i="1"/>
  <c r="CC41" i="1"/>
  <c r="L41" i="1"/>
  <c r="K41" i="1"/>
  <c r="J41" i="1"/>
  <c r="I41" i="1"/>
  <c r="CI40" i="1"/>
  <c r="CE40" i="1"/>
  <c r="CD40" i="1"/>
  <c r="CC40" i="1"/>
  <c r="L40" i="1"/>
  <c r="K40" i="1"/>
  <c r="J40" i="1"/>
  <c r="I40" i="1"/>
  <c r="CI39" i="1"/>
  <c r="CE39" i="1"/>
  <c r="CD39" i="1"/>
  <c r="CC39" i="1"/>
  <c r="L39" i="1"/>
  <c r="K39" i="1"/>
  <c r="J39" i="1"/>
  <c r="I39" i="1"/>
  <c r="CI38" i="1"/>
  <c r="CE38" i="1"/>
  <c r="CD38" i="1"/>
  <c r="CC38" i="1"/>
  <c r="L38" i="1"/>
  <c r="K38" i="1"/>
  <c r="J38" i="1"/>
  <c r="I38" i="1"/>
  <c r="CI37" i="1"/>
  <c r="CE37" i="1"/>
  <c r="CD37" i="1"/>
  <c r="CC37" i="1"/>
  <c r="L37" i="1"/>
  <c r="K37" i="1"/>
  <c r="J37" i="1"/>
  <c r="I37" i="1"/>
  <c r="CI36" i="1"/>
  <c r="CE36" i="1"/>
  <c r="CD36" i="1"/>
  <c r="CC36" i="1"/>
  <c r="L36" i="1"/>
  <c r="K36" i="1"/>
  <c r="J36" i="1"/>
  <c r="I36" i="1"/>
  <c r="CI35" i="1"/>
  <c r="CE35" i="1"/>
  <c r="CD35" i="1"/>
  <c r="CC35" i="1"/>
  <c r="L35" i="1"/>
  <c r="K35" i="1"/>
  <c r="J35" i="1"/>
  <c r="I35" i="1"/>
  <c r="CI34" i="1"/>
  <c r="CE34" i="1"/>
  <c r="CD34" i="1"/>
  <c r="CC34" i="1"/>
  <c r="L34" i="1"/>
  <c r="K34" i="1"/>
  <c r="J34" i="1"/>
  <c r="I34" i="1"/>
  <c r="CI33" i="1"/>
  <c r="CE33" i="1"/>
  <c r="CD33" i="1"/>
  <c r="CC33" i="1"/>
  <c r="L33" i="1"/>
  <c r="K33" i="1"/>
  <c r="J33" i="1"/>
  <c r="I33" i="1"/>
  <c r="CI32" i="1"/>
  <c r="CE32" i="1"/>
  <c r="CD32" i="1"/>
  <c r="CC32" i="1"/>
  <c r="L32" i="1"/>
  <c r="K32" i="1"/>
  <c r="J32" i="1"/>
  <c r="I32" i="1"/>
  <c r="CI31" i="1"/>
  <c r="CE31" i="1"/>
  <c r="CD31" i="1"/>
  <c r="CC31" i="1"/>
  <c r="L31" i="1"/>
  <c r="K31" i="1"/>
  <c r="J31" i="1"/>
  <c r="I31" i="1"/>
  <c r="CI30" i="1"/>
  <c r="CE30" i="1"/>
  <c r="CD30" i="1"/>
  <c r="CC30" i="1"/>
  <c r="L30" i="1"/>
  <c r="K30" i="1"/>
  <c r="J30" i="1"/>
  <c r="I30" i="1"/>
  <c r="CI29" i="1"/>
  <c r="CE29" i="1"/>
  <c r="CD29" i="1"/>
  <c r="CC29" i="1"/>
  <c r="L29" i="1"/>
  <c r="K29" i="1"/>
  <c r="J29" i="1"/>
  <c r="I29" i="1"/>
  <c r="CI28" i="1"/>
  <c r="CE28" i="1"/>
  <c r="CD28" i="1"/>
  <c r="CC28" i="1"/>
  <c r="L28" i="1"/>
  <c r="K28" i="1"/>
  <c r="J28" i="1"/>
  <c r="I28" i="1"/>
  <c r="CI27" i="1"/>
  <c r="CE27" i="1"/>
  <c r="CD27" i="1"/>
  <c r="CC27" i="1"/>
  <c r="L27" i="1"/>
  <c r="K27" i="1"/>
  <c r="J27" i="1"/>
  <c r="I27" i="1"/>
  <c r="CI26" i="1"/>
  <c r="CE26" i="1"/>
  <c r="CD26" i="1"/>
  <c r="CC26" i="1"/>
  <c r="L26" i="1"/>
  <c r="K26" i="1"/>
  <c r="J26" i="1"/>
  <c r="I26" i="1"/>
  <c r="CI25" i="1"/>
  <c r="CE25" i="1"/>
  <c r="CD25" i="1"/>
  <c r="CC25" i="1"/>
  <c r="L25" i="1"/>
  <c r="K25" i="1"/>
  <c r="J25" i="1"/>
  <c r="I25" i="1"/>
  <c r="CI24" i="1"/>
  <c r="CE24" i="1"/>
  <c r="CD24" i="1"/>
  <c r="CC24" i="1"/>
  <c r="L24" i="1"/>
  <c r="K24" i="1"/>
  <c r="J24" i="1"/>
  <c r="I24" i="1"/>
  <c r="CI23" i="1"/>
  <c r="CE23" i="1"/>
  <c r="CD23" i="1"/>
  <c r="CC23" i="1"/>
  <c r="L23" i="1"/>
  <c r="K23" i="1"/>
  <c r="J23" i="1"/>
  <c r="I23" i="1"/>
  <c r="CI22" i="1"/>
  <c r="CE22" i="1"/>
  <c r="CD22" i="1"/>
  <c r="CC22" i="1"/>
  <c r="L22" i="1"/>
  <c r="K22" i="1"/>
  <c r="J22" i="1"/>
  <c r="I22" i="1"/>
  <c r="CI21" i="1"/>
  <c r="CE21" i="1"/>
  <c r="CD21" i="1"/>
  <c r="CC21" i="1"/>
  <c r="L21" i="1"/>
  <c r="K21" i="1"/>
  <c r="J21" i="1"/>
  <c r="I21" i="1"/>
  <c r="CI20" i="1"/>
  <c r="CE20" i="1"/>
  <c r="CD20" i="1"/>
  <c r="CC20" i="1"/>
  <c r="L20" i="1"/>
  <c r="K20" i="1"/>
  <c r="J20" i="1"/>
  <c r="I20" i="1"/>
  <c r="CI19" i="1"/>
  <c r="CE19" i="1"/>
  <c r="CD19" i="1"/>
  <c r="CC19" i="1"/>
  <c r="L19" i="1"/>
  <c r="K19" i="1"/>
  <c r="J19" i="1"/>
  <c r="I19" i="1"/>
  <c r="CI18" i="1"/>
  <c r="CE18" i="1"/>
  <c r="CD18" i="1"/>
  <c r="CC18" i="1"/>
  <c r="L18" i="1"/>
  <c r="K18" i="1"/>
  <c r="J18" i="1"/>
  <c r="I18" i="1"/>
  <c r="CI17" i="1"/>
  <c r="CE17" i="1"/>
  <c r="CD17" i="1"/>
  <c r="CC17" i="1"/>
  <c r="L17" i="1"/>
  <c r="K17" i="1"/>
  <c r="J17" i="1"/>
  <c r="I17" i="1"/>
  <c r="CI16" i="1"/>
  <c r="CE16" i="1"/>
  <c r="CD16" i="1"/>
  <c r="CC16" i="1"/>
  <c r="L16" i="1"/>
  <c r="K16" i="1"/>
  <c r="J16" i="1"/>
  <c r="I16" i="1"/>
  <c r="CI15" i="1"/>
  <c r="CE15" i="1"/>
  <c r="CD15" i="1"/>
  <c r="CC15" i="1"/>
  <c r="L15" i="1"/>
  <c r="K15" i="1"/>
  <c r="J15" i="1"/>
  <c r="I15" i="1"/>
  <c r="CI14" i="1"/>
  <c r="CE14" i="1"/>
  <c r="CD14" i="1"/>
  <c r="CC14" i="1"/>
  <c r="L14" i="1"/>
  <c r="K14" i="1"/>
  <c r="J14" i="1"/>
  <c r="I14" i="1"/>
  <c r="CI13" i="1"/>
  <c r="CE13" i="1"/>
  <c r="CD13" i="1"/>
  <c r="CC13" i="1"/>
  <c r="L13" i="1"/>
  <c r="K13" i="1"/>
  <c r="J13" i="1"/>
  <c r="I13" i="1"/>
  <c r="CI12" i="1"/>
  <c r="CE12" i="1"/>
  <c r="CD12" i="1"/>
  <c r="CC12" i="1"/>
  <c r="L12" i="1"/>
  <c r="K12" i="1"/>
  <c r="J12" i="1"/>
  <c r="I12" i="1"/>
  <c r="CI11" i="1"/>
  <c r="CE11" i="1"/>
  <c r="CD11" i="1"/>
  <c r="CC11" i="1"/>
  <c r="L11" i="1"/>
  <c r="K11" i="1"/>
  <c r="J11" i="1"/>
  <c r="I11" i="1"/>
  <c r="CI10" i="1"/>
  <c r="CE10" i="1"/>
  <c r="CD10" i="1"/>
  <c r="CC10" i="1"/>
  <c r="L10" i="1"/>
  <c r="K10" i="1"/>
  <c r="J10" i="1"/>
  <c r="I10" i="1"/>
  <c r="CI9" i="1"/>
  <c r="CE9" i="1"/>
  <c r="CD9" i="1"/>
  <c r="CC9" i="1"/>
  <c r="L9" i="1"/>
  <c r="K9" i="1"/>
  <c r="J9" i="1"/>
  <c r="I9" i="1"/>
  <c r="CI8" i="1"/>
  <c r="CE8" i="1"/>
  <c r="CD8" i="1"/>
  <c r="CC8" i="1"/>
  <c r="L8" i="1"/>
  <c r="K8" i="1"/>
  <c r="J8" i="1"/>
  <c r="I8" i="1"/>
  <c r="CI7" i="1"/>
  <c r="CE7" i="1"/>
  <c r="CD7" i="1"/>
  <c r="CC7" i="1"/>
  <c r="L7" i="1"/>
  <c r="K7" i="1"/>
  <c r="J7" i="1"/>
  <c r="I7" i="1"/>
  <c r="CF6" i="1" a="1"/>
  <c r="CF6" i="1" s="1"/>
  <c r="CG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<sst xmlns="http://schemas.openxmlformats.org/spreadsheetml/2006/main" count="446" uniqueCount="36">
  <si>
    <t>Follower Retention and Audience Loyalty</t>
  </si>
  <si>
    <t>Correlation between ad spent and follower growth using scatter plot and Chart</t>
  </si>
  <si>
    <t>Weekly follower growth trends by line chart</t>
  </si>
  <si>
    <t>Week_Start_Date</t>
  </si>
  <si>
    <t>Platform</t>
  </si>
  <si>
    <t>New_Followers</t>
  </si>
  <si>
    <t>Unfollows</t>
  </si>
  <si>
    <t>Total_Followers</t>
  </si>
  <si>
    <t>Year</t>
  </si>
  <si>
    <t>Month</t>
  </si>
  <si>
    <t xml:space="preserve">Week </t>
  </si>
  <si>
    <t>Net New followers</t>
  </si>
  <si>
    <t>Engagement_Rate</t>
  </si>
  <si>
    <t>Ad_Spend</t>
  </si>
  <si>
    <t>Netgrowth</t>
  </si>
  <si>
    <t>Facebook</t>
  </si>
  <si>
    <t>Correlation between ad spent and net growth( net new followers)</t>
  </si>
  <si>
    <t>Year and Month</t>
  </si>
  <si>
    <t>Average of Total_Followers</t>
  </si>
  <si>
    <t>Week with highest net follower gain</t>
  </si>
  <si>
    <t>Moving average chart to smooth out follower growth trends</t>
  </si>
  <si>
    <t>Average of Net New followers</t>
  </si>
  <si>
    <t>Months</t>
  </si>
  <si>
    <t>Yeae/Month/week</t>
  </si>
  <si>
    <t>Sum of Total_Followers</t>
  </si>
  <si>
    <t>weeks</t>
  </si>
  <si>
    <t>Grand Total</t>
  </si>
  <si>
    <t xml:space="preserve"> Positive Correlation between Ad spent and Net new followers</t>
  </si>
  <si>
    <t>Formulas Used</t>
  </si>
  <si>
    <t>Null</t>
  </si>
  <si>
    <t>New follower gain is more in week 2 of Febraury month/2025, week 4 of Febraury month/2025, week 1 of December month/2024, week 3 of december month/2024, week 5 of december month/2024</t>
  </si>
  <si>
    <r>
      <t>The highest among all this is</t>
    </r>
    <r>
      <rPr>
        <b/>
        <sz val="11"/>
        <color theme="1"/>
        <rFont val="Calibri"/>
        <family val="2"/>
        <scheme val="minor"/>
      </rPr>
      <t xml:space="preserve"> week 5 </t>
    </r>
    <r>
      <rPr>
        <sz val="11"/>
        <color theme="1"/>
        <rFont val="Calibri"/>
        <family val="2"/>
        <scheme val="minor"/>
      </rPr>
      <t>of december month/2024</t>
    </r>
  </si>
  <si>
    <t xml:space="preserve">Total followers of all platform per week of a particular month and year is in y axixs, the month and weeks are in x axis. Moving average is plotted (average of 4 weeks) to smoothen the data </t>
  </si>
  <si>
    <t>Instagram</t>
  </si>
  <si>
    <t>Twitter</t>
  </si>
  <si>
    <t>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</si>
</sst>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scheme val="minor"/>
    </font>
    <font>
      <sz val="11"/>
      <color theme="1"/>
      <name val="Calibri"/>
      <family val="2"/>
      <scheme val="minor"/>
    </font>
    <font>
      <b/>
      <sz val="11"/>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14" fontId="3" fillId="2" borderId="1" xfId="0" applyNumberFormat="1" applyFont="1" applyFill="1" applyBorder="1" applyAlignment="1">
      <alignment horizontal="center"/>
    </xf>
    <xf numFmtId="14" fontId="0" fillId="0" borderId="0" xfId="0" applyNumberFormat="1"/>
    <xf numFmtId="0" fontId="0" fillId="0" borderId="0" xfId="1" applyNumberFormat="1" applyFont="1"/>
    <xf numFmtId="164" fontId="0" fillId="0" borderId="0" xfId="0" applyNumberFormat="1"/>
    <xf numFmtId="0" fontId="2" fillId="2" borderId="1" xfId="1" applyNumberFormat="1" applyFont="1" applyFill="1" applyBorder="1" applyAlignment="1">
      <alignment horizontal="center"/>
    </xf>
    <xf numFmtId="0" fontId="2" fillId="2" borderId="2" xfId="0" applyFont="1" applyFill="1" applyBorder="1" applyAlignment="1">
      <alignment horizontal="center"/>
    </xf>
    <xf numFmtId="0" fontId="2" fillId="2" borderId="1" xfId="0" applyFont="1" applyFill="1" applyBorder="1" applyAlignment="1">
      <alignment horizontal="center"/>
    </xf>
    <xf numFmtId="14" fontId="0" fillId="0" borderId="1" xfId="0" applyNumberFormat="1" applyBorder="1"/>
    <xf numFmtId="0" fontId="0" fillId="0" borderId="1" xfId="0" applyBorder="1"/>
    <xf numFmtId="0" fontId="1" fillId="0" borderId="1" xfId="0" applyFont="1" applyBorder="1"/>
    <xf numFmtId="0" fontId="0" fillId="0" borderId="1" xfId="1" applyNumberFormat="1" applyFont="1" applyBorder="1"/>
    <xf numFmtId="164" fontId="0" fillId="0" borderId="1" xfId="0" applyNumberFormat="1" applyBorder="1"/>
    <xf numFmtId="0" fontId="1" fillId="0" borderId="0" xfId="0" applyFont="1"/>
    <xf numFmtId="0" fontId="1" fillId="2" borderId="0" xfId="0" applyFont="1" applyFill="1"/>
    <xf numFmtId="0" fontId="0" fillId="2" borderId="0" xfId="0" applyFill="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1" xfId="0" applyBorder="1" applyAlignment="1">
      <alignment horizontal="left"/>
    </xf>
    <xf numFmtId="0" fontId="0" fillId="0" borderId="1" xfId="0" applyBorder="1" applyAlignment="1">
      <alignment horizontal="left" indent="1"/>
    </xf>
    <xf numFmtId="0" fontId="2" fillId="2" borderId="1" xfId="0" applyFont="1" applyFill="1" applyBorder="1"/>
    <xf numFmtId="0" fontId="2" fillId="3" borderId="1" xfId="0" applyFont="1" applyFill="1" applyBorder="1" applyAlignment="1">
      <alignment horizontal="center"/>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xf>
    <xf numFmtId="0" fontId="0" fillId="2" borderId="1" xfId="0" applyFill="1" applyBorder="1" applyAlignment="1">
      <alignment horizontal="center"/>
    </xf>
    <xf numFmtId="0" fontId="1" fillId="2" borderId="1" xfId="0" applyFont="1" applyFill="1" applyBorder="1" applyAlignment="1">
      <alignment horizontal="center" wrapText="1"/>
    </xf>
    <xf numFmtId="0" fontId="0" fillId="0" borderId="0" xfId="0" pivotButton="1"/>
    <xf numFmtId="0" fontId="0" fillId="0" borderId="0" xfId="0" applyNumberFormat="1"/>
  </cellXfs>
  <cellStyles count="2">
    <cellStyle name="Normal" xfId="0" builtinId="0"/>
    <cellStyle name="Percent" xfId="1" builtinId="5"/>
  </cellStyles>
  <dxfs count="3">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3.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[FollowerRetention&amp;LoyaltyAnalysis.xlsx]FollowerRetention&amp;Loyalty!PivotTable33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'FollowerRetention&amp;Loyalty'!$N$9</c:f>
              <c:strCache>
                <c:ptCount val="1"/>
                <c:pt idx="0">
                  <c:v>Total</c:v>
                </c:pt>
              </c:strCache>
            </c:strRef>
          </c:tx>
          <c:spPr>
            <a:ln w="28575" cap="rnd">
              <a:solidFill>
                <a:schemeClr val="accent1"/>
              </a:solidFill>
              <a:round/>
            </a:ln>
            <a:effectLst/>
          </c:spPr>
          <c:marker>
            <c:symbol val="none"/>
          </c:marker>
          <c:cat>
            <c:multiLvlStrRef>
              <c:f>'FollowerRetention&amp;Loyalty'!$M$10:$M$49</c:f>
              <c:multiLvlStrCache>
                <c:ptCount val="31"/>
                <c:lvl>
                  <c:pt idx="0">
                    <c:v>1</c:v>
                  </c:pt>
                  <c:pt idx="1">
                    <c:v>2</c:v>
                  </c:pt>
                  <c:pt idx="2">
                    <c:v>3</c:v>
                  </c:pt>
                  <c:pt idx="3">
                    <c:v>4</c:v>
                  </c:pt>
                  <c:pt idx="4">
                    <c:v>1</c:v>
                  </c:pt>
                  <c:pt idx="5">
                    <c:v>2</c:v>
                  </c:pt>
                  <c:pt idx="6">
                    <c:v>3</c:v>
                  </c:pt>
                  <c:pt idx="7">
                    <c:v>4</c:v>
                  </c:pt>
                  <c:pt idx="8">
                    <c:v>5</c:v>
                  </c:pt>
                  <c:pt idx="9">
                    <c:v>1</c:v>
                  </c:pt>
                  <c:pt idx="10">
                    <c:v>2</c:v>
                  </c:pt>
                  <c:pt idx="11">
                    <c:v>3</c:v>
                  </c:pt>
                  <c:pt idx="12">
                    <c:v>4</c:v>
                  </c:pt>
                  <c:pt idx="13">
                    <c:v>1</c:v>
                  </c:pt>
                  <c:pt idx="14">
                    <c:v>2</c:v>
                  </c:pt>
                  <c:pt idx="15">
                    <c:v>3</c:v>
                  </c:pt>
                  <c:pt idx="16">
                    <c:v>4</c:v>
                  </c:pt>
                  <c:pt idx="17">
                    <c:v>5</c:v>
                  </c:pt>
                  <c:pt idx="18">
                    <c:v>1</c:v>
                  </c:pt>
                  <c:pt idx="19">
                    <c:v>2</c:v>
                  </c:pt>
                  <c:pt idx="20">
                    <c:v>3</c:v>
                  </c:pt>
                  <c:pt idx="21">
                    <c:v>4</c:v>
                  </c:pt>
                  <c:pt idx="22">
                    <c:v>1</c:v>
                  </c:pt>
                  <c:pt idx="23">
                    <c:v>2</c:v>
                  </c:pt>
                  <c:pt idx="24">
                    <c:v>3</c:v>
                  </c:pt>
                  <c:pt idx="25">
                    <c:v>4</c:v>
                  </c:pt>
                  <c:pt idx="26">
                    <c:v>1</c:v>
                  </c:pt>
                  <c:pt idx="27">
                    <c:v>2</c:v>
                  </c:pt>
                  <c:pt idx="28">
                    <c:v>3</c:v>
                  </c:pt>
                  <c:pt idx="29">
                    <c:v>4</c:v>
                  </c:pt>
                  <c:pt idx="30">
                    <c:v>5</c:v>
                  </c:pt>
                </c:lvl>
                <c:lvl>
                  <c:pt idx="0">
                    <c:v>6</c:v>
                  </c:pt>
                  <c:pt idx="4">
                    <c:v>7</c:v>
                  </c:pt>
                  <c:pt idx="9">
                    <c:v>8</c:v>
                  </c:pt>
                  <c:pt idx="13">
                    <c:v>9</c:v>
                  </c:pt>
                  <c:pt idx="18">
                    <c:v>10</c:v>
                  </c:pt>
                  <c:pt idx="22">
                    <c:v>11</c:v>
                  </c:pt>
                  <c:pt idx="26">
                    <c:v>12</c:v>
                  </c:pt>
                </c:lvl>
                <c:lvl>
                  <c:pt idx="0">
                    <c:v>2024</c:v>
                  </c:pt>
                </c:lvl>
              </c:multiLvlStrCache>
            </c:multiLvlStrRef>
          </c:cat>
          <c:val>
            <c:numRef>
              <c:f>'FollowerRetention&amp;Loyalty'!$N$10:$N$49</c:f>
              <c:numCache>
                <c:formatCode>General</c:formatCode>
                <c:ptCount val="31"/>
                <c:pt idx="0">
                  <c:v>42654</c:v>
                </c:pt>
                <c:pt idx="1">
                  <c:v>316555</c:v>
                </c:pt>
                <c:pt idx="2">
                  <c:v>169496</c:v>
                </c:pt>
                <c:pt idx="3">
                  <c:v>26295</c:v>
                </c:pt>
                <c:pt idx="4">
                  <c:v>220020</c:v>
                </c:pt>
                <c:pt idx="5">
                  <c:v>251694</c:v>
                </c:pt>
                <c:pt idx="6">
                  <c:v>334626</c:v>
                </c:pt>
                <c:pt idx="7">
                  <c:v>295032</c:v>
                </c:pt>
                <c:pt idx="8">
                  <c:v>435034</c:v>
                </c:pt>
                <c:pt idx="9">
                  <c:v>125034</c:v>
                </c:pt>
                <c:pt idx="10">
                  <c:v>307612</c:v>
                </c:pt>
                <c:pt idx="11">
                  <c:v>183924</c:v>
                </c:pt>
                <c:pt idx="12">
                  <c:v>379380</c:v>
                </c:pt>
                <c:pt idx="13">
                  <c:v>496982</c:v>
                </c:pt>
                <c:pt idx="14">
                  <c:v>307524</c:v>
                </c:pt>
                <c:pt idx="15">
                  <c:v>474162</c:v>
                </c:pt>
                <c:pt idx="16">
                  <c:v>239753</c:v>
                </c:pt>
                <c:pt idx="17">
                  <c:v>453423</c:v>
                </c:pt>
                <c:pt idx="18">
                  <c:v>379363</c:v>
                </c:pt>
                <c:pt idx="19">
                  <c:v>157599</c:v>
                </c:pt>
                <c:pt idx="20">
                  <c:v>23492</c:v>
                </c:pt>
                <c:pt idx="21">
                  <c:v>209987</c:v>
                </c:pt>
                <c:pt idx="22">
                  <c:v>319186</c:v>
                </c:pt>
                <c:pt idx="23">
                  <c:v>309483</c:v>
                </c:pt>
                <c:pt idx="24">
                  <c:v>338847</c:v>
                </c:pt>
                <c:pt idx="25">
                  <c:v>336661</c:v>
                </c:pt>
                <c:pt idx="26">
                  <c:v>470269</c:v>
                </c:pt>
                <c:pt idx="27">
                  <c:v>35842</c:v>
                </c:pt>
                <c:pt idx="28">
                  <c:v>415815</c:v>
                </c:pt>
                <c:pt idx="29">
                  <c:v>93347</c:v>
                </c:pt>
                <c:pt idx="30">
                  <c:v>379431</c:v>
                </c:pt>
              </c:numCache>
            </c:numRef>
          </c:val>
          <c:smooth val="0"/>
          <c:extLst>
            <c:ext xmlns:c16="http://schemas.microsoft.com/office/drawing/2014/chart" uri="{C3380CC4-5D6E-409C-BE32-E72D297353CC}">
              <c16:uniqueId val="{00000000-8950-4CD1-B527-9D7485A888FA}"/>
            </c:ext>
          </c:extLst>
        </c:ser>
        <c:dLbls>
          <c:showLegendKey val="0"/>
          <c:showVal val="0"/>
          <c:showCatName val="0"/>
          <c:showSerName val="0"/>
          <c:showPercent val="0"/>
          <c:showBubbleSize val="0"/>
        </c:dLbls>
        <c:smooth val="0"/>
        <c:axId val="1706960479"/>
        <c:axId val="1991353727"/>
      </c:lineChart>
      <c:catAx>
        <c:axId val="170696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53727"/>
        <c:crosses val="autoZero"/>
        <c:auto val="1"/>
        <c:lblAlgn val="ctr"/>
        <c:lblOffset val="100"/>
        <c:noMultiLvlLbl val="0"/>
      </c:catAx>
      <c:valAx>
        <c:axId val="199135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96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[FollowerRetention&amp;LoyaltyAnalysis.xlsx]FollowerRetention&amp;Loyalty!PivotTable35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7901336894293E-2"/>
          <c:y val="0.16245370370370371"/>
          <c:w val="0.64119952111249257"/>
          <c:h val="0.56280183727034117"/>
        </c:manualLayout>
      </c:layout>
      <c:lineChart>
        <c:grouping val="standard"/>
        <c:varyColors val="0"/>
        <c:ser>
          <c:idx val="0"/>
          <c:order val="0"/>
          <c:tx>
            <c:strRef>
              <c:f>'FollowerRetention&amp;Loyalty'!$BB$11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a:glow rad="127000">
                  <a:schemeClr val="bg1"/>
                </a:glow>
              </a:effectLst>
            </c:spPr>
            <c:trendlineType val="movingAvg"/>
            <c:period val="4"/>
            <c:dispRSqr val="0"/>
            <c:dispEq val="0"/>
          </c:trendline>
          <c:cat>
            <c:multiLvlStrRef>
              <c:f>'FollowerRetention&amp;Loyalty'!$BA$12:$BA$76</c:f>
              <c:multiLvlStrCache>
                <c:ptCount val="50"/>
                <c:lvl>
                  <c:pt idx="0">
                    <c:v>1</c:v>
                  </c:pt>
                  <c:pt idx="1">
                    <c:v>2</c:v>
                  </c:pt>
                  <c:pt idx="2">
                    <c:v>3</c:v>
                  </c:pt>
                  <c:pt idx="3">
                    <c:v>4</c:v>
                  </c:pt>
                  <c:pt idx="4">
                    <c:v>1</c:v>
                  </c:pt>
                  <c:pt idx="5">
                    <c:v>2</c:v>
                  </c:pt>
                  <c:pt idx="6">
                    <c:v>3</c:v>
                  </c:pt>
                  <c:pt idx="7">
                    <c:v>4</c:v>
                  </c:pt>
                  <c:pt idx="8">
                    <c:v>5</c:v>
                  </c:pt>
                  <c:pt idx="9">
                    <c:v>1</c:v>
                  </c:pt>
                  <c:pt idx="10">
                    <c:v>2</c:v>
                  </c:pt>
                  <c:pt idx="11">
                    <c:v>3</c:v>
                  </c:pt>
                  <c:pt idx="12">
                    <c:v>4</c:v>
                  </c:pt>
                  <c:pt idx="13">
                    <c:v>1</c:v>
                  </c:pt>
                  <c:pt idx="14">
                    <c:v>2</c:v>
                  </c:pt>
                  <c:pt idx="15">
                    <c:v>3</c:v>
                  </c:pt>
                  <c:pt idx="16">
                    <c:v>4</c:v>
                  </c:pt>
                  <c:pt idx="17">
                    <c:v>5</c:v>
                  </c:pt>
                  <c:pt idx="18">
                    <c:v>1</c:v>
                  </c:pt>
                  <c:pt idx="19">
                    <c:v>2</c:v>
                  </c:pt>
                  <c:pt idx="20">
                    <c:v>3</c:v>
                  </c:pt>
                  <c:pt idx="21">
                    <c:v>4</c:v>
                  </c:pt>
                  <c:pt idx="22">
                    <c:v>1</c:v>
                  </c:pt>
                  <c:pt idx="23">
                    <c:v>2</c:v>
                  </c:pt>
                  <c:pt idx="24">
                    <c:v>3</c:v>
                  </c:pt>
                  <c:pt idx="25">
                    <c:v>4</c:v>
                  </c:pt>
                  <c:pt idx="26">
                    <c:v>1</c:v>
                  </c:pt>
                  <c:pt idx="27">
                    <c:v>2</c:v>
                  </c:pt>
                  <c:pt idx="28">
                    <c:v>3</c:v>
                  </c:pt>
                  <c:pt idx="29">
                    <c:v>4</c:v>
                  </c:pt>
                  <c:pt idx="30">
                    <c:v>5</c:v>
                  </c:pt>
                  <c:pt idx="31">
                    <c:v>1</c:v>
                  </c:pt>
                  <c:pt idx="32">
                    <c:v>2</c:v>
                  </c:pt>
                  <c:pt idx="33">
                    <c:v>3</c:v>
                  </c:pt>
                  <c:pt idx="34">
                    <c:v>4</c:v>
                  </c:pt>
                  <c:pt idx="35">
                    <c:v>1</c:v>
                  </c:pt>
                  <c:pt idx="36">
                    <c:v>2</c:v>
                  </c:pt>
                  <c:pt idx="37">
                    <c:v>3</c:v>
                  </c:pt>
                  <c:pt idx="38">
                    <c:v>4</c:v>
                  </c:pt>
                  <c:pt idx="39">
                    <c:v>1</c:v>
                  </c:pt>
                  <c:pt idx="40">
                    <c:v>2</c:v>
                  </c:pt>
                  <c:pt idx="41">
                    <c:v>3</c:v>
                  </c:pt>
                  <c:pt idx="42">
                    <c:v>4</c:v>
                  </c:pt>
                  <c:pt idx="43">
                    <c:v>5</c:v>
                  </c:pt>
                  <c:pt idx="44">
                    <c:v>1</c:v>
                  </c:pt>
                  <c:pt idx="45">
                    <c:v>2</c:v>
                  </c:pt>
                  <c:pt idx="46">
                    <c:v>3</c:v>
                  </c:pt>
                  <c:pt idx="47">
                    <c:v>4</c:v>
                  </c:pt>
                  <c:pt idx="48">
                    <c:v>1</c:v>
                  </c:pt>
                  <c:pt idx="49">
                    <c:v>2</c:v>
                  </c:pt>
                </c:lvl>
                <c:lvl>
                  <c:pt idx="0">
                    <c:v>6</c:v>
                  </c:pt>
                  <c:pt idx="4">
                    <c:v>7</c:v>
                  </c:pt>
                  <c:pt idx="9">
                    <c:v>8</c:v>
                  </c:pt>
                  <c:pt idx="13">
                    <c:v>9</c:v>
                  </c:pt>
                  <c:pt idx="18">
                    <c:v>10</c:v>
                  </c:pt>
                  <c:pt idx="22">
                    <c:v>11</c:v>
                  </c:pt>
                  <c:pt idx="26">
                    <c:v>12</c:v>
                  </c:pt>
                  <c:pt idx="31">
                    <c:v>1</c:v>
                  </c:pt>
                  <c:pt idx="35">
                    <c:v>2</c:v>
                  </c:pt>
                  <c:pt idx="39">
                    <c:v>3</c:v>
                  </c:pt>
                  <c:pt idx="44">
                    <c:v>4</c:v>
                  </c:pt>
                  <c:pt idx="48">
                    <c:v>5</c:v>
                  </c:pt>
                </c:lvl>
                <c:lvl>
                  <c:pt idx="0">
                    <c:v>2024</c:v>
                  </c:pt>
                  <c:pt idx="31">
                    <c:v>2025</c:v>
                  </c:pt>
                </c:lvl>
              </c:multiLvlStrCache>
            </c:multiLvlStrRef>
          </c:cat>
          <c:val>
            <c:numRef>
              <c:f>'FollowerRetention&amp;Loyalty'!$BB$12:$BB$76</c:f>
              <c:numCache>
                <c:formatCode>General</c:formatCode>
                <c:ptCount val="50"/>
                <c:pt idx="0">
                  <c:v>929108</c:v>
                </c:pt>
                <c:pt idx="1">
                  <c:v>1033937</c:v>
                </c:pt>
                <c:pt idx="2">
                  <c:v>1132025</c:v>
                </c:pt>
                <c:pt idx="3">
                  <c:v>786564</c:v>
                </c:pt>
                <c:pt idx="4">
                  <c:v>1068450</c:v>
                </c:pt>
                <c:pt idx="5">
                  <c:v>933421</c:v>
                </c:pt>
                <c:pt idx="6">
                  <c:v>871480</c:v>
                </c:pt>
                <c:pt idx="7">
                  <c:v>1273686</c:v>
                </c:pt>
                <c:pt idx="8">
                  <c:v>808771</c:v>
                </c:pt>
                <c:pt idx="9">
                  <c:v>1333646</c:v>
                </c:pt>
                <c:pt idx="10">
                  <c:v>1333725</c:v>
                </c:pt>
                <c:pt idx="11">
                  <c:v>785466</c:v>
                </c:pt>
                <c:pt idx="12">
                  <c:v>1258677</c:v>
                </c:pt>
                <c:pt idx="13">
                  <c:v>1288064</c:v>
                </c:pt>
                <c:pt idx="14">
                  <c:v>1184208</c:v>
                </c:pt>
                <c:pt idx="15">
                  <c:v>1037244</c:v>
                </c:pt>
                <c:pt idx="16">
                  <c:v>994071</c:v>
                </c:pt>
                <c:pt idx="17">
                  <c:v>982958</c:v>
                </c:pt>
                <c:pt idx="18">
                  <c:v>1160799</c:v>
                </c:pt>
                <c:pt idx="19">
                  <c:v>1055104</c:v>
                </c:pt>
                <c:pt idx="20">
                  <c:v>895778</c:v>
                </c:pt>
                <c:pt idx="21">
                  <c:v>1102886</c:v>
                </c:pt>
                <c:pt idx="22">
                  <c:v>1072145</c:v>
                </c:pt>
                <c:pt idx="23">
                  <c:v>569274</c:v>
                </c:pt>
                <c:pt idx="24">
                  <c:v>1179152</c:v>
                </c:pt>
                <c:pt idx="25">
                  <c:v>770117</c:v>
                </c:pt>
                <c:pt idx="26">
                  <c:v>1423404</c:v>
                </c:pt>
                <c:pt idx="27">
                  <c:v>728959</c:v>
                </c:pt>
                <c:pt idx="28">
                  <c:v>1697452</c:v>
                </c:pt>
                <c:pt idx="29">
                  <c:v>480438</c:v>
                </c:pt>
                <c:pt idx="30">
                  <c:v>931911</c:v>
                </c:pt>
                <c:pt idx="31">
                  <c:v>1028676</c:v>
                </c:pt>
                <c:pt idx="32">
                  <c:v>1076445</c:v>
                </c:pt>
                <c:pt idx="33">
                  <c:v>1324524</c:v>
                </c:pt>
                <c:pt idx="34">
                  <c:v>1402810</c:v>
                </c:pt>
                <c:pt idx="35">
                  <c:v>935863</c:v>
                </c:pt>
                <c:pt idx="36">
                  <c:v>1143902</c:v>
                </c:pt>
                <c:pt idx="37">
                  <c:v>809798</c:v>
                </c:pt>
                <c:pt idx="38">
                  <c:v>1138218</c:v>
                </c:pt>
                <c:pt idx="39">
                  <c:v>1315569</c:v>
                </c:pt>
                <c:pt idx="40">
                  <c:v>913852</c:v>
                </c:pt>
                <c:pt idx="41">
                  <c:v>782286</c:v>
                </c:pt>
                <c:pt idx="42">
                  <c:v>1391437</c:v>
                </c:pt>
                <c:pt idx="43">
                  <c:v>1286926</c:v>
                </c:pt>
                <c:pt idx="44">
                  <c:v>497328</c:v>
                </c:pt>
                <c:pt idx="45">
                  <c:v>649421</c:v>
                </c:pt>
                <c:pt idx="46">
                  <c:v>1045133</c:v>
                </c:pt>
                <c:pt idx="47">
                  <c:v>1169498</c:v>
                </c:pt>
                <c:pt idx="48">
                  <c:v>1499439</c:v>
                </c:pt>
                <c:pt idx="49">
                  <c:v>1371977</c:v>
                </c:pt>
              </c:numCache>
            </c:numRef>
          </c:val>
          <c:smooth val="0"/>
          <c:extLst>
            <c:ext xmlns:c16="http://schemas.microsoft.com/office/drawing/2014/chart" uri="{C3380CC4-5D6E-409C-BE32-E72D297353CC}">
              <c16:uniqueId val="{00000001-F306-431D-B95F-EB27F541923F}"/>
            </c:ext>
          </c:extLst>
        </c:ser>
        <c:dLbls>
          <c:showLegendKey val="0"/>
          <c:showVal val="0"/>
          <c:showCatName val="0"/>
          <c:showSerName val="0"/>
          <c:showPercent val="0"/>
          <c:showBubbleSize val="0"/>
        </c:dLbls>
        <c:smooth val="0"/>
        <c:axId val="1991322847"/>
        <c:axId val="1991849311"/>
      </c:lineChart>
      <c:catAx>
        <c:axId val="199132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49311"/>
        <c:crosses val="autoZero"/>
        <c:auto val="1"/>
        <c:lblAlgn val="ctr"/>
        <c:lblOffset val="100"/>
        <c:noMultiLvlLbl val="0"/>
      </c:catAx>
      <c:valAx>
        <c:axId val="199184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2284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'FollowerRetention&amp;Loyalty'!$CI$6</c:f>
              <c:strCache>
                <c:ptCount val="1"/>
                <c:pt idx="0">
                  <c:v>Netgrowth</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1500" b="0" i="0" u="none" strike="noStrike" kern="1200" baseline="0">
                      <a:solidFill>
                        <a:schemeClr val="accent2"/>
                      </a:solidFill>
                      <a:latin typeface="+mn-lt"/>
                      <a:ea typeface="+mn-ea"/>
                      <a:cs typeface="+mn-cs"/>
                    </a:defRPr>
                  </a:pPr>
                  <a:endParaRPr lang="en-US"/>
                </a:p>
              </c:txPr>
            </c:trendlineLbl>
          </c:trendline>
          <c:xVal>
            <c:numRef>
              <c:f>'FollowerRetention&amp;Loyalty'!$CH$7:$CH$206</c:f>
              <c:numCache>
                <c:formatCode>"₹"#,##0.00</c:formatCode>
                <c:ptCount val="200"/>
                <c:pt idx="0">
                  <c:v>9566</c:v>
                </c:pt>
                <c:pt idx="1">
                  <c:v>7924</c:v>
                </c:pt>
                <c:pt idx="2">
                  <c:v>46670</c:v>
                </c:pt>
                <c:pt idx="3">
                  <c:v>30635</c:v>
                </c:pt>
                <c:pt idx="4">
                  <c:v>42307</c:v>
                </c:pt>
                <c:pt idx="5">
                  <c:v>38610</c:v>
                </c:pt>
                <c:pt idx="6">
                  <c:v>43420</c:v>
                </c:pt>
                <c:pt idx="7">
                  <c:v>26067</c:v>
                </c:pt>
                <c:pt idx="8">
                  <c:v>4839</c:v>
                </c:pt>
                <c:pt idx="9">
                  <c:v>26455</c:v>
                </c:pt>
                <c:pt idx="10">
                  <c:v>37903</c:v>
                </c:pt>
                <c:pt idx="11">
                  <c:v>14203</c:v>
                </c:pt>
                <c:pt idx="12">
                  <c:v>26925</c:v>
                </c:pt>
                <c:pt idx="13">
                  <c:v>24384</c:v>
                </c:pt>
                <c:pt idx="14">
                  <c:v>40478</c:v>
                </c:pt>
                <c:pt idx="15">
                  <c:v>47462</c:v>
                </c:pt>
                <c:pt idx="16">
                  <c:v>11901</c:v>
                </c:pt>
                <c:pt idx="17">
                  <c:v>2315</c:v>
                </c:pt>
                <c:pt idx="18">
                  <c:v>43836</c:v>
                </c:pt>
                <c:pt idx="19">
                  <c:v>7285</c:v>
                </c:pt>
                <c:pt idx="20">
                  <c:v>42824</c:v>
                </c:pt>
                <c:pt idx="21">
                  <c:v>30214</c:v>
                </c:pt>
                <c:pt idx="22">
                  <c:v>4996</c:v>
                </c:pt>
                <c:pt idx="23">
                  <c:v>38452</c:v>
                </c:pt>
                <c:pt idx="24">
                  <c:v>39997</c:v>
                </c:pt>
                <c:pt idx="25">
                  <c:v>28498</c:v>
                </c:pt>
                <c:pt idx="26">
                  <c:v>26103</c:v>
                </c:pt>
                <c:pt idx="27">
                  <c:v>18601</c:v>
                </c:pt>
                <c:pt idx="28">
                  <c:v>18656</c:v>
                </c:pt>
                <c:pt idx="29">
                  <c:v>47502</c:v>
                </c:pt>
                <c:pt idx="30">
                  <c:v>25140</c:v>
                </c:pt>
                <c:pt idx="31">
                  <c:v>17951</c:v>
                </c:pt>
                <c:pt idx="32">
                  <c:v>45708</c:v>
                </c:pt>
                <c:pt idx="33">
                  <c:v>23853</c:v>
                </c:pt>
                <c:pt idx="34">
                  <c:v>20560</c:v>
                </c:pt>
                <c:pt idx="35">
                  <c:v>40323</c:v>
                </c:pt>
                <c:pt idx="36">
                  <c:v>23489</c:v>
                </c:pt>
                <c:pt idx="37">
                  <c:v>31853</c:v>
                </c:pt>
                <c:pt idx="38">
                  <c:v>22713</c:v>
                </c:pt>
                <c:pt idx="39">
                  <c:v>20553</c:v>
                </c:pt>
                <c:pt idx="40">
                  <c:v>21539</c:v>
                </c:pt>
                <c:pt idx="41">
                  <c:v>29116</c:v>
                </c:pt>
                <c:pt idx="42">
                  <c:v>21453</c:v>
                </c:pt>
                <c:pt idx="43">
                  <c:v>23461</c:v>
                </c:pt>
                <c:pt idx="44">
                  <c:v>47603</c:v>
                </c:pt>
                <c:pt idx="45">
                  <c:v>25920</c:v>
                </c:pt>
                <c:pt idx="46">
                  <c:v>7875</c:v>
                </c:pt>
                <c:pt idx="47">
                  <c:v>3582</c:v>
                </c:pt>
                <c:pt idx="48">
                  <c:v>48419</c:v>
                </c:pt>
                <c:pt idx="49">
                  <c:v>49400</c:v>
                </c:pt>
                <c:pt idx="50">
                  <c:v>5904</c:v>
                </c:pt>
                <c:pt idx="51">
                  <c:v>9920</c:v>
                </c:pt>
                <c:pt idx="52">
                  <c:v>11329</c:v>
                </c:pt>
                <c:pt idx="53">
                  <c:v>18050</c:v>
                </c:pt>
                <c:pt idx="54">
                  <c:v>9566</c:v>
                </c:pt>
                <c:pt idx="55">
                  <c:v>22728</c:v>
                </c:pt>
                <c:pt idx="56">
                  <c:v>10740</c:v>
                </c:pt>
                <c:pt idx="57">
                  <c:v>17328</c:v>
                </c:pt>
                <c:pt idx="58">
                  <c:v>15353</c:v>
                </c:pt>
                <c:pt idx="59">
                  <c:v>49303</c:v>
                </c:pt>
                <c:pt idx="60">
                  <c:v>47101</c:v>
                </c:pt>
                <c:pt idx="61">
                  <c:v>35501</c:v>
                </c:pt>
                <c:pt idx="62">
                  <c:v>24913</c:v>
                </c:pt>
                <c:pt idx="63">
                  <c:v>37829</c:v>
                </c:pt>
                <c:pt idx="64">
                  <c:v>26663</c:v>
                </c:pt>
                <c:pt idx="65">
                  <c:v>21939</c:v>
                </c:pt>
                <c:pt idx="66">
                  <c:v>1083</c:v>
                </c:pt>
                <c:pt idx="67">
                  <c:v>30575</c:v>
                </c:pt>
                <c:pt idx="68">
                  <c:v>41215</c:v>
                </c:pt>
                <c:pt idx="69">
                  <c:v>36397</c:v>
                </c:pt>
                <c:pt idx="70">
                  <c:v>32478</c:v>
                </c:pt>
                <c:pt idx="71">
                  <c:v>13116</c:v>
                </c:pt>
                <c:pt idx="72">
                  <c:v>36484</c:v>
                </c:pt>
                <c:pt idx="73">
                  <c:v>47812</c:v>
                </c:pt>
                <c:pt idx="74">
                  <c:v>29533</c:v>
                </c:pt>
                <c:pt idx="75">
                  <c:v>1810</c:v>
                </c:pt>
                <c:pt idx="76">
                  <c:v>36103</c:v>
                </c:pt>
                <c:pt idx="77">
                  <c:v>22724</c:v>
                </c:pt>
                <c:pt idx="78">
                  <c:v>20692</c:v>
                </c:pt>
                <c:pt idx="79">
                  <c:v>4683</c:v>
                </c:pt>
                <c:pt idx="80">
                  <c:v>4313</c:v>
                </c:pt>
                <c:pt idx="81">
                  <c:v>37132</c:v>
                </c:pt>
                <c:pt idx="82">
                  <c:v>14548</c:v>
                </c:pt>
                <c:pt idx="83">
                  <c:v>43122</c:v>
                </c:pt>
                <c:pt idx="84">
                  <c:v>25525</c:v>
                </c:pt>
                <c:pt idx="85">
                  <c:v>10825</c:v>
                </c:pt>
                <c:pt idx="86">
                  <c:v>3314</c:v>
                </c:pt>
                <c:pt idx="87">
                  <c:v>44097</c:v>
                </c:pt>
                <c:pt idx="88">
                  <c:v>49772</c:v>
                </c:pt>
                <c:pt idx="89">
                  <c:v>33799</c:v>
                </c:pt>
                <c:pt idx="90">
                  <c:v>6296</c:v>
                </c:pt>
                <c:pt idx="91">
                  <c:v>9480</c:v>
                </c:pt>
                <c:pt idx="92">
                  <c:v>49077</c:v>
                </c:pt>
                <c:pt idx="93">
                  <c:v>23140</c:v>
                </c:pt>
                <c:pt idx="94">
                  <c:v>2436</c:v>
                </c:pt>
                <c:pt idx="95">
                  <c:v>2293</c:v>
                </c:pt>
                <c:pt idx="96">
                  <c:v>18693</c:v>
                </c:pt>
                <c:pt idx="97">
                  <c:v>14216</c:v>
                </c:pt>
                <c:pt idx="98">
                  <c:v>33381</c:v>
                </c:pt>
                <c:pt idx="99">
                  <c:v>20042</c:v>
                </c:pt>
                <c:pt idx="100">
                  <c:v>26752</c:v>
                </c:pt>
                <c:pt idx="101">
                  <c:v>8912</c:v>
                </c:pt>
                <c:pt idx="102">
                  <c:v>22482</c:v>
                </c:pt>
                <c:pt idx="103">
                  <c:v>31280</c:v>
                </c:pt>
                <c:pt idx="104">
                  <c:v>5914</c:v>
                </c:pt>
                <c:pt idx="105">
                  <c:v>2932</c:v>
                </c:pt>
                <c:pt idx="106">
                  <c:v>32393</c:v>
                </c:pt>
                <c:pt idx="107">
                  <c:v>32763</c:v>
                </c:pt>
                <c:pt idx="108">
                  <c:v>39272</c:v>
                </c:pt>
                <c:pt idx="109">
                  <c:v>12384</c:v>
                </c:pt>
                <c:pt idx="110">
                  <c:v>33258</c:v>
                </c:pt>
                <c:pt idx="111">
                  <c:v>22206</c:v>
                </c:pt>
                <c:pt idx="112">
                  <c:v>9942</c:v>
                </c:pt>
                <c:pt idx="113">
                  <c:v>25797</c:v>
                </c:pt>
                <c:pt idx="114">
                  <c:v>15476</c:v>
                </c:pt>
                <c:pt idx="115">
                  <c:v>30270</c:v>
                </c:pt>
                <c:pt idx="116">
                  <c:v>24018</c:v>
                </c:pt>
                <c:pt idx="117">
                  <c:v>12148</c:v>
                </c:pt>
                <c:pt idx="118">
                  <c:v>4509</c:v>
                </c:pt>
                <c:pt idx="119">
                  <c:v>33174</c:v>
                </c:pt>
                <c:pt idx="120">
                  <c:v>21208</c:v>
                </c:pt>
                <c:pt idx="121">
                  <c:v>15827</c:v>
                </c:pt>
                <c:pt idx="122">
                  <c:v>36095</c:v>
                </c:pt>
                <c:pt idx="123">
                  <c:v>30428</c:v>
                </c:pt>
                <c:pt idx="124">
                  <c:v>5391</c:v>
                </c:pt>
                <c:pt idx="125">
                  <c:v>39530</c:v>
                </c:pt>
                <c:pt idx="126">
                  <c:v>3455</c:v>
                </c:pt>
                <c:pt idx="127">
                  <c:v>20861</c:v>
                </c:pt>
                <c:pt idx="128">
                  <c:v>13316</c:v>
                </c:pt>
                <c:pt idx="129">
                  <c:v>35359</c:v>
                </c:pt>
                <c:pt idx="130">
                  <c:v>9118</c:v>
                </c:pt>
                <c:pt idx="131">
                  <c:v>2798</c:v>
                </c:pt>
                <c:pt idx="132">
                  <c:v>12350</c:v>
                </c:pt>
                <c:pt idx="133">
                  <c:v>45380</c:v>
                </c:pt>
                <c:pt idx="134">
                  <c:v>19119</c:v>
                </c:pt>
                <c:pt idx="135">
                  <c:v>48270</c:v>
                </c:pt>
                <c:pt idx="136">
                  <c:v>42832</c:v>
                </c:pt>
                <c:pt idx="137">
                  <c:v>37636</c:v>
                </c:pt>
                <c:pt idx="138">
                  <c:v>8718</c:v>
                </c:pt>
                <c:pt idx="139">
                  <c:v>10002</c:v>
                </c:pt>
                <c:pt idx="140">
                  <c:v>14722</c:v>
                </c:pt>
                <c:pt idx="141">
                  <c:v>14068</c:v>
                </c:pt>
                <c:pt idx="142">
                  <c:v>21061</c:v>
                </c:pt>
                <c:pt idx="143">
                  <c:v>11805</c:v>
                </c:pt>
                <c:pt idx="144">
                  <c:v>42964</c:v>
                </c:pt>
                <c:pt idx="145">
                  <c:v>11035</c:v>
                </c:pt>
                <c:pt idx="146">
                  <c:v>8471</c:v>
                </c:pt>
                <c:pt idx="147">
                  <c:v>32500</c:v>
                </c:pt>
                <c:pt idx="148">
                  <c:v>16149</c:v>
                </c:pt>
                <c:pt idx="149">
                  <c:v>4007</c:v>
                </c:pt>
                <c:pt idx="150">
                  <c:v>30671</c:v>
                </c:pt>
                <c:pt idx="151">
                  <c:v>21205</c:v>
                </c:pt>
                <c:pt idx="152">
                  <c:v>24313</c:v>
                </c:pt>
                <c:pt idx="153">
                  <c:v>1783</c:v>
                </c:pt>
                <c:pt idx="154">
                  <c:v>30060</c:v>
                </c:pt>
                <c:pt idx="155">
                  <c:v>15071</c:v>
                </c:pt>
                <c:pt idx="156">
                  <c:v>28474</c:v>
                </c:pt>
                <c:pt idx="157">
                  <c:v>26452</c:v>
                </c:pt>
                <c:pt idx="158">
                  <c:v>16804</c:v>
                </c:pt>
                <c:pt idx="159">
                  <c:v>49372</c:v>
                </c:pt>
                <c:pt idx="160">
                  <c:v>6915</c:v>
                </c:pt>
                <c:pt idx="161">
                  <c:v>10283</c:v>
                </c:pt>
                <c:pt idx="162">
                  <c:v>32929</c:v>
                </c:pt>
                <c:pt idx="163">
                  <c:v>12646</c:v>
                </c:pt>
                <c:pt idx="164">
                  <c:v>10217</c:v>
                </c:pt>
                <c:pt idx="165">
                  <c:v>5442</c:v>
                </c:pt>
                <c:pt idx="166">
                  <c:v>38883</c:v>
                </c:pt>
                <c:pt idx="167">
                  <c:v>36851</c:v>
                </c:pt>
                <c:pt idx="168">
                  <c:v>27822</c:v>
                </c:pt>
                <c:pt idx="169">
                  <c:v>6742</c:v>
                </c:pt>
                <c:pt idx="170">
                  <c:v>44321</c:v>
                </c:pt>
                <c:pt idx="171">
                  <c:v>46643</c:v>
                </c:pt>
                <c:pt idx="172">
                  <c:v>16443</c:v>
                </c:pt>
                <c:pt idx="173">
                  <c:v>9269</c:v>
                </c:pt>
                <c:pt idx="174">
                  <c:v>22373</c:v>
                </c:pt>
                <c:pt idx="175">
                  <c:v>37876</c:v>
                </c:pt>
                <c:pt idx="176">
                  <c:v>40888</c:v>
                </c:pt>
                <c:pt idx="177">
                  <c:v>46625</c:v>
                </c:pt>
                <c:pt idx="178">
                  <c:v>49558</c:v>
                </c:pt>
                <c:pt idx="179">
                  <c:v>14154</c:v>
                </c:pt>
                <c:pt idx="180">
                  <c:v>39931</c:v>
                </c:pt>
                <c:pt idx="181">
                  <c:v>15045</c:v>
                </c:pt>
                <c:pt idx="182">
                  <c:v>40868</c:v>
                </c:pt>
                <c:pt idx="183">
                  <c:v>7705</c:v>
                </c:pt>
                <c:pt idx="184">
                  <c:v>43999</c:v>
                </c:pt>
                <c:pt idx="185">
                  <c:v>18001</c:v>
                </c:pt>
                <c:pt idx="186">
                  <c:v>24494</c:v>
                </c:pt>
                <c:pt idx="187">
                  <c:v>22996</c:v>
                </c:pt>
                <c:pt idx="188">
                  <c:v>39031</c:v>
                </c:pt>
                <c:pt idx="189">
                  <c:v>30987</c:v>
                </c:pt>
                <c:pt idx="190">
                  <c:v>11383</c:v>
                </c:pt>
                <c:pt idx="191">
                  <c:v>35801</c:v>
                </c:pt>
                <c:pt idx="192">
                  <c:v>20059</c:v>
                </c:pt>
                <c:pt idx="193">
                  <c:v>15969</c:v>
                </c:pt>
                <c:pt idx="194">
                  <c:v>39923</c:v>
                </c:pt>
                <c:pt idx="195">
                  <c:v>20733</c:v>
                </c:pt>
                <c:pt idx="196">
                  <c:v>14090</c:v>
                </c:pt>
                <c:pt idx="197">
                  <c:v>6832</c:v>
                </c:pt>
                <c:pt idx="198">
                  <c:v>7541</c:v>
                </c:pt>
                <c:pt idx="199">
                  <c:v>12174</c:v>
                </c:pt>
              </c:numCache>
            </c:numRef>
          </c:xVal>
          <c:yVal>
            <c:numRef>
              <c:f>'FollowerRetention&amp;Loyalty'!$CI$7:$CI$206</c:f>
              <c:numCache>
                <c:formatCode>General</c:formatCode>
                <c:ptCount val="200"/>
                <c:pt idx="0">
                  <c:v>309</c:v>
                </c:pt>
                <c:pt idx="1">
                  <c:v>-164</c:v>
                </c:pt>
                <c:pt idx="2">
                  <c:v>961</c:v>
                </c:pt>
                <c:pt idx="3">
                  <c:v>-318</c:v>
                </c:pt>
                <c:pt idx="4">
                  <c:v>-197</c:v>
                </c:pt>
                <c:pt idx="5">
                  <c:v>1334</c:v>
                </c:pt>
                <c:pt idx="6">
                  <c:v>1058</c:v>
                </c:pt>
                <c:pt idx="7">
                  <c:v>37</c:v>
                </c:pt>
                <c:pt idx="8">
                  <c:v>1045</c:v>
                </c:pt>
                <c:pt idx="9">
                  <c:v>1428</c:v>
                </c:pt>
                <c:pt idx="10">
                  <c:v>98</c:v>
                </c:pt>
                <c:pt idx="11">
                  <c:v>-19</c:v>
                </c:pt>
                <c:pt idx="12">
                  <c:v>-179</c:v>
                </c:pt>
                <c:pt idx="13">
                  <c:v>1662</c:v>
                </c:pt>
                <c:pt idx="14">
                  <c:v>285</c:v>
                </c:pt>
                <c:pt idx="15">
                  <c:v>439</c:v>
                </c:pt>
                <c:pt idx="16">
                  <c:v>386</c:v>
                </c:pt>
                <c:pt idx="17">
                  <c:v>540</c:v>
                </c:pt>
                <c:pt idx="18">
                  <c:v>-106</c:v>
                </c:pt>
                <c:pt idx="19">
                  <c:v>72</c:v>
                </c:pt>
                <c:pt idx="20">
                  <c:v>1332</c:v>
                </c:pt>
                <c:pt idx="21">
                  <c:v>1706</c:v>
                </c:pt>
                <c:pt idx="22">
                  <c:v>1373</c:v>
                </c:pt>
                <c:pt idx="23">
                  <c:v>1377</c:v>
                </c:pt>
                <c:pt idx="24">
                  <c:v>730</c:v>
                </c:pt>
                <c:pt idx="25">
                  <c:v>1776</c:v>
                </c:pt>
                <c:pt idx="26">
                  <c:v>620</c:v>
                </c:pt>
                <c:pt idx="27">
                  <c:v>298</c:v>
                </c:pt>
                <c:pt idx="28">
                  <c:v>427</c:v>
                </c:pt>
                <c:pt idx="29">
                  <c:v>898</c:v>
                </c:pt>
                <c:pt idx="30">
                  <c:v>748</c:v>
                </c:pt>
                <c:pt idx="31">
                  <c:v>912</c:v>
                </c:pt>
                <c:pt idx="32">
                  <c:v>1590</c:v>
                </c:pt>
                <c:pt idx="33">
                  <c:v>1707</c:v>
                </c:pt>
                <c:pt idx="34">
                  <c:v>-119</c:v>
                </c:pt>
                <c:pt idx="35">
                  <c:v>908</c:v>
                </c:pt>
                <c:pt idx="36">
                  <c:v>1116</c:v>
                </c:pt>
                <c:pt idx="37">
                  <c:v>474</c:v>
                </c:pt>
                <c:pt idx="38">
                  <c:v>514</c:v>
                </c:pt>
                <c:pt idx="39">
                  <c:v>1029</c:v>
                </c:pt>
                <c:pt idx="40">
                  <c:v>-175</c:v>
                </c:pt>
                <c:pt idx="41">
                  <c:v>1045</c:v>
                </c:pt>
                <c:pt idx="42">
                  <c:v>453</c:v>
                </c:pt>
                <c:pt idx="43">
                  <c:v>339</c:v>
                </c:pt>
                <c:pt idx="44">
                  <c:v>407</c:v>
                </c:pt>
                <c:pt idx="45">
                  <c:v>1047</c:v>
                </c:pt>
                <c:pt idx="46">
                  <c:v>517</c:v>
                </c:pt>
                <c:pt idx="47">
                  <c:v>893</c:v>
                </c:pt>
                <c:pt idx="48">
                  <c:v>629</c:v>
                </c:pt>
                <c:pt idx="49">
                  <c:v>-219</c:v>
                </c:pt>
                <c:pt idx="50">
                  <c:v>1672</c:v>
                </c:pt>
                <c:pt idx="51">
                  <c:v>1845</c:v>
                </c:pt>
                <c:pt idx="52">
                  <c:v>159</c:v>
                </c:pt>
                <c:pt idx="53">
                  <c:v>541</c:v>
                </c:pt>
                <c:pt idx="54">
                  <c:v>352</c:v>
                </c:pt>
                <c:pt idx="55">
                  <c:v>1325</c:v>
                </c:pt>
                <c:pt idx="56">
                  <c:v>76</c:v>
                </c:pt>
                <c:pt idx="57">
                  <c:v>1609</c:v>
                </c:pt>
                <c:pt idx="58">
                  <c:v>1247</c:v>
                </c:pt>
                <c:pt idx="59">
                  <c:v>1572</c:v>
                </c:pt>
                <c:pt idx="60">
                  <c:v>377</c:v>
                </c:pt>
                <c:pt idx="61">
                  <c:v>666</c:v>
                </c:pt>
                <c:pt idx="62">
                  <c:v>1025</c:v>
                </c:pt>
                <c:pt idx="63">
                  <c:v>1872</c:v>
                </c:pt>
                <c:pt idx="64">
                  <c:v>1224</c:v>
                </c:pt>
                <c:pt idx="65">
                  <c:v>262</c:v>
                </c:pt>
                <c:pt idx="66">
                  <c:v>576</c:v>
                </c:pt>
                <c:pt idx="67">
                  <c:v>1397</c:v>
                </c:pt>
                <c:pt idx="68">
                  <c:v>902</c:v>
                </c:pt>
                <c:pt idx="69">
                  <c:v>-49</c:v>
                </c:pt>
                <c:pt idx="70">
                  <c:v>1693</c:v>
                </c:pt>
                <c:pt idx="71">
                  <c:v>1625</c:v>
                </c:pt>
                <c:pt idx="72">
                  <c:v>1119</c:v>
                </c:pt>
                <c:pt idx="73">
                  <c:v>1432</c:v>
                </c:pt>
                <c:pt idx="74">
                  <c:v>684</c:v>
                </c:pt>
                <c:pt idx="75">
                  <c:v>1765</c:v>
                </c:pt>
                <c:pt idx="76">
                  <c:v>903</c:v>
                </c:pt>
                <c:pt idx="77">
                  <c:v>1722</c:v>
                </c:pt>
                <c:pt idx="78">
                  <c:v>1572</c:v>
                </c:pt>
                <c:pt idx="79">
                  <c:v>-166</c:v>
                </c:pt>
                <c:pt idx="80">
                  <c:v>1080</c:v>
                </c:pt>
                <c:pt idx="81">
                  <c:v>1723</c:v>
                </c:pt>
                <c:pt idx="82">
                  <c:v>965</c:v>
                </c:pt>
                <c:pt idx="83">
                  <c:v>1375</c:v>
                </c:pt>
                <c:pt idx="84">
                  <c:v>1315</c:v>
                </c:pt>
                <c:pt idx="85">
                  <c:v>212</c:v>
                </c:pt>
                <c:pt idx="86">
                  <c:v>680</c:v>
                </c:pt>
                <c:pt idx="87">
                  <c:v>461</c:v>
                </c:pt>
                <c:pt idx="88">
                  <c:v>641</c:v>
                </c:pt>
                <c:pt idx="89">
                  <c:v>167</c:v>
                </c:pt>
                <c:pt idx="90">
                  <c:v>-160</c:v>
                </c:pt>
                <c:pt idx="91">
                  <c:v>603</c:v>
                </c:pt>
                <c:pt idx="92">
                  <c:v>1539</c:v>
                </c:pt>
                <c:pt idx="93">
                  <c:v>1881</c:v>
                </c:pt>
                <c:pt idx="94">
                  <c:v>1656</c:v>
                </c:pt>
                <c:pt idx="95">
                  <c:v>415</c:v>
                </c:pt>
                <c:pt idx="96">
                  <c:v>186</c:v>
                </c:pt>
                <c:pt idx="97">
                  <c:v>1295</c:v>
                </c:pt>
                <c:pt idx="98">
                  <c:v>835</c:v>
                </c:pt>
                <c:pt idx="99">
                  <c:v>1357</c:v>
                </c:pt>
                <c:pt idx="100">
                  <c:v>547</c:v>
                </c:pt>
                <c:pt idx="101">
                  <c:v>429</c:v>
                </c:pt>
                <c:pt idx="102">
                  <c:v>1316</c:v>
                </c:pt>
                <c:pt idx="103">
                  <c:v>1495</c:v>
                </c:pt>
                <c:pt idx="104">
                  <c:v>328</c:v>
                </c:pt>
                <c:pt idx="105">
                  <c:v>37</c:v>
                </c:pt>
                <c:pt idx="106">
                  <c:v>1665</c:v>
                </c:pt>
                <c:pt idx="107">
                  <c:v>1229</c:v>
                </c:pt>
                <c:pt idx="108">
                  <c:v>197</c:v>
                </c:pt>
                <c:pt idx="109">
                  <c:v>260</c:v>
                </c:pt>
                <c:pt idx="110">
                  <c:v>1125</c:v>
                </c:pt>
                <c:pt idx="111">
                  <c:v>1680</c:v>
                </c:pt>
                <c:pt idx="112">
                  <c:v>599</c:v>
                </c:pt>
                <c:pt idx="113">
                  <c:v>107</c:v>
                </c:pt>
                <c:pt idx="114">
                  <c:v>-20</c:v>
                </c:pt>
                <c:pt idx="115">
                  <c:v>636</c:v>
                </c:pt>
                <c:pt idx="116">
                  <c:v>37</c:v>
                </c:pt>
                <c:pt idx="117">
                  <c:v>1603</c:v>
                </c:pt>
                <c:pt idx="118">
                  <c:v>1150</c:v>
                </c:pt>
                <c:pt idx="119">
                  <c:v>445</c:v>
                </c:pt>
                <c:pt idx="120">
                  <c:v>98</c:v>
                </c:pt>
                <c:pt idx="121">
                  <c:v>1173</c:v>
                </c:pt>
                <c:pt idx="122">
                  <c:v>1727</c:v>
                </c:pt>
                <c:pt idx="123">
                  <c:v>1359</c:v>
                </c:pt>
                <c:pt idx="124">
                  <c:v>911</c:v>
                </c:pt>
                <c:pt idx="125">
                  <c:v>1529</c:v>
                </c:pt>
                <c:pt idx="126">
                  <c:v>1188</c:v>
                </c:pt>
                <c:pt idx="127">
                  <c:v>-144</c:v>
                </c:pt>
                <c:pt idx="128">
                  <c:v>891</c:v>
                </c:pt>
                <c:pt idx="129">
                  <c:v>1426</c:v>
                </c:pt>
                <c:pt idx="130">
                  <c:v>569</c:v>
                </c:pt>
                <c:pt idx="131">
                  <c:v>1202</c:v>
                </c:pt>
                <c:pt idx="132">
                  <c:v>-37</c:v>
                </c:pt>
                <c:pt idx="133">
                  <c:v>708</c:v>
                </c:pt>
                <c:pt idx="134">
                  <c:v>899</c:v>
                </c:pt>
                <c:pt idx="135">
                  <c:v>1350</c:v>
                </c:pt>
                <c:pt idx="136">
                  <c:v>861</c:v>
                </c:pt>
                <c:pt idx="137">
                  <c:v>292</c:v>
                </c:pt>
                <c:pt idx="138">
                  <c:v>1676</c:v>
                </c:pt>
                <c:pt idx="139">
                  <c:v>1007</c:v>
                </c:pt>
                <c:pt idx="140">
                  <c:v>53</c:v>
                </c:pt>
                <c:pt idx="141">
                  <c:v>759</c:v>
                </c:pt>
                <c:pt idx="142">
                  <c:v>948</c:v>
                </c:pt>
                <c:pt idx="143">
                  <c:v>1510</c:v>
                </c:pt>
                <c:pt idx="144">
                  <c:v>269</c:v>
                </c:pt>
                <c:pt idx="145">
                  <c:v>1090</c:v>
                </c:pt>
                <c:pt idx="146">
                  <c:v>994</c:v>
                </c:pt>
                <c:pt idx="147">
                  <c:v>337</c:v>
                </c:pt>
                <c:pt idx="148">
                  <c:v>-123</c:v>
                </c:pt>
                <c:pt idx="149">
                  <c:v>91</c:v>
                </c:pt>
                <c:pt idx="150">
                  <c:v>514</c:v>
                </c:pt>
                <c:pt idx="151">
                  <c:v>160</c:v>
                </c:pt>
                <c:pt idx="152">
                  <c:v>317</c:v>
                </c:pt>
                <c:pt idx="153">
                  <c:v>475</c:v>
                </c:pt>
                <c:pt idx="154">
                  <c:v>319</c:v>
                </c:pt>
                <c:pt idx="155">
                  <c:v>1032</c:v>
                </c:pt>
                <c:pt idx="156">
                  <c:v>190</c:v>
                </c:pt>
                <c:pt idx="157">
                  <c:v>28</c:v>
                </c:pt>
                <c:pt idx="158">
                  <c:v>333</c:v>
                </c:pt>
                <c:pt idx="159">
                  <c:v>1100</c:v>
                </c:pt>
                <c:pt idx="160">
                  <c:v>-32</c:v>
                </c:pt>
                <c:pt idx="161">
                  <c:v>1006</c:v>
                </c:pt>
                <c:pt idx="162">
                  <c:v>1706</c:v>
                </c:pt>
                <c:pt idx="163">
                  <c:v>118</c:v>
                </c:pt>
                <c:pt idx="164">
                  <c:v>367</c:v>
                </c:pt>
                <c:pt idx="165">
                  <c:v>1484</c:v>
                </c:pt>
                <c:pt idx="166">
                  <c:v>1657</c:v>
                </c:pt>
                <c:pt idx="167">
                  <c:v>1044</c:v>
                </c:pt>
                <c:pt idx="168">
                  <c:v>349</c:v>
                </c:pt>
                <c:pt idx="169">
                  <c:v>60</c:v>
                </c:pt>
                <c:pt idx="170">
                  <c:v>885</c:v>
                </c:pt>
                <c:pt idx="171">
                  <c:v>291</c:v>
                </c:pt>
                <c:pt idx="172">
                  <c:v>573</c:v>
                </c:pt>
                <c:pt idx="173">
                  <c:v>876</c:v>
                </c:pt>
                <c:pt idx="174">
                  <c:v>1589</c:v>
                </c:pt>
                <c:pt idx="175">
                  <c:v>1460</c:v>
                </c:pt>
                <c:pt idx="176">
                  <c:v>846</c:v>
                </c:pt>
                <c:pt idx="177">
                  <c:v>901</c:v>
                </c:pt>
                <c:pt idx="178">
                  <c:v>724</c:v>
                </c:pt>
                <c:pt idx="179">
                  <c:v>1225</c:v>
                </c:pt>
                <c:pt idx="180">
                  <c:v>-203</c:v>
                </c:pt>
                <c:pt idx="181">
                  <c:v>1444</c:v>
                </c:pt>
                <c:pt idx="182">
                  <c:v>1175</c:v>
                </c:pt>
                <c:pt idx="183">
                  <c:v>1016</c:v>
                </c:pt>
                <c:pt idx="184">
                  <c:v>315</c:v>
                </c:pt>
                <c:pt idx="185">
                  <c:v>1242</c:v>
                </c:pt>
                <c:pt idx="186">
                  <c:v>1385</c:v>
                </c:pt>
                <c:pt idx="187">
                  <c:v>389</c:v>
                </c:pt>
                <c:pt idx="188">
                  <c:v>1467</c:v>
                </c:pt>
                <c:pt idx="189">
                  <c:v>209</c:v>
                </c:pt>
                <c:pt idx="190">
                  <c:v>145</c:v>
                </c:pt>
                <c:pt idx="191">
                  <c:v>1633</c:v>
                </c:pt>
                <c:pt idx="192">
                  <c:v>637</c:v>
                </c:pt>
                <c:pt idx="193">
                  <c:v>864</c:v>
                </c:pt>
                <c:pt idx="194">
                  <c:v>-337</c:v>
                </c:pt>
                <c:pt idx="195">
                  <c:v>0</c:v>
                </c:pt>
                <c:pt idx="196">
                  <c:v>0</c:v>
                </c:pt>
                <c:pt idx="197">
                  <c:v>0</c:v>
                </c:pt>
                <c:pt idx="198">
                  <c:v>0</c:v>
                </c:pt>
                <c:pt idx="199">
                  <c:v>0</c:v>
                </c:pt>
              </c:numCache>
            </c:numRef>
          </c:yVal>
          <c:smooth val="0"/>
          <c:extLst>
            <c:ext xmlns:c16="http://schemas.microsoft.com/office/drawing/2014/chart" uri="{C3380CC4-5D6E-409C-BE32-E72D297353CC}">
              <c16:uniqueId val="{00000001-B169-4CC5-AEE2-E1AEADFF225E}"/>
            </c:ext>
          </c:extLst>
        </c:ser>
        <c:dLbls>
          <c:showLegendKey val="0"/>
          <c:showVal val="0"/>
          <c:showCatName val="0"/>
          <c:showSerName val="0"/>
          <c:showPercent val="0"/>
          <c:showBubbleSize val="0"/>
        </c:dLbls>
        <c:axId val="3050864"/>
        <c:axId val="2072336687"/>
      </c:scatterChart>
      <c:valAx>
        <c:axId val="30508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336687"/>
        <c:crosses val="autoZero"/>
        <c:crossBetween val="midCat"/>
      </c:valAx>
      <c:valAx>
        <c:axId val="207233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8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114300</xdr:colOff>
      <xdr:row>24</xdr:row>
      <xdr:rowOff>146050</xdr:rowOff>
    </xdr:from>
    <xdr:to>
      <xdr:col>35</xdr:col>
      <xdr:colOff>228600</xdr:colOff>
      <xdr:row>39</xdr:row>
      <xdr:rowOff>31750</xdr:rowOff>
    </xdr:to>
    <xdr:graphicFrame macro="">
      <xdr:nvGraphicFramePr>
        <xdr:cNvPr id="2" name="Chart 1">
          <a:extLst>
            <a:ext uri="{FF2B5EF4-FFF2-40B4-BE49-F238E27FC236}">
              <a16:creationId xmlns:a16="http://schemas.microsoft.com/office/drawing/2014/main" id="{E2617F45-6211-4CA3-B133-FA683ED79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177800</xdr:colOff>
      <xdr:row>11</xdr:row>
      <xdr:rowOff>0</xdr:rowOff>
    </xdr:from>
    <xdr:to>
      <xdr:col>16</xdr:col>
      <xdr:colOff>152400</xdr:colOff>
      <xdr:row>23</xdr:row>
      <xdr:rowOff>142869</xdr:rowOff>
    </xdr:to>
    <mc:AlternateContent xmlns:mc="http://schemas.openxmlformats.org/markup-compatibility/2006">
      <mc:Choice xmlns:a14="http://schemas.microsoft.com/office/drawing/2010/main" Requires="a14">
        <xdr:graphicFrame macro="">
          <xdr:nvGraphicFramePr>
            <xdr:cNvPr id="3" name="Platform">
              <a:extLst>
                <a:ext uri="{FF2B5EF4-FFF2-40B4-BE49-F238E27FC236}">
                  <a16:creationId xmlns:a16="http://schemas.microsoft.com/office/drawing/2014/main" id="{43441428-428E-4A1F-A58C-C45B1BE5F55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3484225" y="2095500"/>
              <a:ext cx="159385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787400</xdr:colOff>
      <xdr:row>11</xdr:row>
      <xdr:rowOff>50800</xdr:rowOff>
    </xdr:from>
    <xdr:to>
      <xdr:col>18</xdr:col>
      <xdr:colOff>762000</xdr:colOff>
      <xdr:row>24</xdr:row>
      <xdr:rowOff>3169</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E3E80C22-F641-46D5-93B8-BEFBCA69CF6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5713075" y="2146300"/>
              <a:ext cx="159385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54</xdr:col>
      <xdr:colOff>152400</xdr:colOff>
      <xdr:row>19</xdr:row>
      <xdr:rowOff>95250</xdr:rowOff>
    </xdr:from>
    <xdr:to>
      <xdr:col>72</xdr:col>
      <xdr:colOff>50800</xdr:colOff>
      <xdr:row>33</xdr:row>
      <xdr:rowOff>171450</xdr:rowOff>
    </xdr:to>
    <xdr:graphicFrame macro="">
      <xdr:nvGraphicFramePr>
        <xdr:cNvPr id="5" name="Chart 4">
          <a:extLst>
            <a:ext uri="{FF2B5EF4-FFF2-40B4-BE49-F238E27FC236}">
              <a16:creationId xmlns:a16="http://schemas.microsoft.com/office/drawing/2014/main" id="{BF506730-6472-4756-AD60-E28385FB8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84</xdr:col>
      <xdr:colOff>50800</xdr:colOff>
      <xdr:row>18</xdr:row>
      <xdr:rowOff>57150</xdr:rowOff>
    </xdr:from>
    <xdr:to>
      <xdr:col>87</xdr:col>
      <xdr:colOff>596900</xdr:colOff>
      <xdr:row>39</xdr:row>
      <xdr:rowOff>88900</xdr:rowOff>
    </xdr:to>
    <xdr:graphicFrame macro="">
      <xdr:nvGraphicFramePr>
        <xdr:cNvPr id="6" name="Chart 5">
          <a:extLst>
            <a:ext uri="{FF2B5EF4-FFF2-40B4-BE49-F238E27FC236}">
              <a16:creationId xmlns:a16="http://schemas.microsoft.com/office/drawing/2014/main" id="{C722784B-4F6D-460C-BAA6-BF8325301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ndia\AppData\Local\Temp\9f718357-ceab-468c-bd61-2b1fe2d6d3b7_excel%20project-sanikabalaji07@gmail.com.zip.3b7\excel%20project\Social_Media_Analytics_Dataset.xlsx" TargetMode="External"/><Relationship Id="rId1" Type="http://schemas.openxmlformats.org/officeDocument/2006/relationships/externalLinkPath" Target="/Users/India/AppData/Local/Temp/9f718357-ceab-468c-bd61-2b1fe2d6d3b7_excel%20project-sanikabalaji07@gmail.com.zip.3b7/excel%20project/Social_Media_Analytic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mpaign Metadata(Task1)"/>
      <sheetName val="Engagement Summary(Task1)"/>
      <sheetName val="Posts(Task1)"/>
      <sheetName val="Task 2"/>
      <sheetName val="Task 3"/>
      <sheetName val="Task 5"/>
      <sheetName val="Task 6"/>
      <sheetName val="Insights"/>
      <sheetName val="Posts(raw)"/>
      <sheetName val="Engagement Summary(raw)"/>
      <sheetName val="Campaign Metadata(raw)"/>
    </sheetNames>
    <sheetDataSet>
      <sheetData sheetId="0"/>
      <sheetData sheetId="1">
        <row r="1">
          <cell r="K1" t="str">
            <v>Netgrowth</v>
          </cell>
        </row>
        <row r="2">
          <cell r="K2">
            <v>1002</v>
          </cell>
        </row>
        <row r="3">
          <cell r="K3">
            <v>1283</v>
          </cell>
        </row>
        <row r="4">
          <cell r="K4">
            <v>1382</v>
          </cell>
        </row>
        <row r="5">
          <cell r="K5">
            <v>1670</v>
          </cell>
        </row>
        <row r="6">
          <cell r="K6">
            <v>64</v>
          </cell>
        </row>
        <row r="7">
          <cell r="K7">
            <v>309</v>
          </cell>
        </row>
        <row r="8">
          <cell r="K8">
            <v>-164</v>
          </cell>
        </row>
        <row r="9">
          <cell r="K9">
            <v>961</v>
          </cell>
        </row>
        <row r="10">
          <cell r="K10">
            <v>-318</v>
          </cell>
        </row>
        <row r="11">
          <cell r="K11">
            <v>-197</v>
          </cell>
        </row>
        <row r="12">
          <cell r="K12">
            <v>1334</v>
          </cell>
        </row>
        <row r="13">
          <cell r="K13">
            <v>1058</v>
          </cell>
        </row>
        <row r="14">
          <cell r="K14">
            <v>37</v>
          </cell>
        </row>
        <row r="15">
          <cell r="K15">
            <v>1045</v>
          </cell>
        </row>
        <row r="16">
          <cell r="K16">
            <v>1428</v>
          </cell>
        </row>
        <row r="17">
          <cell r="K17">
            <v>98</v>
          </cell>
        </row>
        <row r="18">
          <cell r="K18">
            <v>-19</v>
          </cell>
        </row>
        <row r="19">
          <cell r="K19">
            <v>-179</v>
          </cell>
        </row>
        <row r="20">
          <cell r="K20">
            <v>1662</v>
          </cell>
        </row>
        <row r="21">
          <cell r="K21">
            <v>285</v>
          </cell>
        </row>
        <row r="22">
          <cell r="K22">
            <v>439</v>
          </cell>
        </row>
        <row r="23">
          <cell r="K23">
            <v>386</v>
          </cell>
        </row>
        <row r="24">
          <cell r="K24">
            <v>540</v>
          </cell>
        </row>
        <row r="25">
          <cell r="K25">
            <v>-106</v>
          </cell>
        </row>
        <row r="26">
          <cell r="K26">
            <v>72</v>
          </cell>
        </row>
        <row r="27">
          <cell r="K27">
            <v>1332</v>
          </cell>
        </row>
        <row r="28">
          <cell r="K28">
            <v>1706</v>
          </cell>
        </row>
        <row r="29">
          <cell r="K29">
            <v>1373</v>
          </cell>
        </row>
        <row r="30">
          <cell r="K30">
            <v>1377</v>
          </cell>
        </row>
        <row r="31">
          <cell r="K31">
            <v>730</v>
          </cell>
        </row>
        <row r="32">
          <cell r="K32">
            <v>1776</v>
          </cell>
        </row>
        <row r="33">
          <cell r="K33">
            <v>620</v>
          </cell>
        </row>
        <row r="34">
          <cell r="K34">
            <v>298</v>
          </cell>
        </row>
        <row r="35">
          <cell r="K35">
            <v>427</v>
          </cell>
        </row>
        <row r="36">
          <cell r="K36">
            <v>898</v>
          </cell>
        </row>
        <row r="37">
          <cell r="K37">
            <v>748</v>
          </cell>
        </row>
        <row r="38">
          <cell r="K38">
            <v>912</v>
          </cell>
        </row>
        <row r="39">
          <cell r="K39">
            <v>1590</v>
          </cell>
        </row>
        <row r="40">
          <cell r="K40">
            <v>1707</v>
          </cell>
        </row>
        <row r="41">
          <cell r="K41">
            <v>-119</v>
          </cell>
        </row>
        <row r="42">
          <cell r="K42">
            <v>908</v>
          </cell>
        </row>
        <row r="43">
          <cell r="K43">
            <v>1116</v>
          </cell>
        </row>
        <row r="44">
          <cell r="K44">
            <v>474</v>
          </cell>
        </row>
        <row r="45">
          <cell r="K45">
            <v>514</v>
          </cell>
        </row>
        <row r="46">
          <cell r="K46">
            <v>1029</v>
          </cell>
        </row>
        <row r="47">
          <cell r="K47">
            <v>-175</v>
          </cell>
        </row>
        <row r="48">
          <cell r="K48">
            <v>1045</v>
          </cell>
        </row>
        <row r="49">
          <cell r="K49">
            <v>453</v>
          </cell>
        </row>
        <row r="50">
          <cell r="K50">
            <v>339</v>
          </cell>
        </row>
        <row r="51">
          <cell r="K51">
            <v>407</v>
          </cell>
        </row>
        <row r="52">
          <cell r="K52">
            <v>1047</v>
          </cell>
        </row>
        <row r="53">
          <cell r="K53">
            <v>517</v>
          </cell>
        </row>
        <row r="54">
          <cell r="K54">
            <v>893</v>
          </cell>
        </row>
        <row r="55">
          <cell r="K55">
            <v>629</v>
          </cell>
        </row>
        <row r="56">
          <cell r="K56">
            <v>-219</v>
          </cell>
        </row>
        <row r="57">
          <cell r="K57">
            <v>1672</v>
          </cell>
        </row>
        <row r="58">
          <cell r="K58">
            <v>1845</v>
          </cell>
        </row>
        <row r="59">
          <cell r="K59">
            <v>159</v>
          </cell>
        </row>
        <row r="60">
          <cell r="K60">
            <v>541</v>
          </cell>
        </row>
        <row r="61">
          <cell r="K61">
            <v>352</v>
          </cell>
        </row>
        <row r="62">
          <cell r="K62">
            <v>1325</v>
          </cell>
        </row>
        <row r="63">
          <cell r="K63">
            <v>76</v>
          </cell>
        </row>
        <row r="64">
          <cell r="K64">
            <v>1609</v>
          </cell>
        </row>
        <row r="65">
          <cell r="K65">
            <v>1247</v>
          </cell>
        </row>
        <row r="66">
          <cell r="K66">
            <v>1572</v>
          </cell>
        </row>
        <row r="67">
          <cell r="K67">
            <v>377</v>
          </cell>
        </row>
        <row r="68">
          <cell r="K68">
            <v>666</v>
          </cell>
        </row>
        <row r="69">
          <cell r="K69">
            <v>1025</v>
          </cell>
        </row>
        <row r="70">
          <cell r="K70">
            <v>1872</v>
          </cell>
        </row>
        <row r="71">
          <cell r="K71">
            <v>1224</v>
          </cell>
        </row>
        <row r="72">
          <cell r="K72">
            <v>262</v>
          </cell>
        </row>
        <row r="73">
          <cell r="K73">
            <v>576</v>
          </cell>
        </row>
        <row r="74">
          <cell r="K74">
            <v>1397</v>
          </cell>
        </row>
        <row r="75">
          <cell r="K75">
            <v>902</v>
          </cell>
        </row>
        <row r="76">
          <cell r="K76">
            <v>-49</v>
          </cell>
        </row>
        <row r="77">
          <cell r="K77">
            <v>1693</v>
          </cell>
        </row>
        <row r="78">
          <cell r="K78">
            <v>1625</v>
          </cell>
        </row>
        <row r="79">
          <cell r="K79">
            <v>1119</v>
          </cell>
        </row>
        <row r="80">
          <cell r="K80">
            <v>1432</v>
          </cell>
        </row>
        <row r="81">
          <cell r="K81">
            <v>684</v>
          </cell>
        </row>
        <row r="82">
          <cell r="K82">
            <v>1765</v>
          </cell>
        </row>
        <row r="83">
          <cell r="K83">
            <v>903</v>
          </cell>
        </row>
        <row r="84">
          <cell r="K84">
            <v>1722</v>
          </cell>
        </row>
        <row r="85">
          <cell r="K85">
            <v>1572</v>
          </cell>
        </row>
        <row r="86">
          <cell r="K86">
            <v>-166</v>
          </cell>
        </row>
        <row r="87">
          <cell r="K87">
            <v>1080</v>
          </cell>
        </row>
        <row r="88">
          <cell r="K88">
            <v>1723</v>
          </cell>
        </row>
        <row r="89">
          <cell r="K89">
            <v>965</v>
          </cell>
        </row>
        <row r="90">
          <cell r="K90">
            <v>1375</v>
          </cell>
        </row>
        <row r="91">
          <cell r="K91">
            <v>1315</v>
          </cell>
        </row>
        <row r="92">
          <cell r="K92">
            <v>212</v>
          </cell>
        </row>
        <row r="93">
          <cell r="K93">
            <v>680</v>
          </cell>
        </row>
        <row r="94">
          <cell r="K94">
            <v>461</v>
          </cell>
        </row>
        <row r="95">
          <cell r="K95">
            <v>641</v>
          </cell>
        </row>
        <row r="96">
          <cell r="K96">
            <v>167</v>
          </cell>
        </row>
        <row r="97">
          <cell r="K97">
            <v>-160</v>
          </cell>
        </row>
        <row r="98">
          <cell r="K98">
            <v>603</v>
          </cell>
        </row>
        <row r="99">
          <cell r="K99">
            <v>1539</v>
          </cell>
        </row>
        <row r="100">
          <cell r="K100">
            <v>1881</v>
          </cell>
        </row>
        <row r="101">
          <cell r="K101">
            <v>1656</v>
          </cell>
        </row>
        <row r="102">
          <cell r="K102">
            <v>415</v>
          </cell>
        </row>
        <row r="103">
          <cell r="K103">
            <v>186</v>
          </cell>
        </row>
        <row r="104">
          <cell r="K104">
            <v>1295</v>
          </cell>
        </row>
        <row r="105">
          <cell r="K105">
            <v>835</v>
          </cell>
        </row>
        <row r="106">
          <cell r="K106">
            <v>1357</v>
          </cell>
        </row>
        <row r="107">
          <cell r="K107">
            <v>547</v>
          </cell>
        </row>
        <row r="108">
          <cell r="K108">
            <v>429</v>
          </cell>
        </row>
        <row r="109">
          <cell r="K109">
            <v>1316</v>
          </cell>
        </row>
        <row r="110">
          <cell r="K110">
            <v>1495</v>
          </cell>
        </row>
        <row r="111">
          <cell r="K111">
            <v>328</v>
          </cell>
        </row>
        <row r="112">
          <cell r="K112">
            <v>37</v>
          </cell>
        </row>
        <row r="113">
          <cell r="K113">
            <v>1665</v>
          </cell>
        </row>
        <row r="114">
          <cell r="K114">
            <v>1229</v>
          </cell>
        </row>
        <row r="115">
          <cell r="K115">
            <v>197</v>
          </cell>
        </row>
        <row r="116">
          <cell r="K116">
            <v>260</v>
          </cell>
        </row>
        <row r="117">
          <cell r="K117">
            <v>1125</v>
          </cell>
        </row>
        <row r="118">
          <cell r="K118">
            <v>1680</v>
          </cell>
        </row>
        <row r="119">
          <cell r="K119">
            <v>599</v>
          </cell>
        </row>
        <row r="120">
          <cell r="K120">
            <v>107</v>
          </cell>
        </row>
        <row r="121">
          <cell r="K121">
            <v>-20</v>
          </cell>
        </row>
        <row r="122">
          <cell r="K122">
            <v>636</v>
          </cell>
        </row>
        <row r="123">
          <cell r="K123">
            <v>37</v>
          </cell>
        </row>
        <row r="124">
          <cell r="K124">
            <v>1603</v>
          </cell>
        </row>
        <row r="125">
          <cell r="K125">
            <v>1150</v>
          </cell>
        </row>
        <row r="126">
          <cell r="K126">
            <v>445</v>
          </cell>
        </row>
        <row r="127">
          <cell r="K127">
            <v>98</v>
          </cell>
        </row>
        <row r="128">
          <cell r="K128">
            <v>1173</v>
          </cell>
        </row>
        <row r="129">
          <cell r="K129">
            <v>1727</v>
          </cell>
        </row>
        <row r="130">
          <cell r="K130">
            <v>1359</v>
          </cell>
        </row>
        <row r="131">
          <cell r="K131">
            <v>911</v>
          </cell>
        </row>
        <row r="132">
          <cell r="K132">
            <v>1529</v>
          </cell>
        </row>
        <row r="133">
          <cell r="K133">
            <v>1188</v>
          </cell>
        </row>
        <row r="134">
          <cell r="K134">
            <v>-144</v>
          </cell>
        </row>
        <row r="135">
          <cell r="K135">
            <v>891</v>
          </cell>
        </row>
        <row r="136">
          <cell r="K136">
            <v>1426</v>
          </cell>
        </row>
        <row r="137">
          <cell r="K137">
            <v>569</v>
          </cell>
        </row>
        <row r="138">
          <cell r="K138">
            <v>1202</v>
          </cell>
        </row>
        <row r="139">
          <cell r="K139">
            <v>-37</v>
          </cell>
        </row>
        <row r="140">
          <cell r="K140">
            <v>708</v>
          </cell>
        </row>
        <row r="141">
          <cell r="K141">
            <v>899</v>
          </cell>
        </row>
        <row r="142">
          <cell r="K142">
            <v>1350</v>
          </cell>
        </row>
        <row r="143">
          <cell r="K143">
            <v>861</v>
          </cell>
        </row>
        <row r="144">
          <cell r="K144">
            <v>292</v>
          </cell>
        </row>
        <row r="145">
          <cell r="K145">
            <v>1676</v>
          </cell>
        </row>
        <row r="146">
          <cell r="K146">
            <v>1007</v>
          </cell>
        </row>
        <row r="147">
          <cell r="K147">
            <v>53</v>
          </cell>
        </row>
        <row r="148">
          <cell r="K148">
            <v>759</v>
          </cell>
        </row>
        <row r="149">
          <cell r="K149">
            <v>948</v>
          </cell>
        </row>
        <row r="150">
          <cell r="K150">
            <v>1510</v>
          </cell>
        </row>
        <row r="151">
          <cell r="K151">
            <v>269</v>
          </cell>
        </row>
        <row r="152">
          <cell r="K152">
            <v>1090</v>
          </cell>
        </row>
        <row r="153">
          <cell r="K153">
            <v>994</v>
          </cell>
        </row>
        <row r="154">
          <cell r="K154">
            <v>337</v>
          </cell>
        </row>
        <row r="155">
          <cell r="K155">
            <v>-123</v>
          </cell>
        </row>
        <row r="156">
          <cell r="K156">
            <v>91</v>
          </cell>
        </row>
        <row r="157">
          <cell r="K157">
            <v>514</v>
          </cell>
        </row>
        <row r="158">
          <cell r="K158">
            <v>160</v>
          </cell>
        </row>
        <row r="159">
          <cell r="K159">
            <v>317</v>
          </cell>
        </row>
        <row r="160">
          <cell r="K160">
            <v>475</v>
          </cell>
        </row>
        <row r="161">
          <cell r="K161">
            <v>319</v>
          </cell>
        </row>
        <row r="162">
          <cell r="K162">
            <v>1032</v>
          </cell>
        </row>
        <row r="163">
          <cell r="K163">
            <v>190</v>
          </cell>
        </row>
        <row r="164">
          <cell r="K164">
            <v>28</v>
          </cell>
        </row>
        <row r="165">
          <cell r="K165">
            <v>333</v>
          </cell>
        </row>
        <row r="166">
          <cell r="K166">
            <v>1100</v>
          </cell>
        </row>
        <row r="167">
          <cell r="K167">
            <v>-32</v>
          </cell>
        </row>
        <row r="168">
          <cell r="K168">
            <v>1006</v>
          </cell>
        </row>
        <row r="169">
          <cell r="K169">
            <v>1706</v>
          </cell>
        </row>
        <row r="170">
          <cell r="K170">
            <v>118</v>
          </cell>
        </row>
        <row r="171">
          <cell r="K171">
            <v>367</v>
          </cell>
        </row>
        <row r="172">
          <cell r="K172">
            <v>1484</v>
          </cell>
        </row>
        <row r="173">
          <cell r="K173">
            <v>1657</v>
          </cell>
        </row>
        <row r="174">
          <cell r="K174">
            <v>1044</v>
          </cell>
        </row>
        <row r="175">
          <cell r="K175">
            <v>349</v>
          </cell>
        </row>
        <row r="176">
          <cell r="K176">
            <v>60</v>
          </cell>
        </row>
        <row r="177">
          <cell r="K177">
            <v>885</v>
          </cell>
        </row>
        <row r="178">
          <cell r="K178">
            <v>291</v>
          </cell>
        </row>
        <row r="179">
          <cell r="K179">
            <v>573</v>
          </cell>
        </row>
        <row r="180">
          <cell r="K180">
            <v>876</v>
          </cell>
        </row>
        <row r="181">
          <cell r="K181">
            <v>1589</v>
          </cell>
        </row>
        <row r="182">
          <cell r="K182">
            <v>1460</v>
          </cell>
        </row>
        <row r="183">
          <cell r="K183">
            <v>846</v>
          </cell>
        </row>
        <row r="184">
          <cell r="K184">
            <v>901</v>
          </cell>
        </row>
        <row r="185">
          <cell r="K185">
            <v>724</v>
          </cell>
        </row>
        <row r="186">
          <cell r="K186">
            <v>1225</v>
          </cell>
        </row>
        <row r="187">
          <cell r="K187">
            <v>-203</v>
          </cell>
        </row>
        <row r="188">
          <cell r="K188">
            <v>1444</v>
          </cell>
        </row>
        <row r="189">
          <cell r="K189">
            <v>1175</v>
          </cell>
        </row>
        <row r="190">
          <cell r="K190">
            <v>1016</v>
          </cell>
        </row>
        <row r="191">
          <cell r="K191">
            <v>315</v>
          </cell>
        </row>
        <row r="192">
          <cell r="K192">
            <v>1242</v>
          </cell>
        </row>
        <row r="193">
          <cell r="K193">
            <v>1385</v>
          </cell>
        </row>
        <row r="194">
          <cell r="K194">
            <v>389</v>
          </cell>
        </row>
        <row r="195">
          <cell r="K195">
            <v>1467</v>
          </cell>
        </row>
        <row r="196">
          <cell r="K196">
            <v>209</v>
          </cell>
        </row>
        <row r="197">
          <cell r="K197">
            <v>145</v>
          </cell>
        </row>
        <row r="198">
          <cell r="K198">
            <v>1633</v>
          </cell>
        </row>
        <row r="199">
          <cell r="K199">
            <v>637</v>
          </cell>
        </row>
        <row r="200">
          <cell r="K200">
            <v>864</v>
          </cell>
        </row>
        <row r="201">
          <cell r="K201">
            <v>-337</v>
          </cell>
        </row>
      </sheetData>
      <sheetData sheetId="2"/>
      <sheetData sheetId="3"/>
      <sheetData sheetId="4"/>
      <sheetData sheetId="5"/>
      <sheetData sheetId="6">
        <row r="6">
          <cell r="CI6" t="str">
            <v>Netgrowth</v>
          </cell>
        </row>
        <row r="7">
          <cell r="CH7">
            <v>9566</v>
          </cell>
          <cell r="CI7">
            <v>309</v>
          </cell>
        </row>
        <row r="8">
          <cell r="CH8">
            <v>7924</v>
          </cell>
          <cell r="CI8">
            <v>-164</v>
          </cell>
        </row>
        <row r="9">
          <cell r="CH9">
            <v>46670</v>
          </cell>
          <cell r="CI9">
            <v>961</v>
          </cell>
        </row>
        <row r="10">
          <cell r="CH10">
            <v>30635</v>
          </cell>
          <cell r="CI10">
            <v>-318</v>
          </cell>
        </row>
        <row r="11">
          <cell r="CH11">
            <v>42307</v>
          </cell>
          <cell r="CI11">
            <v>-197</v>
          </cell>
        </row>
        <row r="12">
          <cell r="CH12">
            <v>38610</v>
          </cell>
          <cell r="CI12">
            <v>1334</v>
          </cell>
        </row>
        <row r="13">
          <cell r="CH13">
            <v>43420</v>
          </cell>
          <cell r="CI13">
            <v>1058</v>
          </cell>
        </row>
        <row r="14">
          <cell r="CH14">
            <v>26067</v>
          </cell>
          <cell r="CI14">
            <v>37</v>
          </cell>
        </row>
        <row r="15">
          <cell r="CH15">
            <v>4839</v>
          </cell>
          <cell r="CI15">
            <v>1045</v>
          </cell>
        </row>
        <row r="16">
          <cell r="CH16">
            <v>26455</v>
          </cell>
          <cell r="CI16">
            <v>1428</v>
          </cell>
        </row>
        <row r="17">
          <cell r="CH17">
            <v>37903</v>
          </cell>
          <cell r="CI17">
            <v>98</v>
          </cell>
        </row>
        <row r="18">
          <cell r="CH18">
            <v>14203</v>
          </cell>
          <cell r="CI18">
            <v>-19</v>
          </cell>
        </row>
        <row r="19">
          <cell r="CH19">
            <v>26925</v>
          </cell>
          <cell r="CI19">
            <v>-179</v>
          </cell>
        </row>
        <row r="20">
          <cell r="CH20">
            <v>24384</v>
          </cell>
          <cell r="CI20">
            <v>1662</v>
          </cell>
        </row>
        <row r="21">
          <cell r="CH21">
            <v>40478</v>
          </cell>
          <cell r="CI21">
            <v>285</v>
          </cell>
        </row>
        <row r="22">
          <cell r="CH22">
            <v>47462</v>
          </cell>
          <cell r="CI22">
            <v>439</v>
          </cell>
        </row>
        <row r="23">
          <cell r="CH23">
            <v>11901</v>
          </cell>
          <cell r="CI23">
            <v>386</v>
          </cell>
        </row>
        <row r="24">
          <cell r="CH24">
            <v>2315</v>
          </cell>
          <cell r="CI24">
            <v>540</v>
          </cell>
        </row>
        <row r="25">
          <cell r="CH25">
            <v>43836</v>
          </cell>
          <cell r="CI25">
            <v>-106</v>
          </cell>
        </row>
        <row r="26">
          <cell r="CH26">
            <v>7285</v>
          </cell>
          <cell r="CI26">
            <v>72</v>
          </cell>
        </row>
        <row r="27">
          <cell r="CH27">
            <v>42824</v>
          </cell>
          <cell r="CI27">
            <v>1332</v>
          </cell>
        </row>
        <row r="28">
          <cell r="CH28">
            <v>30214</v>
          </cell>
          <cell r="CI28">
            <v>1706</v>
          </cell>
        </row>
        <row r="29">
          <cell r="CH29">
            <v>4996</v>
          </cell>
          <cell r="CI29">
            <v>1373</v>
          </cell>
        </row>
        <row r="30">
          <cell r="CH30">
            <v>38452</v>
          </cell>
          <cell r="CI30">
            <v>1377</v>
          </cell>
        </row>
        <row r="31">
          <cell r="CH31">
            <v>39997</v>
          </cell>
          <cell r="CI31">
            <v>730</v>
          </cell>
        </row>
        <row r="32">
          <cell r="CH32">
            <v>28498</v>
          </cell>
          <cell r="CI32">
            <v>1776</v>
          </cell>
        </row>
        <row r="33">
          <cell r="CH33">
            <v>26103</v>
          </cell>
          <cell r="CI33">
            <v>620</v>
          </cell>
        </row>
        <row r="34">
          <cell r="CH34">
            <v>18601</v>
          </cell>
          <cell r="CI34">
            <v>298</v>
          </cell>
        </row>
        <row r="35">
          <cell r="CH35">
            <v>18656</v>
          </cell>
          <cell r="CI35">
            <v>427</v>
          </cell>
        </row>
        <row r="36">
          <cell r="CH36">
            <v>47502</v>
          </cell>
          <cell r="CI36">
            <v>898</v>
          </cell>
        </row>
        <row r="37">
          <cell r="CH37">
            <v>25140</v>
          </cell>
          <cell r="CI37">
            <v>748</v>
          </cell>
        </row>
        <row r="38">
          <cell r="CH38">
            <v>17951</v>
          </cell>
          <cell r="CI38">
            <v>912</v>
          </cell>
        </row>
        <row r="39">
          <cell r="CH39">
            <v>45708</v>
          </cell>
          <cell r="CI39">
            <v>1590</v>
          </cell>
        </row>
        <row r="40">
          <cell r="CH40">
            <v>23853</v>
          </cell>
          <cell r="CI40">
            <v>1707</v>
          </cell>
        </row>
        <row r="41">
          <cell r="CH41">
            <v>20560</v>
          </cell>
          <cell r="CI41">
            <v>-119</v>
          </cell>
        </row>
        <row r="42">
          <cell r="CH42">
            <v>40323</v>
          </cell>
          <cell r="CI42">
            <v>908</v>
          </cell>
        </row>
        <row r="43">
          <cell r="CH43">
            <v>23489</v>
          </cell>
          <cell r="CI43">
            <v>1116</v>
          </cell>
        </row>
        <row r="44">
          <cell r="CH44">
            <v>31853</v>
          </cell>
          <cell r="CI44">
            <v>474</v>
          </cell>
        </row>
        <row r="45">
          <cell r="CH45">
            <v>22713</v>
          </cell>
          <cell r="CI45">
            <v>514</v>
          </cell>
        </row>
        <row r="46">
          <cell r="CH46">
            <v>20553</v>
          </cell>
          <cell r="CI46">
            <v>1029</v>
          </cell>
        </row>
        <row r="47">
          <cell r="CH47">
            <v>21539</v>
          </cell>
          <cell r="CI47">
            <v>-175</v>
          </cell>
        </row>
        <row r="48">
          <cell r="CH48">
            <v>29116</v>
          </cell>
          <cell r="CI48">
            <v>1045</v>
          </cell>
        </row>
        <row r="49">
          <cell r="CH49">
            <v>21453</v>
          </cell>
          <cell r="CI49">
            <v>453</v>
          </cell>
        </row>
        <row r="50">
          <cell r="CH50">
            <v>23461</v>
          </cell>
          <cell r="CI50">
            <v>339</v>
          </cell>
        </row>
        <row r="51">
          <cell r="CH51">
            <v>47603</v>
          </cell>
          <cell r="CI51">
            <v>407</v>
          </cell>
        </row>
        <row r="52">
          <cell r="CH52">
            <v>25920</v>
          </cell>
          <cell r="CI52">
            <v>1047</v>
          </cell>
        </row>
        <row r="53">
          <cell r="CH53">
            <v>7875</v>
          </cell>
          <cell r="CI53">
            <v>517</v>
          </cell>
        </row>
        <row r="54">
          <cell r="CH54">
            <v>3582</v>
          </cell>
          <cell r="CI54">
            <v>893</v>
          </cell>
        </row>
        <row r="55">
          <cell r="CH55">
            <v>48419</v>
          </cell>
          <cell r="CI55">
            <v>629</v>
          </cell>
        </row>
        <row r="56">
          <cell r="CH56">
            <v>49400</v>
          </cell>
          <cell r="CI56">
            <v>-219</v>
          </cell>
        </row>
        <row r="57">
          <cell r="CH57">
            <v>5904</v>
          </cell>
          <cell r="CI57">
            <v>1672</v>
          </cell>
        </row>
        <row r="58">
          <cell r="CH58">
            <v>9920</v>
          </cell>
          <cell r="CI58">
            <v>1845</v>
          </cell>
        </row>
        <row r="59">
          <cell r="CH59">
            <v>11329</v>
          </cell>
          <cell r="CI59">
            <v>159</v>
          </cell>
        </row>
        <row r="60">
          <cell r="CH60">
            <v>18050</v>
          </cell>
          <cell r="CI60">
            <v>541</v>
          </cell>
        </row>
        <row r="61">
          <cell r="CH61">
            <v>9566</v>
          </cell>
          <cell r="CI61">
            <v>352</v>
          </cell>
        </row>
        <row r="62">
          <cell r="CH62">
            <v>22728</v>
          </cell>
          <cell r="CI62">
            <v>1325</v>
          </cell>
        </row>
        <row r="63">
          <cell r="CH63">
            <v>10740</v>
          </cell>
          <cell r="CI63">
            <v>76</v>
          </cell>
        </row>
        <row r="64">
          <cell r="CH64">
            <v>17328</v>
          </cell>
          <cell r="CI64">
            <v>1609</v>
          </cell>
        </row>
        <row r="65">
          <cell r="CH65">
            <v>15353</v>
          </cell>
          <cell r="CI65">
            <v>1247</v>
          </cell>
        </row>
        <row r="66">
          <cell r="CH66">
            <v>49303</v>
          </cell>
          <cell r="CI66">
            <v>1572</v>
          </cell>
        </row>
        <row r="67">
          <cell r="CH67">
            <v>47101</v>
          </cell>
          <cell r="CI67">
            <v>377</v>
          </cell>
        </row>
        <row r="68">
          <cell r="CH68">
            <v>35501</v>
          </cell>
          <cell r="CI68">
            <v>666</v>
          </cell>
        </row>
        <row r="69">
          <cell r="CH69">
            <v>24913</v>
          </cell>
          <cell r="CI69">
            <v>1025</v>
          </cell>
        </row>
        <row r="70">
          <cell r="CH70">
            <v>37829</v>
          </cell>
          <cell r="CI70">
            <v>1872</v>
          </cell>
        </row>
        <row r="71">
          <cell r="CH71">
            <v>26663</v>
          </cell>
          <cell r="CI71">
            <v>1224</v>
          </cell>
        </row>
        <row r="72">
          <cell r="CH72">
            <v>21939</v>
          </cell>
          <cell r="CI72">
            <v>262</v>
          </cell>
        </row>
        <row r="73">
          <cell r="CH73">
            <v>1083</v>
          </cell>
          <cell r="CI73">
            <v>576</v>
          </cell>
        </row>
        <row r="74">
          <cell r="CH74">
            <v>30575</v>
          </cell>
          <cell r="CI74">
            <v>1397</v>
          </cell>
        </row>
        <row r="75">
          <cell r="CH75">
            <v>41215</v>
          </cell>
          <cell r="CI75">
            <v>902</v>
          </cell>
        </row>
        <row r="76">
          <cell r="CH76">
            <v>36397</v>
          </cell>
          <cell r="CI76">
            <v>-49</v>
          </cell>
        </row>
        <row r="77">
          <cell r="CH77">
            <v>32478</v>
          </cell>
          <cell r="CI77">
            <v>1693</v>
          </cell>
        </row>
        <row r="78">
          <cell r="CH78">
            <v>13116</v>
          </cell>
          <cell r="CI78">
            <v>1625</v>
          </cell>
        </row>
        <row r="79">
          <cell r="CH79">
            <v>36484</v>
          </cell>
          <cell r="CI79">
            <v>1119</v>
          </cell>
        </row>
        <row r="80">
          <cell r="CH80">
            <v>47812</v>
          </cell>
          <cell r="CI80">
            <v>1432</v>
          </cell>
        </row>
        <row r="81">
          <cell r="CH81">
            <v>29533</v>
          </cell>
          <cell r="CI81">
            <v>684</v>
          </cell>
        </row>
        <row r="82">
          <cell r="CH82">
            <v>1810</v>
          </cell>
          <cell r="CI82">
            <v>1765</v>
          </cell>
        </row>
        <row r="83">
          <cell r="CH83">
            <v>36103</v>
          </cell>
          <cell r="CI83">
            <v>903</v>
          </cell>
        </row>
        <row r="84">
          <cell r="CH84">
            <v>22724</v>
          </cell>
          <cell r="CI84">
            <v>1722</v>
          </cell>
        </row>
        <row r="85">
          <cell r="CH85">
            <v>20692</v>
          </cell>
          <cell r="CI85">
            <v>1572</v>
          </cell>
        </row>
        <row r="86">
          <cell r="CH86">
            <v>4683</v>
          </cell>
          <cell r="CI86">
            <v>-166</v>
          </cell>
        </row>
        <row r="87">
          <cell r="CH87">
            <v>4313</v>
          </cell>
          <cell r="CI87">
            <v>1080</v>
          </cell>
        </row>
        <row r="88">
          <cell r="CH88">
            <v>37132</v>
          </cell>
          <cell r="CI88">
            <v>1723</v>
          </cell>
        </row>
        <row r="89">
          <cell r="CH89">
            <v>14548</v>
          </cell>
          <cell r="CI89">
            <v>965</v>
          </cell>
        </row>
        <row r="90">
          <cell r="CH90">
            <v>43122</v>
          </cell>
          <cell r="CI90">
            <v>1375</v>
          </cell>
        </row>
        <row r="91">
          <cell r="CH91">
            <v>25525</v>
          </cell>
          <cell r="CI91">
            <v>1315</v>
          </cell>
        </row>
        <row r="92">
          <cell r="CH92">
            <v>10825</v>
          </cell>
          <cell r="CI92">
            <v>212</v>
          </cell>
        </row>
        <row r="93">
          <cell r="CH93">
            <v>3314</v>
          </cell>
          <cell r="CI93">
            <v>680</v>
          </cell>
        </row>
        <row r="94">
          <cell r="CH94">
            <v>44097</v>
          </cell>
          <cell r="CI94">
            <v>461</v>
          </cell>
        </row>
        <row r="95">
          <cell r="CH95">
            <v>49772</v>
          </cell>
          <cell r="CI95">
            <v>641</v>
          </cell>
        </row>
        <row r="96">
          <cell r="CH96">
            <v>33799</v>
          </cell>
          <cell r="CI96">
            <v>167</v>
          </cell>
        </row>
        <row r="97">
          <cell r="CH97">
            <v>6296</v>
          </cell>
          <cell r="CI97">
            <v>-160</v>
          </cell>
        </row>
        <row r="98">
          <cell r="CH98">
            <v>9480</v>
          </cell>
          <cell r="CI98">
            <v>603</v>
          </cell>
        </row>
        <row r="99">
          <cell r="CH99">
            <v>49077</v>
          </cell>
          <cell r="CI99">
            <v>1539</v>
          </cell>
        </row>
        <row r="100">
          <cell r="CH100">
            <v>23140</v>
          </cell>
          <cell r="CI100">
            <v>1881</v>
          </cell>
        </row>
        <row r="101">
          <cell r="CH101">
            <v>2436</v>
          </cell>
          <cell r="CI101">
            <v>1656</v>
          </cell>
        </row>
        <row r="102">
          <cell r="CH102">
            <v>2293</v>
          </cell>
          <cell r="CI102">
            <v>415</v>
          </cell>
        </row>
        <row r="103">
          <cell r="CH103">
            <v>18693</v>
          </cell>
          <cell r="CI103">
            <v>186</v>
          </cell>
        </row>
        <row r="104">
          <cell r="CH104">
            <v>14216</v>
          </cell>
          <cell r="CI104">
            <v>1295</v>
          </cell>
        </row>
        <row r="105">
          <cell r="CH105">
            <v>33381</v>
          </cell>
          <cell r="CI105">
            <v>835</v>
          </cell>
        </row>
        <row r="106">
          <cell r="CH106">
            <v>20042</v>
          </cell>
          <cell r="CI106">
            <v>1357</v>
          </cell>
        </row>
        <row r="107">
          <cell r="CH107">
            <v>26752</v>
          </cell>
          <cell r="CI107">
            <v>547</v>
          </cell>
        </row>
        <row r="108">
          <cell r="CH108">
            <v>8912</v>
          </cell>
          <cell r="CI108">
            <v>429</v>
          </cell>
        </row>
        <row r="109">
          <cell r="CH109">
            <v>22482</v>
          </cell>
          <cell r="CI109">
            <v>1316</v>
          </cell>
        </row>
        <row r="110">
          <cell r="CH110">
            <v>31280</v>
          </cell>
          <cell r="CI110">
            <v>1495</v>
          </cell>
        </row>
        <row r="111">
          <cell r="CH111">
            <v>5914</v>
          </cell>
          <cell r="CI111">
            <v>328</v>
          </cell>
        </row>
        <row r="112">
          <cell r="CH112">
            <v>2932</v>
          </cell>
          <cell r="CI112">
            <v>37</v>
          </cell>
        </row>
        <row r="113">
          <cell r="CH113">
            <v>32393</v>
          </cell>
          <cell r="CI113">
            <v>1665</v>
          </cell>
        </row>
        <row r="114">
          <cell r="CH114">
            <v>32763</v>
          </cell>
          <cell r="CI114">
            <v>1229</v>
          </cell>
        </row>
        <row r="115">
          <cell r="CH115">
            <v>39272</v>
          </cell>
          <cell r="CI115">
            <v>197</v>
          </cell>
        </row>
        <row r="116">
          <cell r="CH116">
            <v>12384</v>
          </cell>
          <cell r="CI116">
            <v>260</v>
          </cell>
        </row>
        <row r="117">
          <cell r="CH117">
            <v>33258</v>
          </cell>
          <cell r="CI117">
            <v>1125</v>
          </cell>
        </row>
        <row r="118">
          <cell r="CH118">
            <v>22206</v>
          </cell>
          <cell r="CI118">
            <v>1680</v>
          </cell>
        </row>
        <row r="119">
          <cell r="CH119">
            <v>9942</v>
          </cell>
          <cell r="CI119">
            <v>599</v>
          </cell>
        </row>
        <row r="120">
          <cell r="CH120">
            <v>25797</v>
          </cell>
          <cell r="CI120">
            <v>107</v>
          </cell>
        </row>
        <row r="121">
          <cell r="CH121">
            <v>15476</v>
          </cell>
          <cell r="CI121">
            <v>-20</v>
          </cell>
        </row>
        <row r="122">
          <cell r="CH122">
            <v>30270</v>
          </cell>
          <cell r="CI122">
            <v>636</v>
          </cell>
        </row>
        <row r="123">
          <cell r="CH123">
            <v>24018</v>
          </cell>
          <cell r="CI123">
            <v>37</v>
          </cell>
        </row>
        <row r="124">
          <cell r="CH124">
            <v>12148</v>
          </cell>
          <cell r="CI124">
            <v>1603</v>
          </cell>
        </row>
        <row r="125">
          <cell r="CH125">
            <v>4509</v>
          </cell>
          <cell r="CI125">
            <v>1150</v>
          </cell>
        </row>
        <row r="126">
          <cell r="CH126">
            <v>33174</v>
          </cell>
          <cell r="CI126">
            <v>445</v>
          </cell>
        </row>
        <row r="127">
          <cell r="CH127">
            <v>21208</v>
          </cell>
          <cell r="CI127">
            <v>98</v>
          </cell>
        </row>
        <row r="128">
          <cell r="CH128">
            <v>15827</v>
          </cell>
          <cell r="CI128">
            <v>1173</v>
          </cell>
        </row>
        <row r="129">
          <cell r="CH129">
            <v>36095</v>
          </cell>
          <cell r="CI129">
            <v>1727</v>
          </cell>
        </row>
        <row r="130">
          <cell r="CH130">
            <v>30428</v>
          </cell>
          <cell r="CI130">
            <v>1359</v>
          </cell>
        </row>
        <row r="131">
          <cell r="CH131">
            <v>5391</v>
          </cell>
          <cell r="CI131">
            <v>911</v>
          </cell>
        </row>
        <row r="132">
          <cell r="CH132">
            <v>39530</v>
          </cell>
          <cell r="CI132">
            <v>1529</v>
          </cell>
        </row>
        <row r="133">
          <cell r="CH133">
            <v>3455</v>
          </cell>
          <cell r="CI133">
            <v>1188</v>
          </cell>
        </row>
        <row r="134">
          <cell r="CH134">
            <v>20861</v>
          </cell>
          <cell r="CI134">
            <v>-144</v>
          </cell>
        </row>
        <row r="135">
          <cell r="CH135">
            <v>13316</v>
          </cell>
          <cell r="CI135">
            <v>891</v>
          </cell>
        </row>
        <row r="136">
          <cell r="CH136">
            <v>35359</v>
          </cell>
          <cell r="CI136">
            <v>1426</v>
          </cell>
        </row>
        <row r="137">
          <cell r="CH137">
            <v>9118</v>
          </cell>
          <cell r="CI137">
            <v>569</v>
          </cell>
        </row>
        <row r="138">
          <cell r="CH138">
            <v>2798</v>
          </cell>
          <cell r="CI138">
            <v>1202</v>
          </cell>
        </row>
        <row r="139">
          <cell r="CH139">
            <v>12350</v>
          </cell>
          <cell r="CI139">
            <v>-37</v>
          </cell>
        </row>
        <row r="140">
          <cell r="CH140">
            <v>45380</v>
          </cell>
          <cell r="CI140">
            <v>708</v>
          </cell>
        </row>
        <row r="141">
          <cell r="CH141">
            <v>19119</v>
          </cell>
          <cell r="CI141">
            <v>899</v>
          </cell>
        </row>
        <row r="142">
          <cell r="CH142">
            <v>48270</v>
          </cell>
          <cell r="CI142">
            <v>1350</v>
          </cell>
        </row>
        <row r="143">
          <cell r="CH143">
            <v>42832</v>
          </cell>
          <cell r="CI143">
            <v>861</v>
          </cell>
        </row>
        <row r="144">
          <cell r="CH144">
            <v>37636</v>
          </cell>
          <cell r="CI144">
            <v>292</v>
          </cell>
        </row>
        <row r="145">
          <cell r="CH145">
            <v>8718</v>
          </cell>
          <cell r="CI145">
            <v>1676</v>
          </cell>
        </row>
        <row r="146">
          <cell r="CH146">
            <v>10002</v>
          </cell>
          <cell r="CI146">
            <v>1007</v>
          </cell>
        </row>
        <row r="147">
          <cell r="CH147">
            <v>14722</v>
          </cell>
          <cell r="CI147">
            <v>53</v>
          </cell>
        </row>
        <row r="148">
          <cell r="CH148">
            <v>14068</v>
          </cell>
          <cell r="CI148">
            <v>759</v>
          </cell>
        </row>
        <row r="149">
          <cell r="CH149">
            <v>21061</v>
          </cell>
          <cell r="CI149">
            <v>948</v>
          </cell>
        </row>
        <row r="150">
          <cell r="CH150">
            <v>11805</v>
          </cell>
          <cell r="CI150">
            <v>1510</v>
          </cell>
        </row>
        <row r="151">
          <cell r="CH151">
            <v>42964</v>
          </cell>
          <cell r="CI151">
            <v>269</v>
          </cell>
        </row>
        <row r="152">
          <cell r="CH152">
            <v>11035</v>
          </cell>
          <cell r="CI152">
            <v>1090</v>
          </cell>
        </row>
        <row r="153">
          <cell r="CH153">
            <v>8471</v>
          </cell>
          <cell r="CI153">
            <v>994</v>
          </cell>
        </row>
        <row r="154">
          <cell r="CH154">
            <v>32500</v>
          </cell>
          <cell r="CI154">
            <v>337</v>
          </cell>
        </row>
        <row r="155">
          <cell r="CH155">
            <v>16149</v>
          </cell>
          <cell r="CI155">
            <v>-123</v>
          </cell>
        </row>
        <row r="156">
          <cell r="CH156">
            <v>4007</v>
          </cell>
          <cell r="CI156">
            <v>91</v>
          </cell>
        </row>
        <row r="157">
          <cell r="CH157">
            <v>30671</v>
          </cell>
          <cell r="CI157">
            <v>514</v>
          </cell>
        </row>
        <row r="158">
          <cell r="CH158">
            <v>21205</v>
          </cell>
          <cell r="CI158">
            <v>160</v>
          </cell>
        </row>
        <row r="159">
          <cell r="CH159">
            <v>24313</v>
          </cell>
          <cell r="CI159">
            <v>317</v>
          </cell>
        </row>
        <row r="160">
          <cell r="CH160">
            <v>1783</v>
          </cell>
          <cell r="CI160">
            <v>475</v>
          </cell>
        </row>
        <row r="161">
          <cell r="CH161">
            <v>30060</v>
          </cell>
          <cell r="CI161">
            <v>319</v>
          </cell>
        </row>
        <row r="162">
          <cell r="CH162">
            <v>15071</v>
          </cell>
          <cell r="CI162">
            <v>1032</v>
          </cell>
        </row>
        <row r="163">
          <cell r="CH163">
            <v>28474</v>
          </cell>
          <cell r="CI163">
            <v>190</v>
          </cell>
        </row>
        <row r="164">
          <cell r="CH164">
            <v>26452</v>
          </cell>
          <cell r="CI164">
            <v>28</v>
          </cell>
        </row>
        <row r="165">
          <cell r="CH165">
            <v>16804</v>
          </cell>
          <cell r="CI165">
            <v>333</v>
          </cell>
        </row>
        <row r="166">
          <cell r="CH166">
            <v>49372</v>
          </cell>
          <cell r="CI166">
            <v>1100</v>
          </cell>
        </row>
        <row r="167">
          <cell r="CH167">
            <v>6915</v>
          </cell>
          <cell r="CI167">
            <v>-32</v>
          </cell>
        </row>
        <row r="168">
          <cell r="CH168">
            <v>10283</v>
          </cell>
          <cell r="CI168">
            <v>1006</v>
          </cell>
        </row>
        <row r="169">
          <cell r="CH169">
            <v>32929</v>
          </cell>
          <cell r="CI169">
            <v>1706</v>
          </cell>
        </row>
        <row r="170">
          <cell r="CH170">
            <v>12646</v>
          </cell>
          <cell r="CI170">
            <v>118</v>
          </cell>
        </row>
        <row r="171">
          <cell r="CH171">
            <v>10217</v>
          </cell>
          <cell r="CI171">
            <v>367</v>
          </cell>
        </row>
        <row r="172">
          <cell r="CH172">
            <v>5442</v>
          </cell>
          <cell r="CI172">
            <v>1484</v>
          </cell>
        </row>
        <row r="173">
          <cell r="CH173">
            <v>38883</v>
          </cell>
          <cell r="CI173">
            <v>1657</v>
          </cell>
        </row>
        <row r="174">
          <cell r="CH174">
            <v>36851</v>
          </cell>
          <cell r="CI174">
            <v>1044</v>
          </cell>
        </row>
        <row r="175">
          <cell r="CH175">
            <v>27822</v>
          </cell>
          <cell r="CI175">
            <v>349</v>
          </cell>
        </row>
        <row r="176">
          <cell r="CH176">
            <v>6742</v>
          </cell>
          <cell r="CI176">
            <v>60</v>
          </cell>
        </row>
        <row r="177">
          <cell r="CH177">
            <v>44321</v>
          </cell>
          <cell r="CI177">
            <v>885</v>
          </cell>
        </row>
        <row r="178">
          <cell r="CH178">
            <v>46643</v>
          </cell>
          <cell r="CI178">
            <v>291</v>
          </cell>
        </row>
        <row r="179">
          <cell r="CH179">
            <v>16443</v>
          </cell>
          <cell r="CI179">
            <v>573</v>
          </cell>
        </row>
        <row r="180">
          <cell r="CH180">
            <v>9269</v>
          </cell>
          <cell r="CI180">
            <v>876</v>
          </cell>
        </row>
        <row r="181">
          <cell r="CH181">
            <v>22373</v>
          </cell>
          <cell r="CI181">
            <v>1589</v>
          </cell>
        </row>
        <row r="182">
          <cell r="CH182">
            <v>37876</v>
          </cell>
          <cell r="CI182">
            <v>1460</v>
          </cell>
        </row>
        <row r="183">
          <cell r="CH183">
            <v>40888</v>
          </cell>
          <cell r="CI183">
            <v>846</v>
          </cell>
        </row>
        <row r="184">
          <cell r="CH184">
            <v>46625</v>
          </cell>
          <cell r="CI184">
            <v>901</v>
          </cell>
        </row>
        <row r="185">
          <cell r="CH185">
            <v>49558</v>
          </cell>
          <cell r="CI185">
            <v>724</v>
          </cell>
        </row>
        <row r="186">
          <cell r="CH186">
            <v>14154</v>
          </cell>
          <cell r="CI186">
            <v>1225</v>
          </cell>
        </row>
        <row r="187">
          <cell r="CH187">
            <v>39931</v>
          </cell>
          <cell r="CI187">
            <v>-203</v>
          </cell>
        </row>
        <row r="188">
          <cell r="CH188">
            <v>15045</v>
          </cell>
          <cell r="CI188">
            <v>1444</v>
          </cell>
        </row>
        <row r="189">
          <cell r="CH189">
            <v>40868</v>
          </cell>
          <cell r="CI189">
            <v>1175</v>
          </cell>
        </row>
        <row r="190">
          <cell r="CH190">
            <v>7705</v>
          </cell>
          <cell r="CI190">
            <v>1016</v>
          </cell>
        </row>
        <row r="191">
          <cell r="CH191">
            <v>43999</v>
          </cell>
          <cell r="CI191">
            <v>315</v>
          </cell>
        </row>
        <row r="192">
          <cell r="CH192">
            <v>18001</v>
          </cell>
          <cell r="CI192">
            <v>1242</v>
          </cell>
        </row>
        <row r="193">
          <cell r="CH193">
            <v>24494</v>
          </cell>
          <cell r="CI193">
            <v>1385</v>
          </cell>
        </row>
        <row r="194">
          <cell r="CH194">
            <v>22996</v>
          </cell>
          <cell r="CI194">
            <v>389</v>
          </cell>
        </row>
        <row r="195">
          <cell r="CH195">
            <v>39031</v>
          </cell>
          <cell r="CI195">
            <v>1467</v>
          </cell>
        </row>
        <row r="196">
          <cell r="CH196">
            <v>30987</v>
          </cell>
          <cell r="CI196">
            <v>209</v>
          </cell>
        </row>
        <row r="197">
          <cell r="CH197">
            <v>11383</v>
          </cell>
          <cell r="CI197">
            <v>145</v>
          </cell>
        </row>
        <row r="198">
          <cell r="CH198">
            <v>35801</v>
          </cell>
          <cell r="CI198">
            <v>1633</v>
          </cell>
        </row>
        <row r="199">
          <cell r="CH199">
            <v>20059</v>
          </cell>
          <cell r="CI199">
            <v>637</v>
          </cell>
        </row>
        <row r="200">
          <cell r="CH200">
            <v>15969</v>
          </cell>
          <cell r="CI200">
            <v>864</v>
          </cell>
        </row>
        <row r="201">
          <cell r="CH201">
            <v>39923</v>
          </cell>
          <cell r="CI201">
            <v>-337</v>
          </cell>
        </row>
        <row r="202">
          <cell r="CH202">
            <v>20733</v>
          </cell>
          <cell r="CI202">
            <v>0</v>
          </cell>
        </row>
        <row r="203">
          <cell r="CH203">
            <v>14090</v>
          </cell>
          <cell r="CI203">
            <v>0</v>
          </cell>
        </row>
        <row r="204">
          <cell r="CH204">
            <v>6832</v>
          </cell>
          <cell r="CI204">
            <v>0</v>
          </cell>
        </row>
        <row r="205">
          <cell r="CH205">
            <v>7541</v>
          </cell>
          <cell r="CI205">
            <v>0</v>
          </cell>
        </row>
        <row r="206">
          <cell r="CH206">
            <v>12174</v>
          </cell>
          <cell r="CI206">
            <v>0</v>
          </cell>
        </row>
      </sheetData>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7.800556365743" createdVersion="8" refreshedVersion="8" minRefreshableVersion="3" recordCount="200" xr:uid="{351AC6F4-5A60-40E2-A92B-543C6E966EE4}">
  <cacheSource type="worksheet">
    <worksheetSource ref="D6:L206" sheet="Task 6" r:id="rId2"/>
  </cacheSource>
  <cacheFields count="11">
    <cacheField name="Week_Start_Date" numFmtId="14">
      <sharedItems containsSemiMixedTypes="0" containsNonDate="0" containsDate="1" containsString="0" minDate="2024-06-03T00:00:00" maxDate="2025-05-13T00:00:00"/>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00000000000001E-2" maxValue="9.4800000000000009E-2"/>
    </cacheField>
    <cacheField name="Ad_Spend" numFmtId="164">
      <sharedItems containsSemiMixedTypes="0" containsString="0" containsNumber="1" containsInteger="1" minValue="1083" maxValue="49772"/>
    </cacheField>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6"/>
        <n v="7"/>
        <n v="8"/>
        <n v="9"/>
        <n v="10"/>
        <n v="11"/>
        <n v="12"/>
        <n v="1"/>
        <n v="2"/>
        <n v="3"/>
        <n v="4"/>
        <n v="5"/>
      </sharedItems>
    </cacheField>
    <cacheField name="Week " numFmtId="0">
      <sharedItems containsSemiMixedTypes="0" containsString="0" containsNumber="1" containsInteger="1" minValue="1" maxValue="5" count="5">
        <n v="1"/>
        <n v="2"/>
        <n v="3"/>
        <n v="4"/>
        <n v="5"/>
      </sharedItems>
    </cacheField>
    <cacheField name="Net New followers" numFmtId="0">
      <sharedItems containsSemiMixedTypes="0" containsString="0" containsNumber="1" containsInteger="1" minValue="-337" maxValue="1881"/>
    </cacheField>
  </cacheFields>
  <extLst>
    <ext xmlns:x14="http://schemas.microsoft.com/office/spreadsheetml/2009/9/main" uri="{725AE2AE-9491-48be-B2B4-4EB974FC3084}">
      <x14:pivotCacheDefinition pivotCacheId="3161812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8.326443865742" createdVersion="8" refreshedVersion="8" minRefreshableVersion="3" recordCount="200" xr:uid="{F7C2F00E-DCA7-49D8-B98A-36D4D8AD1221}">
  <cacheSource type="worksheet">
    <worksheetSource ref="H6:K206" sheet="Task 6" r:id="rId2"/>
  </cacheSource>
  <cacheFields count="4">
    <cacheField name="Total_Followers" numFmtId="0">
      <sharedItems containsSemiMixedTypes="0" containsString="0" containsNumber="1" containsInteger="1" minValue="11435" maxValue="496982"/>
    </cacheField>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6"/>
        <n v="7"/>
        <n v="8"/>
        <n v="9"/>
        <n v="10"/>
        <n v="11"/>
        <n v="12"/>
        <n v="1"/>
        <n v="2"/>
        <n v="3"/>
        <n v="4"/>
        <n v="5"/>
      </sharedItems>
    </cacheField>
    <cacheField name="Week " numFmtId="0">
      <sharedItems containsSemiMixedTypes="0" containsString="0" containsNumber="1" containsInteger="1" minValue="1" maxValue="5" count="5">
        <n v="1"/>
        <n v="2"/>
        <n v="3"/>
        <n v="4"/>
        <n v="5"/>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8.290968518515" createdVersion="8" refreshedVersion="8" minRefreshableVersion="3" recordCount="200" xr:uid="{D84C1596-5806-4CAA-952F-3595E0283226}">
  <cacheSource type="worksheet">
    <worksheetSource ref="I6:L206" sheet="Task 6" r:id="rId2"/>
  </cacheSource>
  <cacheFields count="4">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6"/>
        <n v="7"/>
        <n v="8"/>
        <n v="9"/>
        <n v="10"/>
        <n v="11"/>
        <n v="12"/>
        <n v="1"/>
        <n v="2"/>
        <n v="3"/>
        <n v="4"/>
        <n v="5"/>
      </sharedItems>
    </cacheField>
    <cacheField name="Week " numFmtId="0">
      <sharedItems containsSemiMixedTypes="0" containsString="0" containsNumber="1" containsInteger="1" minValue="1" maxValue="5" count="5">
        <n v="1"/>
        <n v="2"/>
        <n v="3"/>
        <n v="4"/>
        <n v="5"/>
      </sharedItems>
    </cacheField>
    <cacheField name="Net New followers" numFmtId="0">
      <sharedItems containsSemiMixedTypes="0" containsString="0" containsNumber="1" containsInteger="1" minValue="-337" maxValue="188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312"/>
    <n v="310"/>
    <n v="42654"/>
    <n v="4.9800000000000004E-2"/>
    <n v="9566"/>
    <x v="0"/>
    <x v="0"/>
    <x v="0"/>
    <n v="1002"/>
  </r>
  <r>
    <d v="2024-06-10T00:00:00"/>
    <x v="0"/>
    <n v="1697"/>
    <n v="414"/>
    <n v="316555"/>
    <n v="2.3700000000000002E-2"/>
    <n v="7924"/>
    <x v="0"/>
    <x v="0"/>
    <x v="1"/>
    <n v="1283"/>
  </r>
  <r>
    <d v="2024-06-17T00:00:00"/>
    <x v="0"/>
    <n v="1753"/>
    <n v="371"/>
    <n v="169496"/>
    <n v="8.1099999999999992E-2"/>
    <n v="46670"/>
    <x v="0"/>
    <x v="0"/>
    <x v="2"/>
    <n v="1382"/>
  </r>
  <r>
    <d v="2024-06-24T00:00:00"/>
    <x v="0"/>
    <n v="1779"/>
    <n v="109"/>
    <n v="26295"/>
    <n v="9.1199999999999989E-2"/>
    <n v="30635"/>
    <x v="0"/>
    <x v="0"/>
    <x v="3"/>
    <n v="1670"/>
  </r>
  <r>
    <d v="2024-07-01T00:00:00"/>
    <x v="0"/>
    <n v="505"/>
    <n v="441"/>
    <n v="220020"/>
    <n v="4.4800000000000006E-2"/>
    <n v="42307"/>
    <x v="0"/>
    <x v="1"/>
    <x v="0"/>
    <n v="64"/>
  </r>
  <r>
    <d v="2024-07-08T00:00:00"/>
    <x v="0"/>
    <n v="350"/>
    <n v="41"/>
    <n v="251694"/>
    <n v="1.9099999999999999E-2"/>
    <n v="38610"/>
    <x v="0"/>
    <x v="1"/>
    <x v="1"/>
    <n v="309"/>
  </r>
  <r>
    <d v="2024-07-15T00:00:00"/>
    <x v="0"/>
    <n v="170"/>
    <n v="334"/>
    <n v="334626"/>
    <n v="6.4399999999999999E-2"/>
    <n v="43420"/>
    <x v="0"/>
    <x v="1"/>
    <x v="2"/>
    <n v="-164"/>
  </r>
  <r>
    <d v="2024-07-22T00:00:00"/>
    <x v="0"/>
    <n v="1391"/>
    <n v="430"/>
    <n v="295032"/>
    <n v="7.8600000000000003E-2"/>
    <n v="26067"/>
    <x v="0"/>
    <x v="1"/>
    <x v="3"/>
    <n v="961"/>
  </r>
  <r>
    <d v="2024-07-29T00:00:00"/>
    <x v="0"/>
    <n v="160"/>
    <n v="478"/>
    <n v="435034"/>
    <n v="7.7300000000000008E-2"/>
    <n v="4839"/>
    <x v="0"/>
    <x v="1"/>
    <x v="4"/>
    <n v="-318"/>
  </r>
  <r>
    <d v="2024-08-05T00:00:00"/>
    <x v="0"/>
    <n v="214"/>
    <n v="411"/>
    <n v="125034"/>
    <n v="6.1100000000000002E-2"/>
    <n v="26455"/>
    <x v="0"/>
    <x v="2"/>
    <x v="0"/>
    <n v="-197"/>
  </r>
  <r>
    <d v="2024-08-12T00:00:00"/>
    <x v="0"/>
    <n v="1534"/>
    <n v="200"/>
    <n v="307612"/>
    <n v="6.0100000000000001E-2"/>
    <n v="37903"/>
    <x v="0"/>
    <x v="2"/>
    <x v="1"/>
    <n v="1334"/>
  </r>
  <r>
    <d v="2024-08-19T00:00:00"/>
    <x v="0"/>
    <n v="1078"/>
    <n v="20"/>
    <n v="183924"/>
    <n v="8.8399999999999992E-2"/>
    <n v="14203"/>
    <x v="0"/>
    <x v="2"/>
    <x v="2"/>
    <n v="1058"/>
  </r>
  <r>
    <d v="2024-08-26T00:00:00"/>
    <x v="0"/>
    <n v="248"/>
    <n v="211"/>
    <n v="379380"/>
    <n v="9.0399999999999994E-2"/>
    <n v="26925"/>
    <x v="0"/>
    <x v="2"/>
    <x v="3"/>
    <n v="37"/>
  </r>
  <r>
    <d v="2024-09-02T00:00:00"/>
    <x v="0"/>
    <n v="1520"/>
    <n v="475"/>
    <n v="496982"/>
    <n v="6.4100000000000004E-2"/>
    <n v="24384"/>
    <x v="0"/>
    <x v="3"/>
    <x v="0"/>
    <n v="1045"/>
  </r>
  <r>
    <d v="2024-09-09T00:00:00"/>
    <x v="0"/>
    <n v="1842"/>
    <n v="414"/>
    <n v="307524"/>
    <n v="1.7600000000000001E-2"/>
    <n v="40478"/>
    <x v="0"/>
    <x v="3"/>
    <x v="1"/>
    <n v="1428"/>
  </r>
  <r>
    <d v="2024-09-16T00:00:00"/>
    <x v="0"/>
    <n v="443"/>
    <n v="345"/>
    <n v="474162"/>
    <n v="9.1999999999999998E-2"/>
    <n v="47462"/>
    <x v="0"/>
    <x v="3"/>
    <x v="2"/>
    <n v="98"/>
  </r>
  <r>
    <d v="2024-09-23T00:00:00"/>
    <x v="0"/>
    <n v="198"/>
    <n v="217"/>
    <n v="239753"/>
    <n v="7.3599999999999999E-2"/>
    <n v="11901"/>
    <x v="0"/>
    <x v="3"/>
    <x v="3"/>
    <n v="-19"/>
  </r>
  <r>
    <d v="2024-09-30T00:00:00"/>
    <x v="0"/>
    <n v="250"/>
    <n v="429"/>
    <n v="453423"/>
    <n v="1.77E-2"/>
    <n v="2315"/>
    <x v="0"/>
    <x v="3"/>
    <x v="4"/>
    <n v="-179"/>
  </r>
  <r>
    <d v="2024-10-07T00:00:00"/>
    <x v="0"/>
    <n v="1929"/>
    <n v="267"/>
    <n v="379363"/>
    <n v="1.7500000000000002E-2"/>
    <n v="43836"/>
    <x v="0"/>
    <x v="4"/>
    <x v="0"/>
    <n v="1662"/>
  </r>
  <r>
    <d v="2024-10-14T00:00:00"/>
    <x v="0"/>
    <n v="643"/>
    <n v="358"/>
    <n v="157599"/>
    <n v="3.8800000000000001E-2"/>
    <n v="7285"/>
    <x v="0"/>
    <x v="4"/>
    <x v="1"/>
    <n v="285"/>
  </r>
  <r>
    <d v="2024-10-21T00:00:00"/>
    <x v="0"/>
    <n v="508"/>
    <n v="69"/>
    <n v="23492"/>
    <n v="3.1600000000000003E-2"/>
    <n v="42824"/>
    <x v="0"/>
    <x v="4"/>
    <x v="2"/>
    <n v="439"/>
  </r>
  <r>
    <d v="2024-10-28T00:00:00"/>
    <x v="0"/>
    <n v="859"/>
    <n v="473"/>
    <n v="209987"/>
    <n v="4.4600000000000001E-2"/>
    <n v="30214"/>
    <x v="0"/>
    <x v="4"/>
    <x v="3"/>
    <n v="386"/>
  </r>
  <r>
    <d v="2024-11-04T00:00:00"/>
    <x v="0"/>
    <n v="947"/>
    <n v="407"/>
    <n v="319186"/>
    <n v="3.32E-2"/>
    <n v="4996"/>
    <x v="0"/>
    <x v="5"/>
    <x v="0"/>
    <n v="540"/>
  </r>
  <r>
    <d v="2024-11-11T00:00:00"/>
    <x v="0"/>
    <n v="171"/>
    <n v="277"/>
    <n v="309483"/>
    <n v="8.6999999999999994E-2"/>
    <n v="38452"/>
    <x v="0"/>
    <x v="5"/>
    <x v="1"/>
    <n v="-106"/>
  </r>
  <r>
    <d v="2024-11-18T00:00:00"/>
    <x v="0"/>
    <n v="513"/>
    <n v="441"/>
    <n v="338847"/>
    <n v="2.6800000000000001E-2"/>
    <n v="39997"/>
    <x v="0"/>
    <x v="5"/>
    <x v="2"/>
    <n v="72"/>
  </r>
  <r>
    <d v="2024-11-25T00:00:00"/>
    <x v="0"/>
    <n v="1710"/>
    <n v="378"/>
    <n v="336661"/>
    <n v="6.2E-2"/>
    <n v="28498"/>
    <x v="0"/>
    <x v="5"/>
    <x v="3"/>
    <n v="1332"/>
  </r>
  <r>
    <d v="2024-12-02T00:00:00"/>
    <x v="0"/>
    <n v="1902"/>
    <n v="196"/>
    <n v="470269"/>
    <n v="4.7899999999999998E-2"/>
    <n v="26103"/>
    <x v="0"/>
    <x v="6"/>
    <x v="0"/>
    <n v="1706"/>
  </r>
  <r>
    <d v="2024-12-09T00:00:00"/>
    <x v="0"/>
    <n v="1514"/>
    <n v="141"/>
    <n v="35842"/>
    <n v="7.4700000000000003E-2"/>
    <n v="18601"/>
    <x v="0"/>
    <x v="6"/>
    <x v="1"/>
    <n v="1373"/>
  </r>
  <r>
    <d v="2024-12-16T00:00:00"/>
    <x v="0"/>
    <n v="1623"/>
    <n v="246"/>
    <n v="415815"/>
    <n v="8.1099999999999992E-2"/>
    <n v="18656"/>
    <x v="0"/>
    <x v="6"/>
    <x v="2"/>
    <n v="1377"/>
  </r>
  <r>
    <d v="2024-12-23T00:00:00"/>
    <x v="0"/>
    <n v="1155"/>
    <n v="425"/>
    <n v="93347"/>
    <n v="2.0199999999999999E-2"/>
    <n v="47502"/>
    <x v="0"/>
    <x v="6"/>
    <x v="3"/>
    <n v="730"/>
  </r>
  <r>
    <d v="2024-12-30T00:00:00"/>
    <x v="0"/>
    <n v="1980"/>
    <n v="204"/>
    <n v="379431"/>
    <n v="3.0899999999999997E-2"/>
    <n v="25140"/>
    <x v="0"/>
    <x v="6"/>
    <x v="4"/>
    <n v="1776"/>
  </r>
  <r>
    <d v="2025-01-06T00:00:00"/>
    <x v="0"/>
    <n v="816"/>
    <n v="196"/>
    <n v="95728"/>
    <n v="8.199999999999999E-2"/>
    <n v="17951"/>
    <x v="1"/>
    <x v="7"/>
    <x v="0"/>
    <n v="620"/>
  </r>
  <r>
    <d v="2025-01-13T00:00:00"/>
    <x v="0"/>
    <n v="651"/>
    <n v="353"/>
    <n v="224699"/>
    <n v="5.6100000000000004E-2"/>
    <n v="45708"/>
    <x v="1"/>
    <x v="7"/>
    <x v="1"/>
    <n v="298"/>
  </r>
  <r>
    <d v="2025-01-20T00:00:00"/>
    <x v="0"/>
    <n v="663"/>
    <n v="236"/>
    <n v="479490"/>
    <n v="4.5100000000000001E-2"/>
    <n v="23853"/>
    <x v="1"/>
    <x v="7"/>
    <x v="2"/>
    <n v="427"/>
  </r>
  <r>
    <d v="2025-01-27T00:00:00"/>
    <x v="0"/>
    <n v="1249"/>
    <n v="351"/>
    <n v="321307"/>
    <n v="6.3700000000000007E-2"/>
    <n v="20560"/>
    <x v="1"/>
    <x v="7"/>
    <x v="3"/>
    <n v="898"/>
  </r>
  <r>
    <d v="2025-02-03T00:00:00"/>
    <x v="0"/>
    <n v="1159"/>
    <n v="411"/>
    <n v="135987"/>
    <n v="8.6999999999999994E-2"/>
    <n v="40323"/>
    <x v="1"/>
    <x v="8"/>
    <x v="0"/>
    <n v="748"/>
  </r>
  <r>
    <d v="2025-02-10T00:00:00"/>
    <x v="0"/>
    <n v="1294"/>
    <n v="382"/>
    <n v="309914"/>
    <n v="8.0299999999999996E-2"/>
    <n v="23489"/>
    <x v="1"/>
    <x v="8"/>
    <x v="1"/>
    <n v="912"/>
  </r>
  <r>
    <d v="2025-02-17T00:00:00"/>
    <x v="0"/>
    <n v="1895"/>
    <n v="305"/>
    <n v="104967"/>
    <n v="3.85E-2"/>
    <n v="31853"/>
    <x v="1"/>
    <x v="8"/>
    <x v="2"/>
    <n v="1590"/>
  </r>
  <r>
    <d v="2025-02-24T00:00:00"/>
    <x v="0"/>
    <n v="1884"/>
    <n v="177"/>
    <n v="230448"/>
    <n v="7.8E-2"/>
    <n v="22713"/>
    <x v="1"/>
    <x v="8"/>
    <x v="3"/>
    <n v="1707"/>
  </r>
  <r>
    <d v="2025-03-03T00:00:00"/>
    <x v="0"/>
    <n v="345"/>
    <n v="464"/>
    <n v="366881"/>
    <n v="4.5499999999999999E-2"/>
    <n v="20553"/>
    <x v="1"/>
    <x v="9"/>
    <x v="0"/>
    <n v="-119"/>
  </r>
  <r>
    <d v="2025-03-10T00:00:00"/>
    <x v="0"/>
    <n v="1098"/>
    <n v="190"/>
    <n v="340842"/>
    <n v="9.3900000000000011E-2"/>
    <n v="21539"/>
    <x v="1"/>
    <x v="9"/>
    <x v="1"/>
    <n v="908"/>
  </r>
  <r>
    <d v="2025-03-17T00:00:00"/>
    <x v="0"/>
    <n v="1358"/>
    <n v="242"/>
    <n v="342129"/>
    <n v="4.9400000000000006E-2"/>
    <n v="29116"/>
    <x v="1"/>
    <x v="9"/>
    <x v="2"/>
    <n v="1116"/>
  </r>
  <r>
    <d v="2025-03-24T00:00:00"/>
    <x v="0"/>
    <n v="609"/>
    <n v="135"/>
    <n v="373606"/>
    <n v="8.5199999999999998E-2"/>
    <n v="21453"/>
    <x v="1"/>
    <x v="9"/>
    <x v="3"/>
    <n v="474"/>
  </r>
  <r>
    <d v="2025-03-31T00:00:00"/>
    <x v="0"/>
    <n v="988"/>
    <n v="474"/>
    <n v="370070"/>
    <n v="9.4600000000000004E-2"/>
    <n v="23461"/>
    <x v="1"/>
    <x v="9"/>
    <x v="4"/>
    <n v="514"/>
  </r>
  <r>
    <d v="2025-04-07T00:00:00"/>
    <x v="0"/>
    <n v="1307"/>
    <n v="278"/>
    <n v="98596"/>
    <n v="2.4900000000000002E-2"/>
    <n v="47603"/>
    <x v="1"/>
    <x v="10"/>
    <x v="0"/>
    <n v="1029"/>
  </r>
  <r>
    <d v="2025-04-14T00:00:00"/>
    <x v="0"/>
    <n v="198"/>
    <n v="373"/>
    <n v="70707"/>
    <n v="4.8300000000000003E-2"/>
    <n v="25920"/>
    <x v="1"/>
    <x v="10"/>
    <x v="1"/>
    <n v="-175"/>
  </r>
  <r>
    <d v="2025-04-21T00:00:00"/>
    <x v="0"/>
    <n v="1375"/>
    <n v="330"/>
    <n v="377382"/>
    <n v="2.6000000000000002E-2"/>
    <n v="7875"/>
    <x v="1"/>
    <x v="10"/>
    <x v="2"/>
    <n v="1045"/>
  </r>
  <r>
    <d v="2025-04-28T00:00:00"/>
    <x v="0"/>
    <n v="833"/>
    <n v="380"/>
    <n v="224830"/>
    <n v="3.8599999999999995E-2"/>
    <n v="3582"/>
    <x v="1"/>
    <x v="10"/>
    <x v="3"/>
    <n v="453"/>
  </r>
  <r>
    <d v="2025-05-05T00:00:00"/>
    <x v="0"/>
    <n v="405"/>
    <n v="66"/>
    <n v="418696"/>
    <n v="5.5899999999999998E-2"/>
    <n v="48419"/>
    <x v="1"/>
    <x v="11"/>
    <x v="0"/>
    <n v="339"/>
  </r>
  <r>
    <d v="2025-05-12T00:00:00"/>
    <x v="0"/>
    <n v="837"/>
    <n v="430"/>
    <n v="364820"/>
    <n v="0.04"/>
    <n v="49400"/>
    <x v="1"/>
    <x v="11"/>
    <x v="1"/>
    <n v="407"/>
  </r>
  <r>
    <d v="2024-06-03T00:00:00"/>
    <x v="1"/>
    <n v="1135"/>
    <n v="88"/>
    <n v="344084"/>
    <n v="8.0600000000000005E-2"/>
    <n v="5904"/>
    <x v="0"/>
    <x v="0"/>
    <x v="0"/>
    <n v="1047"/>
  </r>
  <r>
    <d v="2024-06-10T00:00:00"/>
    <x v="1"/>
    <n v="656"/>
    <n v="139"/>
    <n v="49157"/>
    <n v="9.0500000000000011E-2"/>
    <n v="9920"/>
    <x v="0"/>
    <x v="0"/>
    <x v="1"/>
    <n v="517"/>
  </r>
  <r>
    <d v="2024-06-17T00:00:00"/>
    <x v="1"/>
    <n v="1048"/>
    <n v="155"/>
    <n v="456946"/>
    <n v="2.46E-2"/>
    <n v="11329"/>
    <x v="0"/>
    <x v="0"/>
    <x v="2"/>
    <n v="893"/>
  </r>
  <r>
    <d v="2024-06-24T00:00:00"/>
    <x v="1"/>
    <n v="911"/>
    <n v="282"/>
    <n v="35664"/>
    <n v="6.9199999999999998E-2"/>
    <n v="18050"/>
    <x v="0"/>
    <x v="0"/>
    <x v="3"/>
    <n v="629"/>
  </r>
  <r>
    <d v="2024-07-01T00:00:00"/>
    <x v="1"/>
    <n v="226"/>
    <n v="445"/>
    <n v="419447"/>
    <n v="9.3599999999999989E-2"/>
    <n v="9566"/>
    <x v="0"/>
    <x v="1"/>
    <x v="0"/>
    <n v="-219"/>
  </r>
  <r>
    <d v="2024-07-08T00:00:00"/>
    <x v="1"/>
    <n v="1757"/>
    <n v="85"/>
    <n v="58223"/>
    <n v="8.7400000000000005E-2"/>
    <n v="22728"/>
    <x v="0"/>
    <x v="1"/>
    <x v="1"/>
    <n v="1672"/>
  </r>
  <r>
    <d v="2024-07-15T00:00:00"/>
    <x v="1"/>
    <n v="1960"/>
    <n v="115"/>
    <n v="154169"/>
    <n v="3.7400000000000003E-2"/>
    <n v="10740"/>
    <x v="0"/>
    <x v="1"/>
    <x v="2"/>
    <n v="1845"/>
  </r>
  <r>
    <d v="2024-07-22T00:00:00"/>
    <x v="1"/>
    <n v="508"/>
    <n v="349"/>
    <n v="473812"/>
    <n v="7.8799999999999995E-2"/>
    <n v="17328"/>
    <x v="0"/>
    <x v="1"/>
    <x v="3"/>
    <n v="159"/>
  </r>
  <r>
    <d v="2024-07-29T00:00:00"/>
    <x v="1"/>
    <n v="653"/>
    <n v="112"/>
    <n v="23664"/>
    <n v="4.0500000000000001E-2"/>
    <n v="15353"/>
    <x v="0"/>
    <x v="1"/>
    <x v="4"/>
    <n v="541"/>
  </r>
  <r>
    <d v="2024-08-05T00:00:00"/>
    <x v="1"/>
    <n v="645"/>
    <n v="293"/>
    <n v="437968"/>
    <n v="7.8299999999999995E-2"/>
    <n v="49303"/>
    <x v="0"/>
    <x v="2"/>
    <x v="0"/>
    <n v="352"/>
  </r>
  <r>
    <d v="2024-08-12T00:00:00"/>
    <x v="1"/>
    <n v="1528"/>
    <n v="203"/>
    <n v="489188"/>
    <n v="6.2300000000000001E-2"/>
    <n v="47101"/>
    <x v="0"/>
    <x v="2"/>
    <x v="1"/>
    <n v="1325"/>
  </r>
  <r>
    <d v="2024-08-19T00:00:00"/>
    <x v="1"/>
    <n v="215"/>
    <n v="139"/>
    <n v="325444"/>
    <n v="3.2500000000000001E-2"/>
    <n v="35501"/>
    <x v="0"/>
    <x v="2"/>
    <x v="2"/>
    <n v="76"/>
  </r>
  <r>
    <d v="2024-08-26T00:00:00"/>
    <x v="1"/>
    <n v="1685"/>
    <n v="76"/>
    <n v="453799"/>
    <n v="5.7099999999999998E-2"/>
    <n v="24913"/>
    <x v="0"/>
    <x v="2"/>
    <x v="3"/>
    <n v="1609"/>
  </r>
  <r>
    <d v="2024-09-02T00:00:00"/>
    <x v="1"/>
    <n v="1429"/>
    <n v="182"/>
    <n v="101332"/>
    <n v="7.1599999999999997E-2"/>
    <n v="37829"/>
    <x v="0"/>
    <x v="3"/>
    <x v="0"/>
    <n v="1247"/>
  </r>
  <r>
    <d v="2024-09-09T00:00:00"/>
    <x v="1"/>
    <n v="1592"/>
    <n v="20"/>
    <n v="378054"/>
    <n v="9.0899999999999995E-2"/>
    <n v="26663"/>
    <x v="0"/>
    <x v="3"/>
    <x v="1"/>
    <n v="1572"/>
  </r>
  <r>
    <d v="2024-09-16T00:00:00"/>
    <x v="1"/>
    <n v="778"/>
    <n v="401"/>
    <n v="50793"/>
    <n v="3.4000000000000002E-2"/>
    <n v="21939"/>
    <x v="0"/>
    <x v="3"/>
    <x v="2"/>
    <n v="377"/>
  </r>
  <r>
    <d v="2024-09-23T00:00:00"/>
    <x v="1"/>
    <n v="817"/>
    <n v="151"/>
    <n v="422625"/>
    <n v="2.3599999999999999E-2"/>
    <n v="1083"/>
    <x v="0"/>
    <x v="3"/>
    <x v="3"/>
    <n v="666"/>
  </r>
  <r>
    <d v="2024-09-30T00:00:00"/>
    <x v="1"/>
    <n v="1433"/>
    <n v="408"/>
    <n v="370269"/>
    <n v="3.3000000000000002E-2"/>
    <n v="30575"/>
    <x v="0"/>
    <x v="3"/>
    <x v="4"/>
    <n v="1025"/>
  </r>
  <r>
    <d v="2024-10-07T00:00:00"/>
    <x v="1"/>
    <n v="1939"/>
    <n v="67"/>
    <n v="187183"/>
    <n v="6.25E-2"/>
    <n v="41215"/>
    <x v="0"/>
    <x v="4"/>
    <x v="0"/>
    <n v="1872"/>
  </r>
  <r>
    <d v="2024-10-14T00:00:00"/>
    <x v="1"/>
    <n v="1527"/>
    <n v="303"/>
    <n v="388555"/>
    <n v="8.900000000000001E-2"/>
    <n v="36397"/>
    <x v="0"/>
    <x v="4"/>
    <x v="1"/>
    <n v="1224"/>
  </r>
  <r>
    <d v="2024-10-21T00:00:00"/>
    <x v="1"/>
    <n v="703"/>
    <n v="441"/>
    <n v="357089"/>
    <n v="6.5000000000000002E-2"/>
    <n v="32478"/>
    <x v="0"/>
    <x v="4"/>
    <x v="2"/>
    <n v="262"/>
  </r>
  <r>
    <d v="2024-10-28T00:00:00"/>
    <x v="1"/>
    <n v="642"/>
    <n v="66"/>
    <n v="346522"/>
    <n v="5.8499999999999996E-2"/>
    <n v="13116"/>
    <x v="0"/>
    <x v="4"/>
    <x v="3"/>
    <n v="576"/>
  </r>
  <r>
    <d v="2024-11-04T00:00:00"/>
    <x v="1"/>
    <n v="1466"/>
    <n v="69"/>
    <n v="54935"/>
    <n v="6.8499999999999991E-2"/>
    <n v="36484"/>
    <x v="0"/>
    <x v="5"/>
    <x v="0"/>
    <n v="1397"/>
  </r>
  <r>
    <d v="2024-11-11T00:00:00"/>
    <x v="1"/>
    <n v="1075"/>
    <n v="173"/>
    <n v="51395"/>
    <n v="4.6600000000000003E-2"/>
    <n v="47812"/>
    <x v="0"/>
    <x v="5"/>
    <x v="1"/>
    <n v="902"/>
  </r>
  <r>
    <d v="2024-11-18T00:00:00"/>
    <x v="1"/>
    <n v="187"/>
    <n v="236"/>
    <n v="51087"/>
    <n v="9.4100000000000003E-2"/>
    <n v="29533"/>
    <x v="0"/>
    <x v="5"/>
    <x v="2"/>
    <n v="-49"/>
  </r>
  <r>
    <d v="2024-11-25T00:00:00"/>
    <x v="1"/>
    <n v="1854"/>
    <n v="161"/>
    <n v="282466"/>
    <n v="5.1699999999999996E-2"/>
    <n v="1810"/>
    <x v="0"/>
    <x v="5"/>
    <x v="3"/>
    <n v="1693"/>
  </r>
  <r>
    <d v="2024-12-02T00:00:00"/>
    <x v="1"/>
    <n v="1696"/>
    <n v="71"/>
    <n v="421957"/>
    <n v="3.7900000000000003E-2"/>
    <n v="36103"/>
    <x v="0"/>
    <x v="6"/>
    <x v="0"/>
    <n v="1625"/>
  </r>
  <r>
    <d v="2024-12-09T00:00:00"/>
    <x v="1"/>
    <n v="1494"/>
    <n v="375"/>
    <n v="220616"/>
    <n v="1.8100000000000002E-2"/>
    <n v="22724"/>
    <x v="0"/>
    <x v="6"/>
    <x v="1"/>
    <n v="1119"/>
  </r>
  <r>
    <d v="2024-12-16T00:00:00"/>
    <x v="1"/>
    <n v="1502"/>
    <n v="70"/>
    <n v="465553"/>
    <n v="3.32E-2"/>
    <n v="20692"/>
    <x v="0"/>
    <x v="6"/>
    <x v="2"/>
    <n v="1432"/>
  </r>
  <r>
    <d v="2024-12-23T00:00:00"/>
    <x v="1"/>
    <n v="1092"/>
    <n v="408"/>
    <n v="280795"/>
    <n v="8.4399999999999989E-2"/>
    <n v="4683"/>
    <x v="0"/>
    <x v="6"/>
    <x v="3"/>
    <n v="684"/>
  </r>
  <r>
    <d v="2024-12-30T00:00:00"/>
    <x v="1"/>
    <n v="1814"/>
    <n v="49"/>
    <n v="140804"/>
    <n v="1.7600000000000001E-2"/>
    <n v="4313"/>
    <x v="0"/>
    <x v="6"/>
    <x v="4"/>
    <n v="1765"/>
  </r>
  <r>
    <d v="2025-01-06T00:00:00"/>
    <x v="1"/>
    <n v="1013"/>
    <n v="110"/>
    <n v="466382"/>
    <n v="5.2999999999999999E-2"/>
    <n v="37132"/>
    <x v="1"/>
    <x v="7"/>
    <x v="0"/>
    <n v="903"/>
  </r>
  <r>
    <d v="2025-01-13T00:00:00"/>
    <x v="1"/>
    <n v="1855"/>
    <n v="133"/>
    <n v="349413"/>
    <n v="3.3000000000000002E-2"/>
    <n v="14548"/>
    <x v="1"/>
    <x v="7"/>
    <x v="1"/>
    <n v="1722"/>
  </r>
  <r>
    <d v="2025-01-20T00:00:00"/>
    <x v="1"/>
    <n v="1748"/>
    <n v="176"/>
    <n v="383681"/>
    <n v="9.2399999999999996E-2"/>
    <n v="43122"/>
    <x v="1"/>
    <x v="7"/>
    <x v="2"/>
    <n v="1572"/>
  </r>
  <r>
    <d v="2025-01-27T00:00:00"/>
    <x v="1"/>
    <n v="115"/>
    <n v="281"/>
    <n v="357265"/>
    <n v="9.2300000000000007E-2"/>
    <n v="25525"/>
    <x v="1"/>
    <x v="7"/>
    <x v="3"/>
    <n v="-166"/>
  </r>
  <r>
    <d v="2025-02-03T00:00:00"/>
    <x v="1"/>
    <n v="1556"/>
    <n v="476"/>
    <n v="351556"/>
    <n v="3.8900000000000004E-2"/>
    <n v="10825"/>
    <x v="1"/>
    <x v="8"/>
    <x v="0"/>
    <n v="1080"/>
  </r>
  <r>
    <d v="2025-02-10T00:00:00"/>
    <x v="1"/>
    <n v="1957"/>
    <n v="234"/>
    <n v="222126"/>
    <n v="4.6100000000000002E-2"/>
    <n v="3314"/>
    <x v="1"/>
    <x v="8"/>
    <x v="1"/>
    <n v="1723"/>
  </r>
  <r>
    <d v="2025-02-17T00:00:00"/>
    <x v="1"/>
    <n v="1138"/>
    <n v="173"/>
    <n v="453243"/>
    <n v="2.86E-2"/>
    <n v="44097"/>
    <x v="1"/>
    <x v="8"/>
    <x v="2"/>
    <n v="965"/>
  </r>
  <r>
    <d v="2025-02-24T00:00:00"/>
    <x v="1"/>
    <n v="1440"/>
    <n v="65"/>
    <n v="126524"/>
    <n v="4.3400000000000001E-2"/>
    <n v="49772"/>
    <x v="1"/>
    <x v="8"/>
    <x v="3"/>
    <n v="1375"/>
  </r>
  <r>
    <d v="2025-03-03T00:00:00"/>
    <x v="1"/>
    <n v="1371"/>
    <n v="56"/>
    <n v="257579"/>
    <n v="8.6199999999999999E-2"/>
    <n v="33799"/>
    <x v="1"/>
    <x v="9"/>
    <x v="0"/>
    <n v="1315"/>
  </r>
  <r>
    <d v="2025-03-10T00:00:00"/>
    <x v="1"/>
    <n v="393"/>
    <n v="181"/>
    <n v="462142"/>
    <n v="7.2300000000000003E-2"/>
    <n v="6296"/>
    <x v="1"/>
    <x v="9"/>
    <x v="1"/>
    <n v="212"/>
  </r>
  <r>
    <d v="2025-03-17T00:00:00"/>
    <x v="1"/>
    <n v="1102"/>
    <n v="422"/>
    <n v="410330"/>
    <n v="7.7399999999999997E-2"/>
    <n v="9480"/>
    <x v="1"/>
    <x v="9"/>
    <x v="2"/>
    <n v="680"/>
  </r>
  <r>
    <d v="2025-03-24T00:00:00"/>
    <x v="1"/>
    <n v="490"/>
    <n v="29"/>
    <n v="364810"/>
    <n v="1.5300000000000001E-2"/>
    <n v="49077"/>
    <x v="1"/>
    <x v="9"/>
    <x v="3"/>
    <n v="461"/>
  </r>
  <r>
    <d v="2025-03-31T00:00:00"/>
    <x v="1"/>
    <n v="1033"/>
    <n v="392"/>
    <n v="282780"/>
    <n v="6.2699999999999992E-2"/>
    <n v="23140"/>
    <x v="1"/>
    <x v="9"/>
    <x v="4"/>
    <n v="641"/>
  </r>
  <r>
    <d v="2025-04-07T00:00:00"/>
    <x v="1"/>
    <n v="559"/>
    <n v="392"/>
    <n v="78789"/>
    <n v="3.1899999999999998E-2"/>
    <n v="2436"/>
    <x v="1"/>
    <x v="10"/>
    <x v="0"/>
    <n v="167"/>
  </r>
  <r>
    <d v="2025-04-14T00:00:00"/>
    <x v="1"/>
    <n v="198"/>
    <n v="358"/>
    <n v="66682"/>
    <n v="6.7299999999999999E-2"/>
    <n v="2293"/>
    <x v="1"/>
    <x v="10"/>
    <x v="1"/>
    <n v="-160"/>
  </r>
  <r>
    <d v="2025-04-21T00:00:00"/>
    <x v="1"/>
    <n v="961"/>
    <n v="358"/>
    <n v="62942"/>
    <n v="6.8000000000000005E-2"/>
    <n v="18693"/>
    <x v="1"/>
    <x v="10"/>
    <x v="2"/>
    <n v="603"/>
  </r>
  <r>
    <d v="2025-04-28T00:00:00"/>
    <x v="1"/>
    <n v="1693"/>
    <n v="154"/>
    <n v="445944"/>
    <n v="5.6900000000000006E-2"/>
    <n v="14216"/>
    <x v="1"/>
    <x v="10"/>
    <x v="3"/>
    <n v="1539"/>
  </r>
  <r>
    <d v="2025-05-05T00:00:00"/>
    <x v="1"/>
    <n v="1957"/>
    <n v="76"/>
    <n v="447902"/>
    <n v="6.0899999999999996E-2"/>
    <n v="33381"/>
    <x v="1"/>
    <x v="11"/>
    <x v="0"/>
    <n v="1881"/>
  </r>
  <r>
    <d v="2025-05-12T00:00:00"/>
    <x v="1"/>
    <n v="1765"/>
    <n v="109"/>
    <n v="468301"/>
    <n v="1.8200000000000001E-2"/>
    <n v="20042"/>
    <x v="1"/>
    <x v="11"/>
    <x v="1"/>
    <n v="1656"/>
  </r>
  <r>
    <d v="2024-06-03T00:00:00"/>
    <x v="2"/>
    <n v="584"/>
    <n v="169"/>
    <n v="146834"/>
    <n v="8.3100000000000007E-2"/>
    <n v="26752"/>
    <x v="0"/>
    <x v="0"/>
    <x v="0"/>
    <n v="415"/>
  </r>
  <r>
    <d v="2024-06-10T00:00:00"/>
    <x v="2"/>
    <n v="436"/>
    <n v="250"/>
    <n v="254347"/>
    <n v="4.0099999999999997E-2"/>
    <n v="8912"/>
    <x v="0"/>
    <x v="0"/>
    <x v="1"/>
    <n v="186"/>
  </r>
  <r>
    <d v="2024-06-17T00:00:00"/>
    <x v="2"/>
    <n v="1335"/>
    <n v="40"/>
    <n v="122732"/>
    <n v="8.1900000000000001E-2"/>
    <n v="22482"/>
    <x v="0"/>
    <x v="0"/>
    <x v="2"/>
    <n v="1295"/>
  </r>
  <r>
    <d v="2024-06-24T00:00:00"/>
    <x v="2"/>
    <n v="1238"/>
    <n v="403"/>
    <n v="298421"/>
    <n v="3.5000000000000003E-2"/>
    <n v="31280"/>
    <x v="0"/>
    <x v="0"/>
    <x v="3"/>
    <n v="835"/>
  </r>
  <r>
    <d v="2024-07-01T00:00:00"/>
    <x v="2"/>
    <n v="1420"/>
    <n v="63"/>
    <n v="315305"/>
    <n v="6.1900000000000004E-2"/>
    <n v="5914"/>
    <x v="0"/>
    <x v="1"/>
    <x v="0"/>
    <n v="1357"/>
  </r>
  <r>
    <d v="2024-07-08T00:00:00"/>
    <x v="2"/>
    <n v="987"/>
    <n v="440"/>
    <n v="389810"/>
    <n v="4.6600000000000003E-2"/>
    <n v="2932"/>
    <x v="0"/>
    <x v="1"/>
    <x v="1"/>
    <n v="547"/>
  </r>
  <r>
    <d v="2024-07-15T00:00:00"/>
    <x v="2"/>
    <n v="704"/>
    <n v="275"/>
    <n v="226002"/>
    <n v="8.5600000000000009E-2"/>
    <n v="32393"/>
    <x v="0"/>
    <x v="1"/>
    <x v="2"/>
    <n v="429"/>
  </r>
  <r>
    <d v="2024-07-22T00:00:00"/>
    <x v="2"/>
    <n v="1701"/>
    <n v="385"/>
    <n v="198278"/>
    <n v="5.3399999999999996E-2"/>
    <n v="32763"/>
    <x v="0"/>
    <x v="1"/>
    <x v="3"/>
    <n v="1316"/>
  </r>
  <r>
    <d v="2024-07-29T00:00:00"/>
    <x v="2"/>
    <n v="1756"/>
    <n v="261"/>
    <n v="287574"/>
    <n v="4.36E-2"/>
    <n v="39272"/>
    <x v="0"/>
    <x v="1"/>
    <x v="4"/>
    <n v="1495"/>
  </r>
  <r>
    <d v="2024-08-05T00:00:00"/>
    <x v="2"/>
    <n v="826"/>
    <n v="498"/>
    <n v="449994"/>
    <n v="9.4299999999999995E-2"/>
    <n v="12384"/>
    <x v="0"/>
    <x v="2"/>
    <x v="0"/>
    <n v="328"/>
  </r>
  <r>
    <d v="2024-08-12T00:00:00"/>
    <x v="2"/>
    <n v="485"/>
    <n v="448"/>
    <n v="434883"/>
    <n v="8.5500000000000007E-2"/>
    <n v="33258"/>
    <x v="0"/>
    <x v="2"/>
    <x v="1"/>
    <n v="37"/>
  </r>
  <r>
    <d v="2024-08-19T00:00:00"/>
    <x v="2"/>
    <n v="1751"/>
    <n v="86"/>
    <n v="188655"/>
    <n v="7.2400000000000006E-2"/>
    <n v="22206"/>
    <x v="0"/>
    <x v="2"/>
    <x v="2"/>
    <n v="1665"/>
  </r>
  <r>
    <d v="2024-08-26T00:00:00"/>
    <x v="2"/>
    <n v="1300"/>
    <n v="71"/>
    <n v="186454"/>
    <n v="3.9100000000000003E-2"/>
    <n v="9942"/>
    <x v="0"/>
    <x v="2"/>
    <x v="3"/>
    <n v="1229"/>
  </r>
  <r>
    <d v="2024-09-02T00:00:00"/>
    <x v="2"/>
    <n v="557"/>
    <n v="360"/>
    <n v="318779"/>
    <n v="8.0199999999999994E-2"/>
    <n v="25797"/>
    <x v="0"/>
    <x v="3"/>
    <x v="0"/>
    <n v="197"/>
  </r>
  <r>
    <d v="2024-09-09T00:00:00"/>
    <x v="2"/>
    <n v="751"/>
    <n v="491"/>
    <n v="434047"/>
    <n v="9.2399999999999996E-2"/>
    <n v="15476"/>
    <x v="0"/>
    <x v="3"/>
    <x v="1"/>
    <n v="260"/>
  </r>
  <r>
    <d v="2024-09-16T00:00:00"/>
    <x v="2"/>
    <n v="1472"/>
    <n v="347"/>
    <n v="392355"/>
    <n v="8.5900000000000004E-2"/>
    <n v="30270"/>
    <x v="0"/>
    <x v="3"/>
    <x v="2"/>
    <n v="1125"/>
  </r>
  <r>
    <d v="2024-09-23T00:00:00"/>
    <x v="2"/>
    <n v="1911"/>
    <n v="231"/>
    <n v="268516"/>
    <n v="8.5500000000000007E-2"/>
    <n v="24018"/>
    <x v="0"/>
    <x v="3"/>
    <x v="3"/>
    <n v="1680"/>
  </r>
  <r>
    <d v="2024-09-30T00:00:00"/>
    <x v="2"/>
    <n v="752"/>
    <n v="153"/>
    <n v="64906"/>
    <n v="2.0899999999999998E-2"/>
    <n v="12148"/>
    <x v="0"/>
    <x v="3"/>
    <x v="4"/>
    <n v="599"/>
  </r>
  <r>
    <d v="2024-10-07T00:00:00"/>
    <x v="2"/>
    <n v="437"/>
    <n v="330"/>
    <n v="476486"/>
    <n v="4.9699999999999994E-2"/>
    <n v="4509"/>
    <x v="0"/>
    <x v="4"/>
    <x v="0"/>
    <n v="107"/>
  </r>
  <r>
    <d v="2024-10-14T00:00:00"/>
    <x v="2"/>
    <n v="201"/>
    <n v="221"/>
    <n v="309772"/>
    <n v="5.9000000000000004E-2"/>
    <n v="33174"/>
    <x v="0"/>
    <x v="4"/>
    <x v="1"/>
    <n v="-20"/>
  </r>
  <r>
    <d v="2024-10-21T00:00:00"/>
    <x v="2"/>
    <n v="697"/>
    <n v="61"/>
    <n v="258287"/>
    <n v="8.2500000000000004E-2"/>
    <n v="21208"/>
    <x v="0"/>
    <x v="4"/>
    <x v="2"/>
    <n v="636"/>
  </r>
  <r>
    <d v="2024-10-28T00:00:00"/>
    <x v="2"/>
    <n v="191"/>
    <n v="154"/>
    <n v="240550"/>
    <n v="5.2199999999999996E-2"/>
    <n v="15827"/>
    <x v="0"/>
    <x v="4"/>
    <x v="3"/>
    <n v="37"/>
  </r>
  <r>
    <d v="2024-11-04T00:00:00"/>
    <x v="2"/>
    <n v="1821"/>
    <n v="218"/>
    <n v="439080"/>
    <n v="5.6799999999999996E-2"/>
    <n v="36095"/>
    <x v="0"/>
    <x v="5"/>
    <x v="0"/>
    <n v="1603"/>
  </r>
  <r>
    <d v="2024-11-11T00:00:00"/>
    <x v="2"/>
    <n v="1487"/>
    <n v="337"/>
    <n v="87305"/>
    <n v="2.46E-2"/>
    <n v="30428"/>
    <x v="0"/>
    <x v="5"/>
    <x v="1"/>
    <n v="1150"/>
  </r>
  <r>
    <d v="2024-11-18T00:00:00"/>
    <x v="2"/>
    <n v="628"/>
    <n v="183"/>
    <n v="487523"/>
    <n v="7.3200000000000001E-2"/>
    <n v="5391"/>
    <x v="0"/>
    <x v="5"/>
    <x v="2"/>
    <n v="445"/>
  </r>
  <r>
    <d v="2024-11-25T00:00:00"/>
    <x v="2"/>
    <n v="330"/>
    <n v="232"/>
    <n v="88455"/>
    <n v="2.69E-2"/>
    <n v="39530"/>
    <x v="0"/>
    <x v="5"/>
    <x v="3"/>
    <n v="98"/>
  </r>
  <r>
    <d v="2024-12-02T00:00:00"/>
    <x v="2"/>
    <n v="1441"/>
    <n v="268"/>
    <n v="309904"/>
    <n v="6.3700000000000007E-2"/>
    <n v="3455"/>
    <x v="0"/>
    <x v="6"/>
    <x v="0"/>
    <n v="1173"/>
  </r>
  <r>
    <d v="2024-12-09T00:00:00"/>
    <x v="2"/>
    <n v="1937"/>
    <n v="210"/>
    <n v="20607"/>
    <n v="4.2000000000000003E-2"/>
    <n v="20861"/>
    <x v="0"/>
    <x v="6"/>
    <x v="1"/>
    <n v="1727"/>
  </r>
  <r>
    <d v="2024-12-16T00:00:00"/>
    <x v="2"/>
    <n v="1592"/>
    <n v="233"/>
    <n v="327183"/>
    <n v="6.6600000000000006E-2"/>
    <n v="13316"/>
    <x v="0"/>
    <x v="6"/>
    <x v="2"/>
    <n v="1359"/>
  </r>
  <r>
    <d v="2024-12-23T00:00:00"/>
    <x v="2"/>
    <n v="1137"/>
    <n v="226"/>
    <n v="81119"/>
    <n v="7.7399999999999997E-2"/>
    <n v="35359"/>
    <x v="0"/>
    <x v="6"/>
    <x v="3"/>
    <n v="911"/>
  </r>
  <r>
    <d v="2024-12-30T00:00:00"/>
    <x v="2"/>
    <n v="1786"/>
    <n v="257"/>
    <n v="274831"/>
    <n v="4.6799999999999994E-2"/>
    <n v="9118"/>
    <x v="0"/>
    <x v="6"/>
    <x v="4"/>
    <n v="1529"/>
  </r>
  <r>
    <d v="2025-01-06T00:00:00"/>
    <x v="2"/>
    <n v="1633"/>
    <n v="445"/>
    <n v="371156"/>
    <n v="2.2200000000000001E-2"/>
    <n v="2798"/>
    <x v="1"/>
    <x v="7"/>
    <x v="0"/>
    <n v="1188"/>
  </r>
  <r>
    <d v="2025-01-13T00:00:00"/>
    <x v="2"/>
    <n v="118"/>
    <n v="262"/>
    <n v="487896"/>
    <n v="2.5600000000000001E-2"/>
    <n v="12350"/>
    <x v="1"/>
    <x v="7"/>
    <x v="1"/>
    <n v="-144"/>
  </r>
  <r>
    <d v="2025-01-20T00:00:00"/>
    <x v="2"/>
    <n v="1040"/>
    <n v="149"/>
    <n v="124404"/>
    <n v="5.2300000000000006E-2"/>
    <n v="45380"/>
    <x v="1"/>
    <x v="7"/>
    <x v="2"/>
    <n v="891"/>
  </r>
  <r>
    <d v="2025-01-27T00:00:00"/>
    <x v="2"/>
    <n v="1501"/>
    <n v="75"/>
    <n v="262569"/>
    <n v="2.0099999999999996E-2"/>
    <n v="19119"/>
    <x v="1"/>
    <x v="7"/>
    <x v="3"/>
    <n v="1426"/>
  </r>
  <r>
    <d v="2025-02-03T00:00:00"/>
    <x v="2"/>
    <n v="927"/>
    <n v="358"/>
    <n v="177554"/>
    <n v="6.9500000000000006E-2"/>
    <n v="48270"/>
    <x v="1"/>
    <x v="8"/>
    <x v="0"/>
    <n v="569"/>
  </r>
  <r>
    <d v="2025-02-10T00:00:00"/>
    <x v="2"/>
    <n v="1587"/>
    <n v="385"/>
    <n v="126582"/>
    <n v="6.9900000000000004E-2"/>
    <n v="42832"/>
    <x v="1"/>
    <x v="8"/>
    <x v="1"/>
    <n v="1202"/>
  </r>
  <r>
    <d v="2025-02-17T00:00:00"/>
    <x v="2"/>
    <n v="362"/>
    <n v="399"/>
    <n v="145608"/>
    <n v="7.2999999999999995E-2"/>
    <n v="37636"/>
    <x v="1"/>
    <x v="8"/>
    <x v="2"/>
    <n v="-37"/>
  </r>
  <r>
    <d v="2025-02-24T00:00:00"/>
    <x v="2"/>
    <n v="861"/>
    <n v="153"/>
    <n v="317007"/>
    <n v="3.85E-2"/>
    <n v="8718"/>
    <x v="1"/>
    <x v="8"/>
    <x v="3"/>
    <n v="708"/>
  </r>
  <r>
    <d v="2025-03-03T00:00:00"/>
    <x v="2"/>
    <n v="946"/>
    <n v="47"/>
    <n v="466575"/>
    <n v="8.3299999999999999E-2"/>
    <n v="10002"/>
    <x v="1"/>
    <x v="9"/>
    <x v="0"/>
    <n v="899"/>
  </r>
  <r>
    <d v="2025-03-10T00:00:00"/>
    <x v="2"/>
    <n v="1399"/>
    <n v="49"/>
    <n v="12471"/>
    <n v="5.1200000000000002E-2"/>
    <n v="14722"/>
    <x v="1"/>
    <x v="9"/>
    <x v="1"/>
    <n v="1350"/>
  </r>
  <r>
    <d v="2025-03-17T00:00:00"/>
    <x v="2"/>
    <n v="1077"/>
    <n v="216"/>
    <n v="12447"/>
    <n v="1.8000000000000002E-2"/>
    <n v="14068"/>
    <x v="1"/>
    <x v="9"/>
    <x v="2"/>
    <n v="861"/>
  </r>
  <r>
    <d v="2025-03-24T00:00:00"/>
    <x v="2"/>
    <n v="364"/>
    <n v="72"/>
    <n v="211090"/>
    <n v="5.5300000000000002E-2"/>
    <n v="21061"/>
    <x v="1"/>
    <x v="9"/>
    <x v="3"/>
    <n v="292"/>
  </r>
  <r>
    <d v="2025-03-31T00:00:00"/>
    <x v="2"/>
    <n v="1946"/>
    <n v="270"/>
    <n v="198350"/>
    <n v="7.4999999999999997E-2"/>
    <n v="11805"/>
    <x v="1"/>
    <x v="9"/>
    <x v="4"/>
    <n v="1676"/>
  </r>
  <r>
    <d v="2025-04-07T00:00:00"/>
    <x v="2"/>
    <n v="1432"/>
    <n v="425"/>
    <n v="29589"/>
    <n v="4.4999999999999998E-2"/>
    <n v="42964"/>
    <x v="1"/>
    <x v="10"/>
    <x v="0"/>
    <n v="1007"/>
  </r>
  <r>
    <d v="2025-04-14T00:00:00"/>
    <x v="2"/>
    <n v="353"/>
    <n v="300"/>
    <n v="142507"/>
    <n v="5.2999999999999999E-2"/>
    <n v="11035"/>
    <x v="1"/>
    <x v="10"/>
    <x v="1"/>
    <n v="53"/>
  </r>
  <r>
    <d v="2025-04-21T00:00:00"/>
    <x v="2"/>
    <n v="1147"/>
    <n v="388"/>
    <n v="333851"/>
    <n v="2.4399999999999998E-2"/>
    <n v="8471"/>
    <x v="1"/>
    <x v="10"/>
    <x v="2"/>
    <n v="759"/>
  </r>
  <r>
    <d v="2025-04-28T00:00:00"/>
    <x v="2"/>
    <n v="1222"/>
    <n v="274"/>
    <n v="487289"/>
    <n v="3.1600000000000003E-2"/>
    <n v="32500"/>
    <x v="1"/>
    <x v="10"/>
    <x v="3"/>
    <n v="948"/>
  </r>
  <r>
    <d v="2025-05-05T00:00:00"/>
    <x v="2"/>
    <n v="1581"/>
    <n v="71"/>
    <n v="484364"/>
    <n v="3.5499999999999997E-2"/>
    <n v="16149"/>
    <x v="1"/>
    <x v="11"/>
    <x v="0"/>
    <n v="1510"/>
  </r>
  <r>
    <d v="2025-05-12T00:00:00"/>
    <x v="2"/>
    <n v="337"/>
    <n v="68"/>
    <n v="456298"/>
    <n v="7.5700000000000003E-2"/>
    <n v="4007"/>
    <x v="1"/>
    <x v="11"/>
    <x v="1"/>
    <n v="269"/>
  </r>
  <r>
    <d v="2024-06-03T00:00:00"/>
    <x v="3"/>
    <n v="1535"/>
    <n v="445"/>
    <n v="395536"/>
    <n v="4.1100000000000005E-2"/>
    <n v="30671"/>
    <x v="0"/>
    <x v="0"/>
    <x v="0"/>
    <n v="1090"/>
  </r>
  <r>
    <d v="2024-06-10T00:00:00"/>
    <x v="3"/>
    <n v="1197"/>
    <n v="203"/>
    <n v="413878"/>
    <n v="3.1600000000000003E-2"/>
    <n v="21205"/>
    <x v="0"/>
    <x v="0"/>
    <x v="1"/>
    <n v="994"/>
  </r>
  <r>
    <d v="2024-06-17T00:00:00"/>
    <x v="3"/>
    <n v="403"/>
    <n v="66"/>
    <n v="382851"/>
    <n v="3.49E-2"/>
    <n v="24313"/>
    <x v="0"/>
    <x v="0"/>
    <x v="2"/>
    <n v="337"/>
  </r>
  <r>
    <d v="2024-06-24T00:00:00"/>
    <x v="3"/>
    <n v="308"/>
    <n v="431"/>
    <n v="426184"/>
    <n v="2.6200000000000001E-2"/>
    <n v="1783"/>
    <x v="0"/>
    <x v="0"/>
    <x v="3"/>
    <n v="-123"/>
  </r>
  <r>
    <d v="2024-07-01T00:00:00"/>
    <x v="3"/>
    <n v="144"/>
    <n v="53"/>
    <n v="113678"/>
    <n v="8.72E-2"/>
    <n v="30060"/>
    <x v="0"/>
    <x v="1"/>
    <x v="0"/>
    <n v="91"/>
  </r>
  <r>
    <d v="2024-07-08T00:00:00"/>
    <x v="3"/>
    <n v="883"/>
    <n v="369"/>
    <n v="233694"/>
    <n v="2.8799999999999999E-2"/>
    <n v="15071"/>
    <x v="0"/>
    <x v="1"/>
    <x v="1"/>
    <n v="514"/>
  </r>
  <r>
    <d v="2024-07-15T00:00:00"/>
    <x v="3"/>
    <n v="224"/>
    <n v="64"/>
    <n v="156683"/>
    <n v="4.5599999999999995E-2"/>
    <n v="28474"/>
    <x v="0"/>
    <x v="1"/>
    <x v="2"/>
    <n v="160"/>
  </r>
  <r>
    <d v="2024-07-22T00:00:00"/>
    <x v="3"/>
    <n v="804"/>
    <n v="487"/>
    <n v="306564"/>
    <n v="5.5199999999999999E-2"/>
    <n v="26452"/>
    <x v="0"/>
    <x v="1"/>
    <x v="3"/>
    <n v="317"/>
  </r>
  <r>
    <d v="2024-07-29T00:00:00"/>
    <x v="3"/>
    <n v="576"/>
    <n v="101"/>
    <n v="62499"/>
    <n v="3.4799999999999998E-2"/>
    <n v="16804"/>
    <x v="0"/>
    <x v="1"/>
    <x v="4"/>
    <n v="475"/>
  </r>
  <r>
    <d v="2024-08-05T00:00:00"/>
    <x v="3"/>
    <n v="460"/>
    <n v="141"/>
    <n v="320650"/>
    <n v="4.0399999999999998E-2"/>
    <n v="49372"/>
    <x v="0"/>
    <x v="2"/>
    <x v="0"/>
    <n v="319"/>
  </r>
  <r>
    <d v="2024-08-12T00:00:00"/>
    <x v="3"/>
    <n v="1210"/>
    <n v="178"/>
    <n v="102042"/>
    <n v="5.4199999999999998E-2"/>
    <n v="6915"/>
    <x v="0"/>
    <x v="2"/>
    <x v="1"/>
    <n v="1032"/>
  </r>
  <r>
    <d v="2024-08-19T00:00:00"/>
    <x v="3"/>
    <n v="221"/>
    <n v="31"/>
    <n v="87443"/>
    <n v="6.1900000000000004E-2"/>
    <n v="10283"/>
    <x v="0"/>
    <x v="2"/>
    <x v="2"/>
    <n v="190"/>
  </r>
  <r>
    <d v="2024-08-26T00:00:00"/>
    <x v="3"/>
    <n v="422"/>
    <n v="394"/>
    <n v="239044"/>
    <n v="7.8299999999999995E-2"/>
    <n v="32929"/>
    <x v="0"/>
    <x v="2"/>
    <x v="3"/>
    <n v="28"/>
  </r>
  <r>
    <d v="2024-09-02T00:00:00"/>
    <x v="3"/>
    <n v="728"/>
    <n v="395"/>
    <n v="370971"/>
    <n v="3.8599999999999995E-2"/>
    <n v="12646"/>
    <x v="0"/>
    <x v="3"/>
    <x v="0"/>
    <n v="333"/>
  </r>
  <r>
    <d v="2024-09-09T00:00:00"/>
    <x v="3"/>
    <n v="1409"/>
    <n v="309"/>
    <n v="64583"/>
    <n v="8.9900000000000008E-2"/>
    <n v="10217"/>
    <x v="0"/>
    <x v="3"/>
    <x v="1"/>
    <n v="1100"/>
  </r>
  <r>
    <d v="2024-09-16T00:00:00"/>
    <x v="3"/>
    <n v="123"/>
    <n v="155"/>
    <n v="119934"/>
    <n v="3.5000000000000003E-2"/>
    <n v="5442"/>
    <x v="0"/>
    <x v="3"/>
    <x v="2"/>
    <n v="-32"/>
  </r>
  <r>
    <d v="2024-09-23T00:00:00"/>
    <x v="3"/>
    <n v="1218"/>
    <n v="212"/>
    <n v="63177"/>
    <n v="8.1300000000000011E-2"/>
    <n v="38883"/>
    <x v="0"/>
    <x v="3"/>
    <x v="3"/>
    <n v="1006"/>
  </r>
  <r>
    <d v="2024-09-30T00:00:00"/>
    <x v="3"/>
    <n v="1918"/>
    <n v="212"/>
    <n v="94360"/>
    <n v="7.3599999999999999E-2"/>
    <n v="36851"/>
    <x v="0"/>
    <x v="3"/>
    <x v="4"/>
    <n v="1706"/>
  </r>
  <r>
    <d v="2024-10-07T00:00:00"/>
    <x v="3"/>
    <n v="307"/>
    <n v="189"/>
    <n v="117767"/>
    <n v="9.3000000000000013E-2"/>
    <n v="27822"/>
    <x v="0"/>
    <x v="4"/>
    <x v="0"/>
    <n v="118"/>
  </r>
  <r>
    <d v="2024-10-14T00:00:00"/>
    <x v="3"/>
    <n v="414"/>
    <n v="47"/>
    <n v="199178"/>
    <n v="1.5300000000000001E-2"/>
    <n v="6742"/>
    <x v="0"/>
    <x v="4"/>
    <x v="1"/>
    <n v="367"/>
  </r>
  <r>
    <d v="2024-10-21T00:00:00"/>
    <x v="3"/>
    <n v="1707"/>
    <n v="223"/>
    <n v="256910"/>
    <n v="5.4100000000000002E-2"/>
    <n v="44321"/>
    <x v="0"/>
    <x v="4"/>
    <x v="2"/>
    <n v="1484"/>
  </r>
  <r>
    <d v="2024-10-28T00:00:00"/>
    <x v="3"/>
    <n v="1814"/>
    <n v="157"/>
    <n v="305827"/>
    <n v="1.9900000000000001E-2"/>
    <n v="46643"/>
    <x v="0"/>
    <x v="4"/>
    <x v="3"/>
    <n v="1657"/>
  </r>
  <r>
    <d v="2024-11-04T00:00:00"/>
    <x v="3"/>
    <n v="1507"/>
    <n v="463"/>
    <n v="258944"/>
    <n v="6.08E-2"/>
    <n v="16443"/>
    <x v="0"/>
    <x v="5"/>
    <x v="0"/>
    <n v="1044"/>
  </r>
  <r>
    <d v="2024-11-11T00:00:00"/>
    <x v="3"/>
    <n v="454"/>
    <n v="105"/>
    <n v="121091"/>
    <n v="7.9699999999999993E-2"/>
    <n v="9269"/>
    <x v="0"/>
    <x v="5"/>
    <x v="1"/>
    <n v="349"/>
  </r>
  <r>
    <d v="2024-11-18T00:00:00"/>
    <x v="3"/>
    <n v="278"/>
    <n v="218"/>
    <n v="301695"/>
    <n v="4.6799999999999994E-2"/>
    <n v="22373"/>
    <x v="0"/>
    <x v="5"/>
    <x v="2"/>
    <n v="60"/>
  </r>
  <r>
    <d v="2024-11-25T00:00:00"/>
    <x v="3"/>
    <n v="1293"/>
    <n v="408"/>
    <n v="62535"/>
    <n v="8.900000000000001E-2"/>
    <n v="37876"/>
    <x v="0"/>
    <x v="5"/>
    <x v="3"/>
    <n v="885"/>
  </r>
  <r>
    <d v="2024-12-02T00:00:00"/>
    <x v="3"/>
    <n v="452"/>
    <n v="161"/>
    <n v="221274"/>
    <n v="2.6499999999999999E-2"/>
    <n v="40888"/>
    <x v="0"/>
    <x v="6"/>
    <x v="0"/>
    <n v="291"/>
  </r>
  <r>
    <d v="2024-12-09T00:00:00"/>
    <x v="3"/>
    <n v="736"/>
    <n v="163"/>
    <n v="451894"/>
    <n v="5.4299999999999994E-2"/>
    <n v="46625"/>
    <x v="0"/>
    <x v="6"/>
    <x v="1"/>
    <n v="573"/>
  </r>
  <r>
    <d v="2024-12-16T00:00:00"/>
    <x v="3"/>
    <n v="1004"/>
    <n v="128"/>
    <n v="488901"/>
    <n v="8.09E-2"/>
    <n v="49558"/>
    <x v="0"/>
    <x v="6"/>
    <x v="2"/>
    <n v="876"/>
  </r>
  <r>
    <d v="2024-12-23T00:00:00"/>
    <x v="3"/>
    <n v="1900"/>
    <n v="311"/>
    <n v="25177"/>
    <n v="2.8900000000000002E-2"/>
    <n v="14154"/>
    <x v="0"/>
    <x v="6"/>
    <x v="3"/>
    <n v="1589"/>
  </r>
  <r>
    <d v="2024-12-30T00:00:00"/>
    <x v="3"/>
    <n v="1495"/>
    <n v="35"/>
    <n v="136845"/>
    <n v="4.4800000000000006E-2"/>
    <n v="39931"/>
    <x v="0"/>
    <x v="6"/>
    <x v="4"/>
    <n v="1460"/>
  </r>
  <r>
    <d v="2025-01-06T00:00:00"/>
    <x v="3"/>
    <n v="891"/>
    <n v="45"/>
    <n v="95410"/>
    <n v="8.3299999999999999E-2"/>
    <n v="15045"/>
    <x v="1"/>
    <x v="7"/>
    <x v="0"/>
    <n v="846"/>
  </r>
  <r>
    <d v="2025-01-13T00:00:00"/>
    <x v="3"/>
    <n v="1331"/>
    <n v="430"/>
    <n v="14437"/>
    <n v="3.2899999999999999E-2"/>
    <n v="40868"/>
    <x v="1"/>
    <x v="7"/>
    <x v="1"/>
    <n v="901"/>
  </r>
  <r>
    <d v="2025-01-20T00:00:00"/>
    <x v="3"/>
    <n v="1166"/>
    <n v="442"/>
    <n v="336949"/>
    <n v="4.6799999999999994E-2"/>
    <n v="7705"/>
    <x v="1"/>
    <x v="7"/>
    <x v="2"/>
    <n v="724"/>
  </r>
  <r>
    <d v="2025-01-27T00:00:00"/>
    <x v="3"/>
    <n v="1411"/>
    <n v="186"/>
    <n v="461669"/>
    <n v="3.7200000000000004E-2"/>
    <n v="43999"/>
    <x v="1"/>
    <x v="7"/>
    <x v="3"/>
    <n v="1225"/>
  </r>
  <r>
    <d v="2025-02-03T00:00:00"/>
    <x v="3"/>
    <n v="152"/>
    <n v="355"/>
    <n v="270766"/>
    <n v="9.4800000000000009E-2"/>
    <n v="18001"/>
    <x v="1"/>
    <x v="8"/>
    <x v="0"/>
    <n v="-203"/>
  </r>
  <r>
    <d v="2025-02-10T00:00:00"/>
    <x v="3"/>
    <n v="1707"/>
    <n v="263"/>
    <n v="485280"/>
    <n v="9.0299999999999991E-2"/>
    <n v="24494"/>
    <x v="1"/>
    <x v="8"/>
    <x v="1"/>
    <n v="1444"/>
  </r>
  <r>
    <d v="2025-02-17T00:00:00"/>
    <x v="3"/>
    <n v="1662"/>
    <n v="487"/>
    <n v="105980"/>
    <n v="9.0800000000000006E-2"/>
    <n v="22996"/>
    <x v="1"/>
    <x v="8"/>
    <x v="2"/>
    <n v="1175"/>
  </r>
  <r>
    <d v="2025-02-24T00:00:00"/>
    <x v="3"/>
    <n v="1063"/>
    <n v="47"/>
    <n v="464239"/>
    <n v="6.5799999999999997E-2"/>
    <n v="39031"/>
    <x v="1"/>
    <x v="8"/>
    <x v="3"/>
    <n v="1016"/>
  </r>
  <r>
    <d v="2025-03-03T00:00:00"/>
    <x v="3"/>
    <n v="510"/>
    <n v="195"/>
    <n v="224534"/>
    <n v="9.4E-2"/>
    <n v="30987"/>
    <x v="1"/>
    <x v="9"/>
    <x v="0"/>
    <n v="315"/>
  </r>
  <r>
    <d v="2025-03-10T00:00:00"/>
    <x v="3"/>
    <n v="1658"/>
    <n v="416"/>
    <n v="98397"/>
    <n v="6.1100000000000002E-2"/>
    <n v="11383"/>
    <x v="1"/>
    <x v="9"/>
    <x v="1"/>
    <n v="1242"/>
  </r>
  <r>
    <d v="2025-03-17T00:00:00"/>
    <x v="3"/>
    <n v="1596"/>
    <n v="211"/>
    <n v="17380"/>
    <n v="8.6400000000000005E-2"/>
    <n v="35801"/>
    <x v="1"/>
    <x v="9"/>
    <x v="2"/>
    <n v="1385"/>
  </r>
  <r>
    <d v="2025-03-24T00:00:00"/>
    <x v="3"/>
    <n v="442"/>
    <n v="53"/>
    <n v="441931"/>
    <n v="1.8700000000000001E-2"/>
    <n v="20059"/>
    <x v="1"/>
    <x v="9"/>
    <x v="3"/>
    <n v="389"/>
  </r>
  <r>
    <d v="2025-03-31T00:00:00"/>
    <x v="3"/>
    <n v="1957"/>
    <n v="490"/>
    <n v="435726"/>
    <n v="4.7300000000000002E-2"/>
    <n v="15969"/>
    <x v="1"/>
    <x v="9"/>
    <x v="4"/>
    <n v="1467"/>
  </r>
  <r>
    <d v="2025-04-07T00:00:00"/>
    <x v="3"/>
    <n v="623"/>
    <n v="414"/>
    <n v="290354"/>
    <n v="6.4899999999999999E-2"/>
    <n v="39923"/>
    <x v="1"/>
    <x v="10"/>
    <x v="0"/>
    <n v="209"/>
  </r>
  <r>
    <d v="2025-04-14T00:00:00"/>
    <x v="3"/>
    <n v="520"/>
    <n v="375"/>
    <n v="369525"/>
    <n v="6.54E-2"/>
    <n v="20733"/>
    <x v="1"/>
    <x v="10"/>
    <x v="1"/>
    <n v="145"/>
  </r>
  <r>
    <d v="2025-04-21T00:00:00"/>
    <x v="3"/>
    <n v="1707"/>
    <n v="74"/>
    <n v="270958"/>
    <n v="3.0899999999999997E-2"/>
    <n v="14090"/>
    <x v="1"/>
    <x v="10"/>
    <x v="2"/>
    <n v="1633"/>
  </r>
  <r>
    <d v="2025-04-28T00:00:00"/>
    <x v="3"/>
    <n v="777"/>
    <n v="140"/>
    <n v="11435"/>
    <n v="1.6E-2"/>
    <n v="6832"/>
    <x v="1"/>
    <x v="10"/>
    <x v="3"/>
    <n v="637"/>
  </r>
  <r>
    <d v="2025-05-05T00:00:00"/>
    <x v="3"/>
    <n v="1035"/>
    <n v="171"/>
    <n v="148477"/>
    <n v="5.21E-2"/>
    <n v="7541"/>
    <x v="1"/>
    <x v="11"/>
    <x v="0"/>
    <n v="864"/>
  </r>
  <r>
    <d v="2025-05-12T00:00:00"/>
    <x v="3"/>
    <n v="119"/>
    <n v="456"/>
    <n v="82558"/>
    <n v="6.8099999999999994E-2"/>
    <n v="12174"/>
    <x v="1"/>
    <x v="11"/>
    <x v="1"/>
    <n v="-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42654"/>
    <x v="0"/>
    <x v="0"/>
    <x v="0"/>
  </r>
  <r>
    <n v="316555"/>
    <x v="0"/>
    <x v="0"/>
    <x v="1"/>
  </r>
  <r>
    <n v="169496"/>
    <x v="0"/>
    <x v="0"/>
    <x v="2"/>
  </r>
  <r>
    <n v="26295"/>
    <x v="0"/>
    <x v="0"/>
    <x v="3"/>
  </r>
  <r>
    <n v="220020"/>
    <x v="0"/>
    <x v="1"/>
    <x v="0"/>
  </r>
  <r>
    <n v="251694"/>
    <x v="0"/>
    <x v="1"/>
    <x v="1"/>
  </r>
  <r>
    <n v="334626"/>
    <x v="0"/>
    <x v="1"/>
    <x v="2"/>
  </r>
  <r>
    <n v="295032"/>
    <x v="0"/>
    <x v="1"/>
    <x v="3"/>
  </r>
  <r>
    <n v="435034"/>
    <x v="0"/>
    <x v="1"/>
    <x v="4"/>
  </r>
  <r>
    <n v="125034"/>
    <x v="0"/>
    <x v="2"/>
    <x v="0"/>
  </r>
  <r>
    <n v="307612"/>
    <x v="0"/>
    <x v="2"/>
    <x v="1"/>
  </r>
  <r>
    <n v="183924"/>
    <x v="0"/>
    <x v="2"/>
    <x v="2"/>
  </r>
  <r>
    <n v="379380"/>
    <x v="0"/>
    <x v="2"/>
    <x v="3"/>
  </r>
  <r>
    <n v="496982"/>
    <x v="0"/>
    <x v="3"/>
    <x v="0"/>
  </r>
  <r>
    <n v="307524"/>
    <x v="0"/>
    <x v="3"/>
    <x v="1"/>
  </r>
  <r>
    <n v="474162"/>
    <x v="0"/>
    <x v="3"/>
    <x v="2"/>
  </r>
  <r>
    <n v="239753"/>
    <x v="0"/>
    <x v="3"/>
    <x v="3"/>
  </r>
  <r>
    <n v="453423"/>
    <x v="0"/>
    <x v="3"/>
    <x v="4"/>
  </r>
  <r>
    <n v="379363"/>
    <x v="0"/>
    <x v="4"/>
    <x v="0"/>
  </r>
  <r>
    <n v="157599"/>
    <x v="0"/>
    <x v="4"/>
    <x v="1"/>
  </r>
  <r>
    <n v="23492"/>
    <x v="0"/>
    <x v="4"/>
    <x v="2"/>
  </r>
  <r>
    <n v="209987"/>
    <x v="0"/>
    <x v="4"/>
    <x v="3"/>
  </r>
  <r>
    <n v="319186"/>
    <x v="0"/>
    <x v="5"/>
    <x v="0"/>
  </r>
  <r>
    <n v="309483"/>
    <x v="0"/>
    <x v="5"/>
    <x v="1"/>
  </r>
  <r>
    <n v="338847"/>
    <x v="0"/>
    <x v="5"/>
    <x v="2"/>
  </r>
  <r>
    <n v="336661"/>
    <x v="0"/>
    <x v="5"/>
    <x v="3"/>
  </r>
  <r>
    <n v="470269"/>
    <x v="0"/>
    <x v="6"/>
    <x v="0"/>
  </r>
  <r>
    <n v="35842"/>
    <x v="0"/>
    <x v="6"/>
    <x v="1"/>
  </r>
  <r>
    <n v="415815"/>
    <x v="0"/>
    <x v="6"/>
    <x v="2"/>
  </r>
  <r>
    <n v="93347"/>
    <x v="0"/>
    <x v="6"/>
    <x v="3"/>
  </r>
  <r>
    <n v="379431"/>
    <x v="0"/>
    <x v="6"/>
    <x v="4"/>
  </r>
  <r>
    <n v="95728"/>
    <x v="1"/>
    <x v="7"/>
    <x v="0"/>
  </r>
  <r>
    <n v="224699"/>
    <x v="1"/>
    <x v="7"/>
    <x v="1"/>
  </r>
  <r>
    <n v="479490"/>
    <x v="1"/>
    <x v="7"/>
    <x v="2"/>
  </r>
  <r>
    <n v="321307"/>
    <x v="1"/>
    <x v="7"/>
    <x v="3"/>
  </r>
  <r>
    <n v="135987"/>
    <x v="1"/>
    <x v="8"/>
    <x v="0"/>
  </r>
  <r>
    <n v="309914"/>
    <x v="1"/>
    <x v="8"/>
    <x v="1"/>
  </r>
  <r>
    <n v="104967"/>
    <x v="1"/>
    <x v="8"/>
    <x v="2"/>
  </r>
  <r>
    <n v="230448"/>
    <x v="1"/>
    <x v="8"/>
    <x v="3"/>
  </r>
  <r>
    <n v="366881"/>
    <x v="1"/>
    <x v="9"/>
    <x v="0"/>
  </r>
  <r>
    <n v="340842"/>
    <x v="1"/>
    <x v="9"/>
    <x v="1"/>
  </r>
  <r>
    <n v="342129"/>
    <x v="1"/>
    <x v="9"/>
    <x v="2"/>
  </r>
  <r>
    <n v="373606"/>
    <x v="1"/>
    <x v="9"/>
    <x v="3"/>
  </r>
  <r>
    <n v="370070"/>
    <x v="1"/>
    <x v="9"/>
    <x v="4"/>
  </r>
  <r>
    <n v="98596"/>
    <x v="1"/>
    <x v="10"/>
    <x v="0"/>
  </r>
  <r>
    <n v="70707"/>
    <x v="1"/>
    <x v="10"/>
    <x v="1"/>
  </r>
  <r>
    <n v="377382"/>
    <x v="1"/>
    <x v="10"/>
    <x v="2"/>
  </r>
  <r>
    <n v="224830"/>
    <x v="1"/>
    <x v="10"/>
    <x v="3"/>
  </r>
  <r>
    <n v="418696"/>
    <x v="1"/>
    <x v="11"/>
    <x v="0"/>
  </r>
  <r>
    <n v="364820"/>
    <x v="1"/>
    <x v="11"/>
    <x v="1"/>
  </r>
  <r>
    <n v="344084"/>
    <x v="0"/>
    <x v="0"/>
    <x v="0"/>
  </r>
  <r>
    <n v="49157"/>
    <x v="0"/>
    <x v="0"/>
    <x v="1"/>
  </r>
  <r>
    <n v="456946"/>
    <x v="0"/>
    <x v="0"/>
    <x v="2"/>
  </r>
  <r>
    <n v="35664"/>
    <x v="0"/>
    <x v="0"/>
    <x v="3"/>
  </r>
  <r>
    <n v="419447"/>
    <x v="0"/>
    <x v="1"/>
    <x v="0"/>
  </r>
  <r>
    <n v="58223"/>
    <x v="0"/>
    <x v="1"/>
    <x v="1"/>
  </r>
  <r>
    <n v="154169"/>
    <x v="0"/>
    <x v="1"/>
    <x v="2"/>
  </r>
  <r>
    <n v="473812"/>
    <x v="0"/>
    <x v="1"/>
    <x v="3"/>
  </r>
  <r>
    <n v="23664"/>
    <x v="0"/>
    <x v="1"/>
    <x v="4"/>
  </r>
  <r>
    <n v="437968"/>
    <x v="0"/>
    <x v="2"/>
    <x v="0"/>
  </r>
  <r>
    <n v="489188"/>
    <x v="0"/>
    <x v="2"/>
    <x v="1"/>
  </r>
  <r>
    <n v="325444"/>
    <x v="0"/>
    <x v="2"/>
    <x v="2"/>
  </r>
  <r>
    <n v="453799"/>
    <x v="0"/>
    <x v="2"/>
    <x v="3"/>
  </r>
  <r>
    <n v="101332"/>
    <x v="0"/>
    <x v="3"/>
    <x v="0"/>
  </r>
  <r>
    <n v="378054"/>
    <x v="0"/>
    <x v="3"/>
    <x v="1"/>
  </r>
  <r>
    <n v="50793"/>
    <x v="0"/>
    <x v="3"/>
    <x v="2"/>
  </r>
  <r>
    <n v="422625"/>
    <x v="0"/>
    <x v="3"/>
    <x v="3"/>
  </r>
  <r>
    <n v="370269"/>
    <x v="0"/>
    <x v="3"/>
    <x v="4"/>
  </r>
  <r>
    <n v="187183"/>
    <x v="0"/>
    <x v="4"/>
    <x v="0"/>
  </r>
  <r>
    <n v="388555"/>
    <x v="0"/>
    <x v="4"/>
    <x v="1"/>
  </r>
  <r>
    <n v="357089"/>
    <x v="0"/>
    <x v="4"/>
    <x v="2"/>
  </r>
  <r>
    <n v="346522"/>
    <x v="0"/>
    <x v="4"/>
    <x v="3"/>
  </r>
  <r>
    <n v="54935"/>
    <x v="0"/>
    <x v="5"/>
    <x v="0"/>
  </r>
  <r>
    <n v="51395"/>
    <x v="0"/>
    <x v="5"/>
    <x v="1"/>
  </r>
  <r>
    <n v="51087"/>
    <x v="0"/>
    <x v="5"/>
    <x v="2"/>
  </r>
  <r>
    <n v="282466"/>
    <x v="0"/>
    <x v="5"/>
    <x v="3"/>
  </r>
  <r>
    <n v="421957"/>
    <x v="0"/>
    <x v="6"/>
    <x v="0"/>
  </r>
  <r>
    <n v="220616"/>
    <x v="0"/>
    <x v="6"/>
    <x v="1"/>
  </r>
  <r>
    <n v="465553"/>
    <x v="0"/>
    <x v="6"/>
    <x v="2"/>
  </r>
  <r>
    <n v="280795"/>
    <x v="0"/>
    <x v="6"/>
    <x v="3"/>
  </r>
  <r>
    <n v="140804"/>
    <x v="0"/>
    <x v="6"/>
    <x v="4"/>
  </r>
  <r>
    <n v="466382"/>
    <x v="1"/>
    <x v="7"/>
    <x v="0"/>
  </r>
  <r>
    <n v="349413"/>
    <x v="1"/>
    <x v="7"/>
    <x v="1"/>
  </r>
  <r>
    <n v="383681"/>
    <x v="1"/>
    <x v="7"/>
    <x v="2"/>
  </r>
  <r>
    <n v="357265"/>
    <x v="1"/>
    <x v="7"/>
    <x v="3"/>
  </r>
  <r>
    <n v="351556"/>
    <x v="1"/>
    <x v="8"/>
    <x v="0"/>
  </r>
  <r>
    <n v="222126"/>
    <x v="1"/>
    <x v="8"/>
    <x v="1"/>
  </r>
  <r>
    <n v="453243"/>
    <x v="1"/>
    <x v="8"/>
    <x v="2"/>
  </r>
  <r>
    <n v="126524"/>
    <x v="1"/>
    <x v="8"/>
    <x v="3"/>
  </r>
  <r>
    <n v="257579"/>
    <x v="1"/>
    <x v="9"/>
    <x v="0"/>
  </r>
  <r>
    <n v="462142"/>
    <x v="1"/>
    <x v="9"/>
    <x v="1"/>
  </r>
  <r>
    <n v="410330"/>
    <x v="1"/>
    <x v="9"/>
    <x v="2"/>
  </r>
  <r>
    <n v="364810"/>
    <x v="1"/>
    <x v="9"/>
    <x v="3"/>
  </r>
  <r>
    <n v="282780"/>
    <x v="1"/>
    <x v="9"/>
    <x v="4"/>
  </r>
  <r>
    <n v="78789"/>
    <x v="1"/>
    <x v="10"/>
    <x v="0"/>
  </r>
  <r>
    <n v="66682"/>
    <x v="1"/>
    <x v="10"/>
    <x v="1"/>
  </r>
  <r>
    <n v="62942"/>
    <x v="1"/>
    <x v="10"/>
    <x v="2"/>
  </r>
  <r>
    <n v="445944"/>
    <x v="1"/>
    <x v="10"/>
    <x v="3"/>
  </r>
  <r>
    <n v="447902"/>
    <x v="1"/>
    <x v="11"/>
    <x v="0"/>
  </r>
  <r>
    <n v="468301"/>
    <x v="1"/>
    <x v="11"/>
    <x v="1"/>
  </r>
  <r>
    <n v="146834"/>
    <x v="0"/>
    <x v="0"/>
    <x v="0"/>
  </r>
  <r>
    <n v="254347"/>
    <x v="0"/>
    <x v="0"/>
    <x v="1"/>
  </r>
  <r>
    <n v="122732"/>
    <x v="0"/>
    <x v="0"/>
    <x v="2"/>
  </r>
  <r>
    <n v="298421"/>
    <x v="0"/>
    <x v="0"/>
    <x v="3"/>
  </r>
  <r>
    <n v="315305"/>
    <x v="0"/>
    <x v="1"/>
    <x v="0"/>
  </r>
  <r>
    <n v="389810"/>
    <x v="0"/>
    <x v="1"/>
    <x v="1"/>
  </r>
  <r>
    <n v="226002"/>
    <x v="0"/>
    <x v="1"/>
    <x v="2"/>
  </r>
  <r>
    <n v="198278"/>
    <x v="0"/>
    <x v="1"/>
    <x v="3"/>
  </r>
  <r>
    <n v="287574"/>
    <x v="0"/>
    <x v="1"/>
    <x v="4"/>
  </r>
  <r>
    <n v="449994"/>
    <x v="0"/>
    <x v="2"/>
    <x v="0"/>
  </r>
  <r>
    <n v="434883"/>
    <x v="0"/>
    <x v="2"/>
    <x v="1"/>
  </r>
  <r>
    <n v="188655"/>
    <x v="0"/>
    <x v="2"/>
    <x v="2"/>
  </r>
  <r>
    <n v="186454"/>
    <x v="0"/>
    <x v="2"/>
    <x v="3"/>
  </r>
  <r>
    <n v="318779"/>
    <x v="0"/>
    <x v="3"/>
    <x v="0"/>
  </r>
  <r>
    <n v="434047"/>
    <x v="0"/>
    <x v="3"/>
    <x v="1"/>
  </r>
  <r>
    <n v="392355"/>
    <x v="0"/>
    <x v="3"/>
    <x v="2"/>
  </r>
  <r>
    <n v="268516"/>
    <x v="0"/>
    <x v="3"/>
    <x v="3"/>
  </r>
  <r>
    <n v="64906"/>
    <x v="0"/>
    <x v="3"/>
    <x v="4"/>
  </r>
  <r>
    <n v="476486"/>
    <x v="0"/>
    <x v="4"/>
    <x v="0"/>
  </r>
  <r>
    <n v="309772"/>
    <x v="0"/>
    <x v="4"/>
    <x v="1"/>
  </r>
  <r>
    <n v="258287"/>
    <x v="0"/>
    <x v="4"/>
    <x v="2"/>
  </r>
  <r>
    <n v="240550"/>
    <x v="0"/>
    <x v="4"/>
    <x v="3"/>
  </r>
  <r>
    <n v="439080"/>
    <x v="0"/>
    <x v="5"/>
    <x v="0"/>
  </r>
  <r>
    <n v="87305"/>
    <x v="0"/>
    <x v="5"/>
    <x v="1"/>
  </r>
  <r>
    <n v="487523"/>
    <x v="0"/>
    <x v="5"/>
    <x v="2"/>
  </r>
  <r>
    <n v="88455"/>
    <x v="0"/>
    <x v="5"/>
    <x v="3"/>
  </r>
  <r>
    <n v="309904"/>
    <x v="0"/>
    <x v="6"/>
    <x v="0"/>
  </r>
  <r>
    <n v="20607"/>
    <x v="0"/>
    <x v="6"/>
    <x v="1"/>
  </r>
  <r>
    <n v="327183"/>
    <x v="0"/>
    <x v="6"/>
    <x v="2"/>
  </r>
  <r>
    <n v="81119"/>
    <x v="0"/>
    <x v="6"/>
    <x v="3"/>
  </r>
  <r>
    <n v="274831"/>
    <x v="0"/>
    <x v="6"/>
    <x v="4"/>
  </r>
  <r>
    <n v="371156"/>
    <x v="1"/>
    <x v="7"/>
    <x v="0"/>
  </r>
  <r>
    <n v="487896"/>
    <x v="1"/>
    <x v="7"/>
    <x v="1"/>
  </r>
  <r>
    <n v="124404"/>
    <x v="1"/>
    <x v="7"/>
    <x v="2"/>
  </r>
  <r>
    <n v="262569"/>
    <x v="1"/>
    <x v="7"/>
    <x v="3"/>
  </r>
  <r>
    <n v="177554"/>
    <x v="1"/>
    <x v="8"/>
    <x v="0"/>
  </r>
  <r>
    <n v="126582"/>
    <x v="1"/>
    <x v="8"/>
    <x v="1"/>
  </r>
  <r>
    <n v="145608"/>
    <x v="1"/>
    <x v="8"/>
    <x v="2"/>
  </r>
  <r>
    <n v="317007"/>
    <x v="1"/>
    <x v="8"/>
    <x v="3"/>
  </r>
  <r>
    <n v="466575"/>
    <x v="1"/>
    <x v="9"/>
    <x v="0"/>
  </r>
  <r>
    <n v="12471"/>
    <x v="1"/>
    <x v="9"/>
    <x v="1"/>
  </r>
  <r>
    <n v="12447"/>
    <x v="1"/>
    <x v="9"/>
    <x v="2"/>
  </r>
  <r>
    <n v="211090"/>
    <x v="1"/>
    <x v="9"/>
    <x v="3"/>
  </r>
  <r>
    <n v="198350"/>
    <x v="1"/>
    <x v="9"/>
    <x v="4"/>
  </r>
  <r>
    <n v="29589"/>
    <x v="1"/>
    <x v="10"/>
    <x v="0"/>
  </r>
  <r>
    <n v="142507"/>
    <x v="1"/>
    <x v="10"/>
    <x v="1"/>
  </r>
  <r>
    <n v="333851"/>
    <x v="1"/>
    <x v="10"/>
    <x v="2"/>
  </r>
  <r>
    <n v="487289"/>
    <x v="1"/>
    <x v="10"/>
    <x v="3"/>
  </r>
  <r>
    <n v="484364"/>
    <x v="1"/>
    <x v="11"/>
    <x v="0"/>
  </r>
  <r>
    <n v="456298"/>
    <x v="1"/>
    <x v="11"/>
    <x v="1"/>
  </r>
  <r>
    <n v="395536"/>
    <x v="0"/>
    <x v="0"/>
    <x v="0"/>
  </r>
  <r>
    <n v="413878"/>
    <x v="0"/>
    <x v="0"/>
    <x v="1"/>
  </r>
  <r>
    <n v="382851"/>
    <x v="0"/>
    <x v="0"/>
    <x v="2"/>
  </r>
  <r>
    <n v="426184"/>
    <x v="0"/>
    <x v="0"/>
    <x v="3"/>
  </r>
  <r>
    <n v="113678"/>
    <x v="0"/>
    <x v="1"/>
    <x v="0"/>
  </r>
  <r>
    <n v="233694"/>
    <x v="0"/>
    <x v="1"/>
    <x v="1"/>
  </r>
  <r>
    <n v="156683"/>
    <x v="0"/>
    <x v="1"/>
    <x v="2"/>
  </r>
  <r>
    <n v="306564"/>
    <x v="0"/>
    <x v="1"/>
    <x v="3"/>
  </r>
  <r>
    <n v="62499"/>
    <x v="0"/>
    <x v="1"/>
    <x v="4"/>
  </r>
  <r>
    <n v="320650"/>
    <x v="0"/>
    <x v="2"/>
    <x v="0"/>
  </r>
  <r>
    <n v="102042"/>
    <x v="0"/>
    <x v="2"/>
    <x v="1"/>
  </r>
  <r>
    <n v="87443"/>
    <x v="0"/>
    <x v="2"/>
    <x v="2"/>
  </r>
  <r>
    <n v="239044"/>
    <x v="0"/>
    <x v="2"/>
    <x v="3"/>
  </r>
  <r>
    <n v="370971"/>
    <x v="0"/>
    <x v="3"/>
    <x v="0"/>
  </r>
  <r>
    <n v="64583"/>
    <x v="0"/>
    <x v="3"/>
    <x v="1"/>
  </r>
  <r>
    <n v="119934"/>
    <x v="0"/>
    <x v="3"/>
    <x v="2"/>
  </r>
  <r>
    <n v="63177"/>
    <x v="0"/>
    <x v="3"/>
    <x v="3"/>
  </r>
  <r>
    <n v="94360"/>
    <x v="0"/>
    <x v="3"/>
    <x v="4"/>
  </r>
  <r>
    <n v="117767"/>
    <x v="0"/>
    <x v="4"/>
    <x v="0"/>
  </r>
  <r>
    <n v="199178"/>
    <x v="0"/>
    <x v="4"/>
    <x v="1"/>
  </r>
  <r>
    <n v="256910"/>
    <x v="0"/>
    <x v="4"/>
    <x v="2"/>
  </r>
  <r>
    <n v="305827"/>
    <x v="0"/>
    <x v="4"/>
    <x v="3"/>
  </r>
  <r>
    <n v="258944"/>
    <x v="0"/>
    <x v="5"/>
    <x v="0"/>
  </r>
  <r>
    <n v="121091"/>
    <x v="0"/>
    <x v="5"/>
    <x v="1"/>
  </r>
  <r>
    <n v="301695"/>
    <x v="0"/>
    <x v="5"/>
    <x v="2"/>
  </r>
  <r>
    <n v="62535"/>
    <x v="0"/>
    <x v="5"/>
    <x v="3"/>
  </r>
  <r>
    <n v="221274"/>
    <x v="0"/>
    <x v="6"/>
    <x v="0"/>
  </r>
  <r>
    <n v="451894"/>
    <x v="0"/>
    <x v="6"/>
    <x v="1"/>
  </r>
  <r>
    <n v="488901"/>
    <x v="0"/>
    <x v="6"/>
    <x v="2"/>
  </r>
  <r>
    <n v="25177"/>
    <x v="0"/>
    <x v="6"/>
    <x v="3"/>
  </r>
  <r>
    <n v="136845"/>
    <x v="0"/>
    <x v="6"/>
    <x v="4"/>
  </r>
  <r>
    <n v="95410"/>
    <x v="1"/>
    <x v="7"/>
    <x v="0"/>
  </r>
  <r>
    <n v="14437"/>
    <x v="1"/>
    <x v="7"/>
    <x v="1"/>
  </r>
  <r>
    <n v="336949"/>
    <x v="1"/>
    <x v="7"/>
    <x v="2"/>
  </r>
  <r>
    <n v="461669"/>
    <x v="1"/>
    <x v="7"/>
    <x v="3"/>
  </r>
  <r>
    <n v="270766"/>
    <x v="1"/>
    <x v="8"/>
    <x v="0"/>
  </r>
  <r>
    <n v="485280"/>
    <x v="1"/>
    <x v="8"/>
    <x v="1"/>
  </r>
  <r>
    <n v="105980"/>
    <x v="1"/>
    <x v="8"/>
    <x v="2"/>
  </r>
  <r>
    <n v="464239"/>
    <x v="1"/>
    <x v="8"/>
    <x v="3"/>
  </r>
  <r>
    <n v="224534"/>
    <x v="1"/>
    <x v="9"/>
    <x v="0"/>
  </r>
  <r>
    <n v="98397"/>
    <x v="1"/>
    <x v="9"/>
    <x v="1"/>
  </r>
  <r>
    <n v="17380"/>
    <x v="1"/>
    <x v="9"/>
    <x v="2"/>
  </r>
  <r>
    <n v="441931"/>
    <x v="1"/>
    <x v="9"/>
    <x v="3"/>
  </r>
  <r>
    <n v="435726"/>
    <x v="1"/>
    <x v="9"/>
    <x v="4"/>
  </r>
  <r>
    <n v="290354"/>
    <x v="1"/>
    <x v="10"/>
    <x v="0"/>
  </r>
  <r>
    <n v="369525"/>
    <x v="1"/>
    <x v="10"/>
    <x v="1"/>
  </r>
  <r>
    <n v="270958"/>
    <x v="1"/>
    <x v="10"/>
    <x v="2"/>
  </r>
  <r>
    <n v="11435"/>
    <x v="1"/>
    <x v="10"/>
    <x v="3"/>
  </r>
  <r>
    <n v="148477"/>
    <x v="1"/>
    <x v="11"/>
    <x v="0"/>
  </r>
  <r>
    <n v="82558"/>
    <x v="1"/>
    <x v="1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1002"/>
  </r>
  <r>
    <x v="0"/>
    <x v="0"/>
    <x v="1"/>
    <n v="1283"/>
  </r>
  <r>
    <x v="0"/>
    <x v="0"/>
    <x v="2"/>
    <n v="1382"/>
  </r>
  <r>
    <x v="0"/>
    <x v="0"/>
    <x v="3"/>
    <n v="1670"/>
  </r>
  <r>
    <x v="0"/>
    <x v="1"/>
    <x v="0"/>
    <n v="64"/>
  </r>
  <r>
    <x v="0"/>
    <x v="1"/>
    <x v="1"/>
    <n v="309"/>
  </r>
  <r>
    <x v="0"/>
    <x v="1"/>
    <x v="2"/>
    <n v="-164"/>
  </r>
  <r>
    <x v="0"/>
    <x v="1"/>
    <x v="3"/>
    <n v="961"/>
  </r>
  <r>
    <x v="0"/>
    <x v="1"/>
    <x v="4"/>
    <n v="-318"/>
  </r>
  <r>
    <x v="0"/>
    <x v="2"/>
    <x v="0"/>
    <n v="-197"/>
  </r>
  <r>
    <x v="0"/>
    <x v="2"/>
    <x v="1"/>
    <n v="1334"/>
  </r>
  <r>
    <x v="0"/>
    <x v="2"/>
    <x v="2"/>
    <n v="1058"/>
  </r>
  <r>
    <x v="0"/>
    <x v="2"/>
    <x v="3"/>
    <n v="37"/>
  </r>
  <r>
    <x v="0"/>
    <x v="3"/>
    <x v="0"/>
    <n v="1045"/>
  </r>
  <r>
    <x v="0"/>
    <x v="3"/>
    <x v="1"/>
    <n v="1428"/>
  </r>
  <r>
    <x v="0"/>
    <x v="3"/>
    <x v="2"/>
    <n v="98"/>
  </r>
  <r>
    <x v="0"/>
    <x v="3"/>
    <x v="3"/>
    <n v="-19"/>
  </r>
  <r>
    <x v="0"/>
    <x v="3"/>
    <x v="4"/>
    <n v="-179"/>
  </r>
  <r>
    <x v="0"/>
    <x v="4"/>
    <x v="0"/>
    <n v="1662"/>
  </r>
  <r>
    <x v="0"/>
    <x v="4"/>
    <x v="1"/>
    <n v="285"/>
  </r>
  <r>
    <x v="0"/>
    <x v="4"/>
    <x v="2"/>
    <n v="439"/>
  </r>
  <r>
    <x v="0"/>
    <x v="4"/>
    <x v="3"/>
    <n v="386"/>
  </r>
  <r>
    <x v="0"/>
    <x v="5"/>
    <x v="0"/>
    <n v="540"/>
  </r>
  <r>
    <x v="0"/>
    <x v="5"/>
    <x v="1"/>
    <n v="-106"/>
  </r>
  <r>
    <x v="0"/>
    <x v="5"/>
    <x v="2"/>
    <n v="72"/>
  </r>
  <r>
    <x v="0"/>
    <x v="5"/>
    <x v="3"/>
    <n v="1332"/>
  </r>
  <r>
    <x v="0"/>
    <x v="6"/>
    <x v="0"/>
    <n v="1706"/>
  </r>
  <r>
    <x v="0"/>
    <x v="6"/>
    <x v="1"/>
    <n v="1373"/>
  </r>
  <r>
    <x v="0"/>
    <x v="6"/>
    <x v="2"/>
    <n v="1377"/>
  </r>
  <r>
    <x v="0"/>
    <x v="6"/>
    <x v="3"/>
    <n v="730"/>
  </r>
  <r>
    <x v="0"/>
    <x v="6"/>
    <x v="4"/>
    <n v="1776"/>
  </r>
  <r>
    <x v="1"/>
    <x v="7"/>
    <x v="0"/>
    <n v="620"/>
  </r>
  <r>
    <x v="1"/>
    <x v="7"/>
    <x v="1"/>
    <n v="298"/>
  </r>
  <r>
    <x v="1"/>
    <x v="7"/>
    <x v="2"/>
    <n v="427"/>
  </r>
  <r>
    <x v="1"/>
    <x v="7"/>
    <x v="3"/>
    <n v="898"/>
  </r>
  <r>
    <x v="1"/>
    <x v="8"/>
    <x v="0"/>
    <n v="748"/>
  </r>
  <r>
    <x v="1"/>
    <x v="8"/>
    <x v="1"/>
    <n v="912"/>
  </r>
  <r>
    <x v="1"/>
    <x v="8"/>
    <x v="2"/>
    <n v="1590"/>
  </r>
  <r>
    <x v="1"/>
    <x v="8"/>
    <x v="3"/>
    <n v="1707"/>
  </r>
  <r>
    <x v="1"/>
    <x v="9"/>
    <x v="0"/>
    <n v="-119"/>
  </r>
  <r>
    <x v="1"/>
    <x v="9"/>
    <x v="1"/>
    <n v="908"/>
  </r>
  <r>
    <x v="1"/>
    <x v="9"/>
    <x v="2"/>
    <n v="1116"/>
  </r>
  <r>
    <x v="1"/>
    <x v="9"/>
    <x v="3"/>
    <n v="474"/>
  </r>
  <r>
    <x v="1"/>
    <x v="9"/>
    <x v="4"/>
    <n v="514"/>
  </r>
  <r>
    <x v="1"/>
    <x v="10"/>
    <x v="0"/>
    <n v="1029"/>
  </r>
  <r>
    <x v="1"/>
    <x v="10"/>
    <x v="1"/>
    <n v="-175"/>
  </r>
  <r>
    <x v="1"/>
    <x v="10"/>
    <x v="2"/>
    <n v="1045"/>
  </r>
  <r>
    <x v="1"/>
    <x v="10"/>
    <x v="3"/>
    <n v="453"/>
  </r>
  <r>
    <x v="1"/>
    <x v="11"/>
    <x v="0"/>
    <n v="339"/>
  </r>
  <r>
    <x v="1"/>
    <x v="11"/>
    <x v="1"/>
    <n v="407"/>
  </r>
  <r>
    <x v="0"/>
    <x v="0"/>
    <x v="0"/>
    <n v="1047"/>
  </r>
  <r>
    <x v="0"/>
    <x v="0"/>
    <x v="1"/>
    <n v="517"/>
  </r>
  <r>
    <x v="0"/>
    <x v="0"/>
    <x v="2"/>
    <n v="893"/>
  </r>
  <r>
    <x v="0"/>
    <x v="0"/>
    <x v="3"/>
    <n v="629"/>
  </r>
  <r>
    <x v="0"/>
    <x v="1"/>
    <x v="0"/>
    <n v="-219"/>
  </r>
  <r>
    <x v="0"/>
    <x v="1"/>
    <x v="1"/>
    <n v="1672"/>
  </r>
  <r>
    <x v="0"/>
    <x v="1"/>
    <x v="2"/>
    <n v="1845"/>
  </r>
  <r>
    <x v="0"/>
    <x v="1"/>
    <x v="3"/>
    <n v="159"/>
  </r>
  <r>
    <x v="0"/>
    <x v="1"/>
    <x v="4"/>
    <n v="541"/>
  </r>
  <r>
    <x v="0"/>
    <x v="2"/>
    <x v="0"/>
    <n v="352"/>
  </r>
  <r>
    <x v="0"/>
    <x v="2"/>
    <x v="1"/>
    <n v="1325"/>
  </r>
  <r>
    <x v="0"/>
    <x v="2"/>
    <x v="2"/>
    <n v="76"/>
  </r>
  <r>
    <x v="0"/>
    <x v="2"/>
    <x v="3"/>
    <n v="1609"/>
  </r>
  <r>
    <x v="0"/>
    <x v="3"/>
    <x v="0"/>
    <n v="1247"/>
  </r>
  <r>
    <x v="0"/>
    <x v="3"/>
    <x v="1"/>
    <n v="1572"/>
  </r>
  <r>
    <x v="0"/>
    <x v="3"/>
    <x v="2"/>
    <n v="377"/>
  </r>
  <r>
    <x v="0"/>
    <x v="3"/>
    <x v="3"/>
    <n v="666"/>
  </r>
  <r>
    <x v="0"/>
    <x v="3"/>
    <x v="4"/>
    <n v="1025"/>
  </r>
  <r>
    <x v="0"/>
    <x v="4"/>
    <x v="0"/>
    <n v="1872"/>
  </r>
  <r>
    <x v="0"/>
    <x v="4"/>
    <x v="1"/>
    <n v="1224"/>
  </r>
  <r>
    <x v="0"/>
    <x v="4"/>
    <x v="2"/>
    <n v="262"/>
  </r>
  <r>
    <x v="0"/>
    <x v="4"/>
    <x v="3"/>
    <n v="576"/>
  </r>
  <r>
    <x v="0"/>
    <x v="5"/>
    <x v="0"/>
    <n v="1397"/>
  </r>
  <r>
    <x v="0"/>
    <x v="5"/>
    <x v="1"/>
    <n v="902"/>
  </r>
  <r>
    <x v="0"/>
    <x v="5"/>
    <x v="2"/>
    <n v="-49"/>
  </r>
  <r>
    <x v="0"/>
    <x v="5"/>
    <x v="3"/>
    <n v="1693"/>
  </r>
  <r>
    <x v="0"/>
    <x v="6"/>
    <x v="0"/>
    <n v="1625"/>
  </r>
  <r>
    <x v="0"/>
    <x v="6"/>
    <x v="1"/>
    <n v="1119"/>
  </r>
  <r>
    <x v="0"/>
    <x v="6"/>
    <x v="2"/>
    <n v="1432"/>
  </r>
  <r>
    <x v="0"/>
    <x v="6"/>
    <x v="3"/>
    <n v="684"/>
  </r>
  <r>
    <x v="0"/>
    <x v="6"/>
    <x v="4"/>
    <n v="1765"/>
  </r>
  <r>
    <x v="1"/>
    <x v="7"/>
    <x v="0"/>
    <n v="903"/>
  </r>
  <r>
    <x v="1"/>
    <x v="7"/>
    <x v="1"/>
    <n v="1722"/>
  </r>
  <r>
    <x v="1"/>
    <x v="7"/>
    <x v="2"/>
    <n v="1572"/>
  </r>
  <r>
    <x v="1"/>
    <x v="7"/>
    <x v="3"/>
    <n v="-166"/>
  </r>
  <r>
    <x v="1"/>
    <x v="8"/>
    <x v="0"/>
    <n v="1080"/>
  </r>
  <r>
    <x v="1"/>
    <x v="8"/>
    <x v="1"/>
    <n v="1723"/>
  </r>
  <r>
    <x v="1"/>
    <x v="8"/>
    <x v="2"/>
    <n v="965"/>
  </r>
  <r>
    <x v="1"/>
    <x v="8"/>
    <x v="3"/>
    <n v="1375"/>
  </r>
  <r>
    <x v="1"/>
    <x v="9"/>
    <x v="0"/>
    <n v="1315"/>
  </r>
  <r>
    <x v="1"/>
    <x v="9"/>
    <x v="1"/>
    <n v="212"/>
  </r>
  <r>
    <x v="1"/>
    <x v="9"/>
    <x v="2"/>
    <n v="680"/>
  </r>
  <r>
    <x v="1"/>
    <x v="9"/>
    <x v="3"/>
    <n v="461"/>
  </r>
  <r>
    <x v="1"/>
    <x v="9"/>
    <x v="4"/>
    <n v="641"/>
  </r>
  <r>
    <x v="1"/>
    <x v="10"/>
    <x v="0"/>
    <n v="167"/>
  </r>
  <r>
    <x v="1"/>
    <x v="10"/>
    <x v="1"/>
    <n v="-160"/>
  </r>
  <r>
    <x v="1"/>
    <x v="10"/>
    <x v="2"/>
    <n v="603"/>
  </r>
  <r>
    <x v="1"/>
    <x v="10"/>
    <x v="3"/>
    <n v="1539"/>
  </r>
  <r>
    <x v="1"/>
    <x v="11"/>
    <x v="0"/>
    <n v="1881"/>
  </r>
  <r>
    <x v="1"/>
    <x v="11"/>
    <x v="1"/>
    <n v="1656"/>
  </r>
  <r>
    <x v="0"/>
    <x v="0"/>
    <x v="0"/>
    <n v="415"/>
  </r>
  <r>
    <x v="0"/>
    <x v="0"/>
    <x v="1"/>
    <n v="186"/>
  </r>
  <r>
    <x v="0"/>
    <x v="0"/>
    <x v="2"/>
    <n v="1295"/>
  </r>
  <r>
    <x v="0"/>
    <x v="0"/>
    <x v="3"/>
    <n v="835"/>
  </r>
  <r>
    <x v="0"/>
    <x v="1"/>
    <x v="0"/>
    <n v="1357"/>
  </r>
  <r>
    <x v="0"/>
    <x v="1"/>
    <x v="1"/>
    <n v="547"/>
  </r>
  <r>
    <x v="0"/>
    <x v="1"/>
    <x v="2"/>
    <n v="429"/>
  </r>
  <r>
    <x v="0"/>
    <x v="1"/>
    <x v="3"/>
    <n v="1316"/>
  </r>
  <r>
    <x v="0"/>
    <x v="1"/>
    <x v="4"/>
    <n v="1495"/>
  </r>
  <r>
    <x v="0"/>
    <x v="2"/>
    <x v="0"/>
    <n v="328"/>
  </r>
  <r>
    <x v="0"/>
    <x v="2"/>
    <x v="1"/>
    <n v="37"/>
  </r>
  <r>
    <x v="0"/>
    <x v="2"/>
    <x v="2"/>
    <n v="1665"/>
  </r>
  <r>
    <x v="0"/>
    <x v="2"/>
    <x v="3"/>
    <n v="1229"/>
  </r>
  <r>
    <x v="0"/>
    <x v="3"/>
    <x v="0"/>
    <n v="197"/>
  </r>
  <r>
    <x v="0"/>
    <x v="3"/>
    <x v="1"/>
    <n v="260"/>
  </r>
  <r>
    <x v="0"/>
    <x v="3"/>
    <x v="2"/>
    <n v="1125"/>
  </r>
  <r>
    <x v="0"/>
    <x v="3"/>
    <x v="3"/>
    <n v="1680"/>
  </r>
  <r>
    <x v="0"/>
    <x v="3"/>
    <x v="4"/>
    <n v="599"/>
  </r>
  <r>
    <x v="0"/>
    <x v="4"/>
    <x v="0"/>
    <n v="107"/>
  </r>
  <r>
    <x v="0"/>
    <x v="4"/>
    <x v="1"/>
    <n v="-20"/>
  </r>
  <r>
    <x v="0"/>
    <x v="4"/>
    <x v="2"/>
    <n v="636"/>
  </r>
  <r>
    <x v="0"/>
    <x v="4"/>
    <x v="3"/>
    <n v="37"/>
  </r>
  <r>
    <x v="0"/>
    <x v="5"/>
    <x v="0"/>
    <n v="1603"/>
  </r>
  <r>
    <x v="0"/>
    <x v="5"/>
    <x v="1"/>
    <n v="1150"/>
  </r>
  <r>
    <x v="0"/>
    <x v="5"/>
    <x v="2"/>
    <n v="445"/>
  </r>
  <r>
    <x v="0"/>
    <x v="5"/>
    <x v="3"/>
    <n v="98"/>
  </r>
  <r>
    <x v="0"/>
    <x v="6"/>
    <x v="0"/>
    <n v="1173"/>
  </r>
  <r>
    <x v="0"/>
    <x v="6"/>
    <x v="1"/>
    <n v="1727"/>
  </r>
  <r>
    <x v="0"/>
    <x v="6"/>
    <x v="2"/>
    <n v="1359"/>
  </r>
  <r>
    <x v="0"/>
    <x v="6"/>
    <x v="3"/>
    <n v="911"/>
  </r>
  <r>
    <x v="0"/>
    <x v="6"/>
    <x v="4"/>
    <n v="1529"/>
  </r>
  <r>
    <x v="1"/>
    <x v="7"/>
    <x v="0"/>
    <n v="1188"/>
  </r>
  <r>
    <x v="1"/>
    <x v="7"/>
    <x v="1"/>
    <n v="-144"/>
  </r>
  <r>
    <x v="1"/>
    <x v="7"/>
    <x v="2"/>
    <n v="891"/>
  </r>
  <r>
    <x v="1"/>
    <x v="7"/>
    <x v="3"/>
    <n v="1426"/>
  </r>
  <r>
    <x v="1"/>
    <x v="8"/>
    <x v="0"/>
    <n v="569"/>
  </r>
  <r>
    <x v="1"/>
    <x v="8"/>
    <x v="1"/>
    <n v="1202"/>
  </r>
  <r>
    <x v="1"/>
    <x v="8"/>
    <x v="2"/>
    <n v="-37"/>
  </r>
  <r>
    <x v="1"/>
    <x v="8"/>
    <x v="3"/>
    <n v="708"/>
  </r>
  <r>
    <x v="1"/>
    <x v="9"/>
    <x v="0"/>
    <n v="899"/>
  </r>
  <r>
    <x v="1"/>
    <x v="9"/>
    <x v="1"/>
    <n v="1350"/>
  </r>
  <r>
    <x v="1"/>
    <x v="9"/>
    <x v="2"/>
    <n v="861"/>
  </r>
  <r>
    <x v="1"/>
    <x v="9"/>
    <x v="3"/>
    <n v="292"/>
  </r>
  <r>
    <x v="1"/>
    <x v="9"/>
    <x v="4"/>
    <n v="1676"/>
  </r>
  <r>
    <x v="1"/>
    <x v="10"/>
    <x v="0"/>
    <n v="1007"/>
  </r>
  <r>
    <x v="1"/>
    <x v="10"/>
    <x v="1"/>
    <n v="53"/>
  </r>
  <r>
    <x v="1"/>
    <x v="10"/>
    <x v="2"/>
    <n v="759"/>
  </r>
  <r>
    <x v="1"/>
    <x v="10"/>
    <x v="3"/>
    <n v="948"/>
  </r>
  <r>
    <x v="1"/>
    <x v="11"/>
    <x v="0"/>
    <n v="1510"/>
  </r>
  <r>
    <x v="1"/>
    <x v="11"/>
    <x v="1"/>
    <n v="269"/>
  </r>
  <r>
    <x v="0"/>
    <x v="0"/>
    <x v="0"/>
    <n v="1090"/>
  </r>
  <r>
    <x v="0"/>
    <x v="0"/>
    <x v="1"/>
    <n v="994"/>
  </r>
  <r>
    <x v="0"/>
    <x v="0"/>
    <x v="2"/>
    <n v="337"/>
  </r>
  <r>
    <x v="0"/>
    <x v="0"/>
    <x v="3"/>
    <n v="-123"/>
  </r>
  <r>
    <x v="0"/>
    <x v="1"/>
    <x v="0"/>
    <n v="91"/>
  </r>
  <r>
    <x v="0"/>
    <x v="1"/>
    <x v="1"/>
    <n v="514"/>
  </r>
  <r>
    <x v="0"/>
    <x v="1"/>
    <x v="2"/>
    <n v="160"/>
  </r>
  <r>
    <x v="0"/>
    <x v="1"/>
    <x v="3"/>
    <n v="317"/>
  </r>
  <r>
    <x v="0"/>
    <x v="1"/>
    <x v="4"/>
    <n v="475"/>
  </r>
  <r>
    <x v="0"/>
    <x v="2"/>
    <x v="0"/>
    <n v="319"/>
  </r>
  <r>
    <x v="0"/>
    <x v="2"/>
    <x v="1"/>
    <n v="1032"/>
  </r>
  <r>
    <x v="0"/>
    <x v="2"/>
    <x v="2"/>
    <n v="190"/>
  </r>
  <r>
    <x v="0"/>
    <x v="2"/>
    <x v="3"/>
    <n v="28"/>
  </r>
  <r>
    <x v="0"/>
    <x v="3"/>
    <x v="0"/>
    <n v="333"/>
  </r>
  <r>
    <x v="0"/>
    <x v="3"/>
    <x v="1"/>
    <n v="1100"/>
  </r>
  <r>
    <x v="0"/>
    <x v="3"/>
    <x v="2"/>
    <n v="-32"/>
  </r>
  <r>
    <x v="0"/>
    <x v="3"/>
    <x v="3"/>
    <n v="1006"/>
  </r>
  <r>
    <x v="0"/>
    <x v="3"/>
    <x v="4"/>
    <n v="1706"/>
  </r>
  <r>
    <x v="0"/>
    <x v="4"/>
    <x v="0"/>
    <n v="118"/>
  </r>
  <r>
    <x v="0"/>
    <x v="4"/>
    <x v="1"/>
    <n v="367"/>
  </r>
  <r>
    <x v="0"/>
    <x v="4"/>
    <x v="2"/>
    <n v="1484"/>
  </r>
  <r>
    <x v="0"/>
    <x v="4"/>
    <x v="3"/>
    <n v="1657"/>
  </r>
  <r>
    <x v="0"/>
    <x v="5"/>
    <x v="0"/>
    <n v="1044"/>
  </r>
  <r>
    <x v="0"/>
    <x v="5"/>
    <x v="1"/>
    <n v="349"/>
  </r>
  <r>
    <x v="0"/>
    <x v="5"/>
    <x v="2"/>
    <n v="60"/>
  </r>
  <r>
    <x v="0"/>
    <x v="5"/>
    <x v="3"/>
    <n v="885"/>
  </r>
  <r>
    <x v="0"/>
    <x v="6"/>
    <x v="0"/>
    <n v="291"/>
  </r>
  <r>
    <x v="0"/>
    <x v="6"/>
    <x v="1"/>
    <n v="573"/>
  </r>
  <r>
    <x v="0"/>
    <x v="6"/>
    <x v="2"/>
    <n v="876"/>
  </r>
  <r>
    <x v="0"/>
    <x v="6"/>
    <x v="3"/>
    <n v="1589"/>
  </r>
  <r>
    <x v="0"/>
    <x v="6"/>
    <x v="4"/>
    <n v="1460"/>
  </r>
  <r>
    <x v="1"/>
    <x v="7"/>
    <x v="0"/>
    <n v="846"/>
  </r>
  <r>
    <x v="1"/>
    <x v="7"/>
    <x v="1"/>
    <n v="901"/>
  </r>
  <r>
    <x v="1"/>
    <x v="7"/>
    <x v="2"/>
    <n v="724"/>
  </r>
  <r>
    <x v="1"/>
    <x v="7"/>
    <x v="3"/>
    <n v="1225"/>
  </r>
  <r>
    <x v="1"/>
    <x v="8"/>
    <x v="0"/>
    <n v="-203"/>
  </r>
  <r>
    <x v="1"/>
    <x v="8"/>
    <x v="1"/>
    <n v="1444"/>
  </r>
  <r>
    <x v="1"/>
    <x v="8"/>
    <x v="2"/>
    <n v="1175"/>
  </r>
  <r>
    <x v="1"/>
    <x v="8"/>
    <x v="3"/>
    <n v="1016"/>
  </r>
  <r>
    <x v="1"/>
    <x v="9"/>
    <x v="0"/>
    <n v="315"/>
  </r>
  <r>
    <x v="1"/>
    <x v="9"/>
    <x v="1"/>
    <n v="1242"/>
  </r>
  <r>
    <x v="1"/>
    <x v="9"/>
    <x v="2"/>
    <n v="1385"/>
  </r>
  <r>
    <x v="1"/>
    <x v="9"/>
    <x v="3"/>
    <n v="389"/>
  </r>
  <r>
    <x v="1"/>
    <x v="9"/>
    <x v="4"/>
    <n v="1467"/>
  </r>
  <r>
    <x v="1"/>
    <x v="10"/>
    <x v="0"/>
    <n v="209"/>
  </r>
  <r>
    <x v="1"/>
    <x v="10"/>
    <x v="1"/>
    <n v="145"/>
  </r>
  <r>
    <x v="1"/>
    <x v="10"/>
    <x v="2"/>
    <n v="1633"/>
  </r>
  <r>
    <x v="1"/>
    <x v="10"/>
    <x v="3"/>
    <n v="637"/>
  </r>
  <r>
    <x v="1"/>
    <x v="11"/>
    <x v="0"/>
    <n v="864"/>
  </r>
  <r>
    <x v="1"/>
    <x v="11"/>
    <x v="1"/>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2F22C6-3D9D-4C60-8AAA-9D9ABC11C680}" name="PivotTable3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 and Month" colHeaderCaption="Weeks">
  <location ref="M9:N49" firstHeaderRow="1" firstDataRow="1" firstDataCol="1" rowPageCount="1" colPageCount="1"/>
  <pivotFields count="11">
    <pivotField numFmtId="14" showAll="0"/>
    <pivotField axis="axisPage" multipleItemSelectionAllowed="1" showAll="0">
      <items count="5">
        <item x="0"/>
        <item h="1" x="1"/>
        <item h="1" x="2"/>
        <item h="1" x="3"/>
        <item t="default"/>
      </items>
    </pivotField>
    <pivotField showAll="0"/>
    <pivotField showAll="0"/>
    <pivotField dataField="1" showAll="0"/>
    <pivotField showAll="0"/>
    <pivotField numFmtId="164" showAll="0"/>
    <pivotField axis="axisRow" showAll="0">
      <items count="3">
        <item x="0"/>
        <item h="1" x="1"/>
        <item t="default"/>
      </items>
    </pivotField>
    <pivotField axis="axisRow" showAll="0">
      <items count="13">
        <item x="7"/>
        <item x="8"/>
        <item x="9"/>
        <item x="10"/>
        <item x="11"/>
        <item x="0"/>
        <item x="1"/>
        <item x="2"/>
        <item x="3"/>
        <item x="4"/>
        <item x="5"/>
        <item x="6"/>
        <item t="default"/>
      </items>
    </pivotField>
    <pivotField axis="axisRow" showAll="0">
      <items count="6">
        <item x="0"/>
        <item x="1"/>
        <item x="2"/>
        <item x="3"/>
        <item x="4"/>
        <item t="default"/>
      </items>
    </pivotField>
    <pivotField showAll="0"/>
  </pivotFields>
  <rowFields count="3">
    <field x="7"/>
    <field x="8"/>
    <field x="9"/>
  </rowFields>
  <rowItems count="40">
    <i>
      <x/>
    </i>
    <i r="1">
      <x v="5"/>
    </i>
    <i r="2">
      <x/>
    </i>
    <i r="2">
      <x v="1"/>
    </i>
    <i r="2">
      <x v="2"/>
    </i>
    <i r="2">
      <x v="3"/>
    </i>
    <i r="1">
      <x v="6"/>
    </i>
    <i r="2">
      <x/>
    </i>
    <i r="2">
      <x v="1"/>
    </i>
    <i r="2">
      <x v="2"/>
    </i>
    <i r="2">
      <x v="3"/>
    </i>
    <i r="2">
      <x v="4"/>
    </i>
    <i r="1">
      <x v="7"/>
    </i>
    <i r="2">
      <x/>
    </i>
    <i r="2">
      <x v="1"/>
    </i>
    <i r="2">
      <x v="2"/>
    </i>
    <i r="2">
      <x v="3"/>
    </i>
    <i r="1">
      <x v="8"/>
    </i>
    <i r="2">
      <x/>
    </i>
    <i r="2">
      <x v="1"/>
    </i>
    <i r="2">
      <x v="2"/>
    </i>
    <i r="2">
      <x v="3"/>
    </i>
    <i r="2">
      <x v="4"/>
    </i>
    <i r="1">
      <x v="9"/>
    </i>
    <i r="2">
      <x/>
    </i>
    <i r="2">
      <x v="1"/>
    </i>
    <i r="2">
      <x v="2"/>
    </i>
    <i r="2">
      <x v="3"/>
    </i>
    <i r="1">
      <x v="10"/>
    </i>
    <i r="2">
      <x/>
    </i>
    <i r="2">
      <x v="1"/>
    </i>
    <i r="2">
      <x v="2"/>
    </i>
    <i r="2">
      <x v="3"/>
    </i>
    <i r="1">
      <x v="11"/>
    </i>
    <i r="2">
      <x/>
    </i>
    <i r="2">
      <x v="1"/>
    </i>
    <i r="2">
      <x v="2"/>
    </i>
    <i r="2">
      <x v="3"/>
    </i>
    <i r="2">
      <x v="4"/>
    </i>
    <i t="grand">
      <x/>
    </i>
  </rowItems>
  <colItems count="1">
    <i/>
  </colItems>
  <pageFields count="1">
    <pageField fld="1" hier="-1"/>
  </pageFields>
  <dataFields count="1">
    <dataField name="Average of Total_Followers" fld="4" subtotal="average" baseField="0" baseItem="0"/>
  </dataFields>
  <chartFormats count="7">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7" format="2" series="1">
      <pivotArea type="data" outline="0" fieldPosition="0">
        <references count="2">
          <reference field="4294967294" count="1" selected="0">
            <x v="0"/>
          </reference>
          <reference field="9" count="1" selected="0">
            <x v="2"/>
          </reference>
        </references>
      </pivotArea>
    </chartFormat>
    <chartFormat chart="7" format="3" series="1">
      <pivotArea type="data" outline="0" fieldPosition="0">
        <references count="2">
          <reference field="4294967294" count="1" selected="0">
            <x v="0"/>
          </reference>
          <reference field="9" count="1" selected="0">
            <x v="3"/>
          </reference>
        </references>
      </pivotArea>
    </chartFormat>
    <chartFormat chart="7" format="4" series="1">
      <pivotArea type="data" outline="0" fieldPosition="0">
        <references count="2">
          <reference field="4294967294" count="1" selected="0">
            <x v="0"/>
          </reference>
          <reference field="9" count="1" selected="0">
            <x v="4"/>
          </reference>
        </references>
      </pivotArea>
    </chartFormat>
    <chartFormat chart="7"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A92DE6-C754-4BC6-B49B-8EF73C9541FC}" name="PivotTable3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s" colHeaderCaption="Months">
  <location ref="AL11:AY28" firstHeaderRow="1" firstDataRow="2" firstDataCol="1"/>
  <pivotFields count="4">
    <pivotField axis="axisRow" showAll="0">
      <items count="3">
        <item x="0"/>
        <item x="1"/>
        <item t="default"/>
      </items>
    </pivotField>
    <pivotField axis="axisCol" showAll="0">
      <items count="13">
        <item x="7"/>
        <item x="8"/>
        <item x="9"/>
        <item x="10"/>
        <item x="11"/>
        <item x="0"/>
        <item x="1"/>
        <item x="2"/>
        <item x="3"/>
        <item x="4"/>
        <item x="5"/>
        <item x="6"/>
        <item t="default"/>
      </items>
    </pivotField>
    <pivotField axis="axisRow" showAll="0">
      <items count="6">
        <item x="0"/>
        <item x="1"/>
        <item x="2"/>
        <item x="3"/>
        <item x="4"/>
        <item t="default"/>
      </items>
    </pivotField>
    <pivotField dataField="1" showAll="0"/>
  </pivotFields>
  <rowFields count="2">
    <field x="2"/>
    <field x="0"/>
  </rowFields>
  <rowItems count="16">
    <i>
      <x/>
    </i>
    <i r="1">
      <x/>
    </i>
    <i r="1">
      <x v="1"/>
    </i>
    <i>
      <x v="1"/>
    </i>
    <i r="1">
      <x/>
    </i>
    <i r="1">
      <x v="1"/>
    </i>
    <i>
      <x v="2"/>
    </i>
    <i r="1">
      <x/>
    </i>
    <i r="1">
      <x v="1"/>
    </i>
    <i>
      <x v="3"/>
    </i>
    <i r="1">
      <x/>
    </i>
    <i r="1">
      <x v="1"/>
    </i>
    <i>
      <x v="4"/>
    </i>
    <i r="1">
      <x/>
    </i>
    <i r="1">
      <x v="1"/>
    </i>
    <i t="grand">
      <x/>
    </i>
  </rowItems>
  <colFields count="1">
    <field x="1"/>
  </colFields>
  <colItems count="13">
    <i>
      <x/>
    </i>
    <i>
      <x v="1"/>
    </i>
    <i>
      <x v="2"/>
    </i>
    <i>
      <x v="3"/>
    </i>
    <i>
      <x v="4"/>
    </i>
    <i>
      <x v="5"/>
    </i>
    <i>
      <x v="6"/>
    </i>
    <i>
      <x v="7"/>
    </i>
    <i>
      <x v="8"/>
    </i>
    <i>
      <x v="9"/>
    </i>
    <i>
      <x v="10"/>
    </i>
    <i>
      <x v="11"/>
    </i>
    <i t="grand">
      <x/>
    </i>
  </colItems>
  <dataFields count="1">
    <dataField name="Average of Net New followers" fld="3" subtotal="average" baseField="0" baseItem="0"/>
  </dataFields>
  <formats count="1">
    <format dxfId="0">
      <pivotArea type="all" dataOnly="0" outline="0" fieldPosition="0"/>
    </format>
  </formats>
  <conditionalFormats count="1">
    <conditionalFormat priority="1">
      <pivotAreas count="1">
        <pivotArea outline="0" fieldPosition="0">
          <references count="1">
            <reference field="1"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0F8266-BD15-444E-BAEB-CFF42DCABD4A}" name="PivotTable3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e/Month/week">
  <location ref="BA11:BB76" firstHeaderRow="1" firstDataRow="1" firstDataCol="1"/>
  <pivotFields count="4">
    <pivotField dataField="1" showAll="0"/>
    <pivotField axis="axisRow" showAll="0">
      <items count="3">
        <item x="0"/>
        <item x="1"/>
        <item t="default"/>
      </items>
    </pivotField>
    <pivotField axis="axisRow" showAll="0">
      <items count="13">
        <item x="7"/>
        <item x="8"/>
        <item x="9"/>
        <item x="10"/>
        <item x="11"/>
        <item x="0"/>
        <item x="1"/>
        <item x="2"/>
        <item x="3"/>
        <item x="4"/>
        <item x="5"/>
        <item x="6"/>
        <item t="default"/>
      </items>
    </pivotField>
    <pivotField axis="axisRow" showAll="0">
      <items count="6">
        <item x="0"/>
        <item x="1"/>
        <item x="2"/>
        <item x="3"/>
        <item x="4"/>
        <item t="default"/>
      </items>
    </pivotField>
  </pivotFields>
  <rowFields count="3">
    <field x="1"/>
    <field x="2"/>
    <field x="3"/>
  </rowFields>
  <rowItems count="65">
    <i>
      <x/>
    </i>
    <i r="1">
      <x v="5"/>
    </i>
    <i r="2">
      <x/>
    </i>
    <i r="2">
      <x v="1"/>
    </i>
    <i r="2">
      <x v="2"/>
    </i>
    <i r="2">
      <x v="3"/>
    </i>
    <i r="1">
      <x v="6"/>
    </i>
    <i r="2">
      <x/>
    </i>
    <i r="2">
      <x v="1"/>
    </i>
    <i r="2">
      <x v="2"/>
    </i>
    <i r="2">
      <x v="3"/>
    </i>
    <i r="2">
      <x v="4"/>
    </i>
    <i r="1">
      <x v="7"/>
    </i>
    <i r="2">
      <x/>
    </i>
    <i r="2">
      <x v="1"/>
    </i>
    <i r="2">
      <x v="2"/>
    </i>
    <i r="2">
      <x v="3"/>
    </i>
    <i r="1">
      <x v="8"/>
    </i>
    <i r="2">
      <x/>
    </i>
    <i r="2">
      <x v="1"/>
    </i>
    <i r="2">
      <x v="2"/>
    </i>
    <i r="2">
      <x v="3"/>
    </i>
    <i r="2">
      <x v="4"/>
    </i>
    <i r="1">
      <x v="9"/>
    </i>
    <i r="2">
      <x/>
    </i>
    <i r="2">
      <x v="1"/>
    </i>
    <i r="2">
      <x v="2"/>
    </i>
    <i r="2">
      <x v="3"/>
    </i>
    <i r="1">
      <x v="10"/>
    </i>
    <i r="2">
      <x/>
    </i>
    <i r="2">
      <x v="1"/>
    </i>
    <i r="2">
      <x v="2"/>
    </i>
    <i r="2">
      <x v="3"/>
    </i>
    <i r="1">
      <x v="11"/>
    </i>
    <i r="2">
      <x/>
    </i>
    <i r="2">
      <x v="1"/>
    </i>
    <i r="2">
      <x v="2"/>
    </i>
    <i r="2">
      <x v="3"/>
    </i>
    <i r="2">
      <x v="4"/>
    </i>
    <i>
      <x v="1"/>
    </i>
    <i r="1">
      <x/>
    </i>
    <i r="2">
      <x/>
    </i>
    <i r="2">
      <x v="1"/>
    </i>
    <i r="2">
      <x v="2"/>
    </i>
    <i r="2">
      <x v="3"/>
    </i>
    <i r="1">
      <x v="1"/>
    </i>
    <i r="2">
      <x/>
    </i>
    <i r="2">
      <x v="1"/>
    </i>
    <i r="2">
      <x v="2"/>
    </i>
    <i r="2">
      <x v="3"/>
    </i>
    <i r="1">
      <x v="2"/>
    </i>
    <i r="2">
      <x/>
    </i>
    <i r="2">
      <x v="1"/>
    </i>
    <i r="2">
      <x v="2"/>
    </i>
    <i r="2">
      <x v="3"/>
    </i>
    <i r="2">
      <x v="4"/>
    </i>
    <i r="1">
      <x v="3"/>
    </i>
    <i r="2">
      <x/>
    </i>
    <i r="2">
      <x v="1"/>
    </i>
    <i r="2">
      <x v="2"/>
    </i>
    <i r="2">
      <x v="3"/>
    </i>
    <i r="1">
      <x v="4"/>
    </i>
    <i r="2">
      <x/>
    </i>
    <i r="2">
      <x v="1"/>
    </i>
    <i t="grand">
      <x/>
    </i>
  </rowItems>
  <colItems count="1">
    <i/>
  </colItems>
  <dataFields count="1">
    <dataField name="Sum of Total_Followers" fld="0" baseField="0"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BBDFEEC-8C6E-4A61-86FA-0A69F5EA95DC}" sourceName="Platform">
  <data>
    <tabular pivotCacheId="316181263">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023B7D7-0E4F-4CB8-8F33-F46C50E744CD}" sourceName="Year">
  <data>
    <tabular pivotCacheId="316181263">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72A5876-8BEB-4ADB-B9B0-35A14351808B}" cache="Slicer_Platform" caption="Platform" rowHeight="230716"/>
  <slicer name="Year 1" xr10:uid="{1E7AD903-02F6-40B0-BB0B-C4B29E329A27}" cache="Slicer_Year1" caption="Year"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85F1-5050-4314-8B3D-07468DE06F73}">
  <dimension ref="A2:CI206"/>
  <sheetViews>
    <sheetView tabSelected="1" workbookViewId="0">
      <selection activeCell="C16" sqref="C16"/>
    </sheetView>
  </sheetViews>
  <sheetFormatPr defaultColWidth="11.42578125" defaultRowHeight="15" x14ac:dyDescent="0.25"/>
  <cols>
    <col min="4" max="4" width="17.140625" style="2" bestFit="1" customWidth="1"/>
    <col min="5" max="5" width="10.28515625" bestFit="1" customWidth="1"/>
    <col min="6" max="6" width="15.42578125" bestFit="1" customWidth="1"/>
    <col min="7" max="7" width="11.28515625" bestFit="1" customWidth="1"/>
    <col min="8" max="8" width="15.85546875" bestFit="1" customWidth="1"/>
    <col min="12" max="12" width="17.7109375" customWidth="1"/>
    <col min="13" max="13" width="17.5703125" bestFit="1" customWidth="1"/>
    <col min="14" max="14" width="25.7109375" bestFit="1" customWidth="1"/>
    <col min="15" max="19" width="12.140625" bestFit="1" customWidth="1"/>
    <col min="20" max="22" width="2.140625" bestFit="1" customWidth="1"/>
    <col min="23" max="25" width="3.140625" bestFit="1" customWidth="1"/>
    <col min="26" max="26" width="6.28515625" bestFit="1" customWidth="1"/>
    <col min="27" max="27" width="3.85546875" bestFit="1" customWidth="1"/>
    <col min="28" max="35" width="2.140625" bestFit="1" customWidth="1"/>
    <col min="36" max="37" width="3.140625" bestFit="1" customWidth="1"/>
    <col min="38" max="38" width="24.140625" bestFit="1" customWidth="1"/>
    <col min="39" max="39" width="14.85546875" bestFit="1" customWidth="1"/>
    <col min="40" max="40" width="8.140625" bestFit="1" customWidth="1"/>
    <col min="41" max="42" width="7.140625" bestFit="1" customWidth="1"/>
    <col min="43" max="43" width="8.140625" bestFit="1" customWidth="1"/>
    <col min="44" max="45" width="7.140625" bestFit="1" customWidth="1"/>
    <col min="46" max="46" width="8.140625" bestFit="1" customWidth="1"/>
    <col min="47" max="48" width="7.140625" bestFit="1" customWidth="1"/>
    <col min="49" max="49" width="9.140625" bestFit="1" customWidth="1"/>
    <col min="50" max="50" width="8.140625" bestFit="1" customWidth="1"/>
    <col min="51" max="51" width="12.140625" bestFit="1" customWidth="1"/>
    <col min="52" max="52" width="3.85546875" bestFit="1" customWidth="1"/>
    <col min="53" max="53" width="18.85546875" bestFit="1" customWidth="1"/>
    <col min="54" max="54" width="19" bestFit="1" customWidth="1"/>
    <col min="55" max="59" width="2.140625" bestFit="1" customWidth="1"/>
    <col min="60" max="62" width="3.140625" bestFit="1" customWidth="1"/>
    <col min="63" max="63" width="6.28515625" bestFit="1" customWidth="1"/>
    <col min="64" max="64" width="3.85546875" bestFit="1" customWidth="1"/>
    <col min="65" max="66" width="2.140625" bestFit="1" customWidth="1"/>
    <col min="67" max="67" width="3.140625" bestFit="1" customWidth="1"/>
    <col min="68" max="68" width="6.28515625" bestFit="1" customWidth="1"/>
    <col min="69" max="69" width="10" bestFit="1" customWidth="1"/>
    <col min="73" max="74" width="17.140625" style="2" bestFit="1" customWidth="1"/>
    <col min="75" max="75" width="8.7109375" bestFit="1" customWidth="1"/>
    <col min="76" max="76" width="12.7109375" bestFit="1" customWidth="1"/>
    <col min="77" max="77" width="8.85546875" bestFit="1" customWidth="1"/>
    <col min="78" max="78" width="13.140625" bestFit="1" customWidth="1"/>
    <col min="79" max="79" width="14.42578125" style="3" bestFit="1" customWidth="1"/>
    <col min="80" max="80" width="11.42578125" style="4" bestFit="1" customWidth="1"/>
    <col min="85" max="85" width="56.28515625" customWidth="1"/>
    <col min="86" max="86" width="11.42578125" style="4" bestFit="1" customWidth="1"/>
  </cols>
  <sheetData>
    <row r="2" spans="4:87" x14ac:dyDescent="0.25">
      <c r="D2" s="1" t="s">
        <v>0</v>
      </c>
      <c r="E2" s="1"/>
      <c r="F2" s="1"/>
      <c r="G2" s="1"/>
      <c r="H2" s="1"/>
      <c r="I2" s="1"/>
      <c r="J2" s="1"/>
    </row>
    <row r="3" spans="4:87" x14ac:dyDescent="0.25">
      <c r="D3" s="1"/>
      <c r="E3" s="1"/>
      <c r="F3" s="1"/>
      <c r="G3" s="1"/>
      <c r="H3" s="1"/>
      <c r="I3" s="1"/>
      <c r="J3" s="1"/>
    </row>
    <row r="4" spans="4:87" x14ac:dyDescent="0.25">
      <c r="CA4" s="5" t="s">
        <v>1</v>
      </c>
      <c r="CB4" s="5"/>
      <c r="CC4" s="5"/>
      <c r="CD4" s="5"/>
      <c r="CE4" s="5"/>
      <c r="CF4" s="5"/>
      <c r="CG4" s="5"/>
      <c r="CH4" s="5"/>
    </row>
    <row r="5" spans="4:87" x14ac:dyDescent="0.25">
      <c r="G5" s="6" t="s">
        <v>2</v>
      </c>
      <c r="H5" s="6"/>
      <c r="I5" s="6"/>
      <c r="J5" s="6"/>
      <c r="K5" s="6"/>
      <c r="L5" s="6"/>
      <c r="M5" s="7"/>
      <c r="N5" s="7"/>
    </row>
    <row r="6" spans="4:87" x14ac:dyDescent="0.25">
      <c r="D6" s="8" t="s">
        <v>3</v>
      </c>
      <c r="E6" s="9" t="s">
        <v>4</v>
      </c>
      <c r="F6" s="9" t="s">
        <v>5</v>
      </c>
      <c r="G6" s="9" t="s">
        <v>6</v>
      </c>
      <c r="H6" s="9" t="s">
        <v>7</v>
      </c>
      <c r="I6" s="10" t="s">
        <v>8</v>
      </c>
      <c r="J6" s="10" t="s">
        <v>9</v>
      </c>
      <c r="K6" s="10" t="s">
        <v>10</v>
      </c>
      <c r="L6" s="10" t="s">
        <v>11</v>
      </c>
      <c r="BV6" s="8" t="s">
        <v>3</v>
      </c>
      <c r="BW6" s="9" t="s">
        <v>4</v>
      </c>
      <c r="BX6" s="9" t="s">
        <v>5</v>
      </c>
      <c r="BY6" s="9" t="s">
        <v>6</v>
      </c>
      <c r="BZ6" s="9" t="s">
        <v>7</v>
      </c>
      <c r="CA6" s="11" t="s">
        <v>12</v>
      </c>
      <c r="CB6" s="12" t="s">
        <v>13</v>
      </c>
      <c r="CC6" s="10" t="s">
        <v>8</v>
      </c>
      <c r="CD6" s="10" t="s">
        <v>9</v>
      </c>
      <c r="CE6" s="10" t="s">
        <v>10</v>
      </c>
      <c r="CF6" s="9" t="str" cm="1">
        <f t="array" ref="CF6:CF206">_xlfn.TAKE('[1]Engagement Summary(Task1)'!K:K,201,1)</f>
        <v>Netgrowth</v>
      </c>
      <c r="CG6" s="13"/>
      <c r="CH6" s="4" t="s">
        <v>13</v>
      </c>
      <c r="CI6" s="13" t="s">
        <v>14</v>
      </c>
    </row>
    <row r="7" spans="4:87" x14ac:dyDescent="0.25">
      <c r="D7" s="8">
        <v>45446</v>
      </c>
      <c r="E7" s="9" t="s">
        <v>15</v>
      </c>
      <c r="F7" s="9">
        <v>1312</v>
      </c>
      <c r="G7" s="9">
        <v>310</v>
      </c>
      <c r="H7" s="9">
        <v>42654</v>
      </c>
      <c r="I7" s="9">
        <f>YEAR([1]!Engagement_Summary[[#This Row],[Week_Start_Date]])</f>
        <v>2024</v>
      </c>
      <c r="J7" s="9">
        <f>MONTH([1]!Engagement_Summary[[#This Row],[Week_Start_Date]])</f>
        <v>7</v>
      </c>
      <c r="K7" s="9">
        <f t="shared" ref="K7:K70" si="0" xml:space="preserve"> INT((DAY(D7)-1)/7)+1</f>
        <v>1</v>
      </c>
      <c r="L7" s="9">
        <f>F7-G7</f>
        <v>1002</v>
      </c>
      <c r="M7" s="29" t="s">
        <v>4</v>
      </c>
      <c r="N7" t="s">
        <v>15</v>
      </c>
      <c r="BV7" s="8">
        <v>45446</v>
      </c>
      <c r="BW7" s="9" t="s">
        <v>15</v>
      </c>
      <c r="BX7" s="9">
        <v>1312</v>
      </c>
      <c r="BY7" s="9">
        <v>310</v>
      </c>
      <c r="BZ7" s="9">
        <v>42654</v>
      </c>
      <c r="CA7" s="11">
        <v>4.9800000000000004E-2</v>
      </c>
      <c r="CB7" s="12">
        <v>9566</v>
      </c>
      <c r="CC7" s="9">
        <f>YEAR([1]!Engagement_Summary[[#This Row],[Week_Start_Date]])</f>
        <v>2024</v>
      </c>
      <c r="CD7" s="9">
        <f>MONTH([1]!Engagement_Summary[[#This Row],[Week_Start_Date]])</f>
        <v>7</v>
      </c>
      <c r="CE7" s="9">
        <f t="shared" ref="CE7:CE70" si="1" xml:space="preserve"> INT((DAY(BV7)-1)/7)+1</f>
        <v>1</v>
      </c>
      <c r="CF7">
        <v>1002</v>
      </c>
      <c r="CH7" s="4">
        <v>9566</v>
      </c>
      <c r="CI7">
        <f>[1]!Engagement_Summary[[#This Row],[New_Followers]]-[1]!Engagement_Summary[[#This Row],[Unfollows]]</f>
        <v>309</v>
      </c>
    </row>
    <row r="8" spans="4:87" x14ac:dyDescent="0.25">
      <c r="D8" s="8">
        <v>45453</v>
      </c>
      <c r="E8" s="9" t="s">
        <v>15</v>
      </c>
      <c r="F8" s="9">
        <v>1697</v>
      </c>
      <c r="G8" s="9">
        <v>414</v>
      </c>
      <c r="H8" s="9">
        <v>316555</v>
      </c>
      <c r="I8" s="9">
        <f>YEAR([1]!Engagement_Summary[[#This Row],[Week_Start_Date]])</f>
        <v>2024</v>
      </c>
      <c r="J8" s="9">
        <f>MONTH([1]!Engagement_Summary[[#This Row],[Week_Start_Date]])</f>
        <v>7</v>
      </c>
      <c r="K8" s="9">
        <f t="shared" si="0"/>
        <v>2</v>
      </c>
      <c r="L8" s="9">
        <f t="shared" ref="L8:L71" si="2">F8-G8</f>
        <v>1283</v>
      </c>
      <c r="BV8" s="8">
        <v>45453</v>
      </c>
      <c r="BW8" s="9" t="s">
        <v>15</v>
      </c>
      <c r="BX8" s="9">
        <v>1697</v>
      </c>
      <c r="BY8" s="9">
        <v>414</v>
      </c>
      <c r="BZ8" s="9">
        <v>316555</v>
      </c>
      <c r="CA8" s="11">
        <v>2.3700000000000002E-2</v>
      </c>
      <c r="CB8" s="12">
        <v>7924</v>
      </c>
      <c r="CC8" s="9">
        <f>YEAR([1]!Engagement_Summary[[#This Row],[Week_Start_Date]])</f>
        <v>2024</v>
      </c>
      <c r="CD8" s="9">
        <f>MONTH([1]!Engagement_Summary[[#This Row],[Week_Start_Date]])</f>
        <v>7</v>
      </c>
      <c r="CE8" s="9">
        <f t="shared" si="1"/>
        <v>2</v>
      </c>
      <c r="CF8" s="9">
        <v>1283</v>
      </c>
      <c r="CG8" s="14" t="s">
        <v>16</v>
      </c>
      <c r="CH8" s="4">
        <v>7924</v>
      </c>
      <c r="CI8">
        <f>[1]!Engagement_Summary[[#This Row],[New_Followers]]-[1]!Engagement_Summary[[#This Row],[Unfollows]]</f>
        <v>-164</v>
      </c>
    </row>
    <row r="9" spans="4:87" x14ac:dyDescent="0.25">
      <c r="D9" s="8">
        <v>45460</v>
      </c>
      <c r="E9" s="9" t="s">
        <v>15</v>
      </c>
      <c r="F9" s="9">
        <v>1753</v>
      </c>
      <c r="G9" s="9">
        <v>371</v>
      </c>
      <c r="H9" s="9">
        <v>169496</v>
      </c>
      <c r="I9" s="9">
        <f>YEAR([1]!Engagement_Summary[[#This Row],[Week_Start_Date]])</f>
        <v>2024</v>
      </c>
      <c r="J9" s="9">
        <f>MONTH([1]!Engagement_Summary[[#This Row],[Week_Start_Date]])</f>
        <v>7</v>
      </c>
      <c r="K9" s="9">
        <f t="shared" si="0"/>
        <v>3</v>
      </c>
      <c r="L9" s="9">
        <f t="shared" si="2"/>
        <v>1382</v>
      </c>
      <c r="M9" s="29" t="s">
        <v>17</v>
      </c>
      <c r="N9" t="s">
        <v>18</v>
      </c>
      <c r="AL9" s="7" t="s">
        <v>19</v>
      </c>
      <c r="AM9" s="7"/>
      <c r="AN9" s="7"/>
      <c r="AO9" s="7"/>
      <c r="AP9" s="7"/>
      <c r="AQ9" s="7"/>
      <c r="AR9" s="7"/>
      <c r="AS9" s="7"/>
      <c r="AT9" s="7"/>
      <c r="AU9" s="7"/>
      <c r="AV9" s="7"/>
      <c r="AW9" s="7"/>
      <c r="AX9" s="7"/>
      <c r="AY9" s="7"/>
      <c r="BA9" s="7" t="s">
        <v>20</v>
      </c>
      <c r="BB9" s="7"/>
      <c r="BC9" s="7"/>
      <c r="BD9" s="7"/>
      <c r="BE9" s="7"/>
      <c r="BF9" s="7"/>
      <c r="BG9" s="7"/>
      <c r="BH9" s="7"/>
      <c r="BI9" s="7"/>
      <c r="BJ9" s="7"/>
      <c r="BK9" s="7"/>
      <c r="BL9" s="7"/>
      <c r="BM9" s="7"/>
      <c r="BN9" s="7"/>
      <c r="BO9" s="7"/>
      <c r="BP9" s="7"/>
      <c r="BQ9" s="7"/>
      <c r="BR9" s="7"/>
      <c r="BS9" s="7"/>
      <c r="BT9" s="7"/>
      <c r="BV9" s="8">
        <v>45460</v>
      </c>
      <c r="BW9" s="9" t="s">
        <v>15</v>
      </c>
      <c r="BX9" s="9">
        <v>1753</v>
      </c>
      <c r="BY9" s="9">
        <v>371</v>
      </c>
      <c r="BZ9" s="9">
        <v>169496</v>
      </c>
      <c r="CA9" s="11">
        <v>8.1099999999999992E-2</v>
      </c>
      <c r="CB9" s="12">
        <v>46670</v>
      </c>
      <c r="CC9" s="9">
        <f>YEAR([1]!Engagement_Summary[[#This Row],[Week_Start_Date]])</f>
        <v>2024</v>
      </c>
      <c r="CD9" s="9">
        <f>MONTH([1]!Engagement_Summary[[#This Row],[Week_Start_Date]])</f>
        <v>7</v>
      </c>
      <c r="CE9" s="9">
        <f t="shared" si="1"/>
        <v>3</v>
      </c>
      <c r="CF9" s="9">
        <v>1382</v>
      </c>
      <c r="CG9" s="15">
        <f>CORREL(CB6:CB206,CF6:CF206)</f>
        <v>8.5932221904422151E-2</v>
      </c>
      <c r="CH9" s="4">
        <v>46670</v>
      </c>
      <c r="CI9">
        <f>[1]!Engagement_Summary[[#This Row],[New_Followers]]-[1]!Engagement_Summary[[#This Row],[Unfollows]]</f>
        <v>961</v>
      </c>
    </row>
    <row r="10" spans="4:87" x14ac:dyDescent="0.25">
      <c r="D10" s="8">
        <v>45467</v>
      </c>
      <c r="E10" s="9" t="s">
        <v>15</v>
      </c>
      <c r="F10" s="9">
        <v>1779</v>
      </c>
      <c r="G10" s="9">
        <v>109</v>
      </c>
      <c r="H10" s="9">
        <v>26295</v>
      </c>
      <c r="I10" s="9">
        <f>YEAR([1]!Engagement_Summary[[#This Row],[Week_Start_Date]])</f>
        <v>2024</v>
      </c>
      <c r="J10" s="9">
        <f>MONTH([1]!Engagement_Summary[[#This Row],[Week_Start_Date]])</f>
        <v>7</v>
      </c>
      <c r="K10" s="9">
        <f t="shared" si="0"/>
        <v>4</v>
      </c>
      <c r="L10" s="9">
        <f t="shared" si="2"/>
        <v>1670</v>
      </c>
      <c r="M10" s="16">
        <v>2024</v>
      </c>
      <c r="N10" s="30">
        <v>275113.61290322582</v>
      </c>
      <c r="BV10" s="8">
        <v>45467</v>
      </c>
      <c r="BW10" s="9" t="s">
        <v>15</v>
      </c>
      <c r="BX10" s="9">
        <v>1779</v>
      </c>
      <c r="BY10" s="9">
        <v>109</v>
      </c>
      <c r="BZ10" s="9">
        <v>26295</v>
      </c>
      <c r="CA10" s="11">
        <v>9.1199999999999989E-2</v>
      </c>
      <c r="CB10" s="12">
        <v>30635</v>
      </c>
      <c r="CC10" s="9">
        <f>YEAR([1]!Engagement_Summary[[#This Row],[Week_Start_Date]])</f>
        <v>2024</v>
      </c>
      <c r="CD10" s="9">
        <f>MONTH([1]!Engagement_Summary[[#This Row],[Week_Start_Date]])</f>
        <v>7</v>
      </c>
      <c r="CE10" s="9">
        <f t="shared" si="1"/>
        <v>4</v>
      </c>
      <c r="CF10" s="9">
        <v>1670</v>
      </c>
      <c r="CH10" s="4">
        <v>30635</v>
      </c>
      <c r="CI10">
        <f>[1]!Engagement_Summary[[#This Row],[New_Followers]]-[1]!Engagement_Summary[[#This Row],[Unfollows]]</f>
        <v>-318</v>
      </c>
    </row>
    <row r="11" spans="4:87" x14ac:dyDescent="0.25">
      <c r="D11" s="8">
        <v>45474</v>
      </c>
      <c r="E11" s="9" t="s">
        <v>15</v>
      </c>
      <c r="F11" s="9">
        <v>505</v>
      </c>
      <c r="G11" s="9">
        <v>441</v>
      </c>
      <c r="H11" s="9">
        <v>220020</v>
      </c>
      <c r="I11" s="9">
        <f>YEAR([1]!Engagement_Summary[[#This Row],[Week_Start_Date]])</f>
        <v>2024</v>
      </c>
      <c r="J11" s="9">
        <f>MONTH([1]!Engagement_Summary[[#This Row],[Week_Start_Date]])</f>
        <v>8</v>
      </c>
      <c r="K11" s="9">
        <f t="shared" si="0"/>
        <v>1</v>
      </c>
      <c r="L11" s="9">
        <f t="shared" si="2"/>
        <v>64</v>
      </c>
      <c r="M11" s="17">
        <v>6</v>
      </c>
      <c r="N11" s="30">
        <v>138750</v>
      </c>
      <c r="AL11" s="9" t="s">
        <v>21</v>
      </c>
      <c r="AM11" s="9" t="s">
        <v>22</v>
      </c>
      <c r="AN11" s="9"/>
      <c r="AO11" s="9"/>
      <c r="AP11" s="9"/>
      <c r="AQ11" s="9"/>
      <c r="AR11" s="9"/>
      <c r="AS11" s="9"/>
      <c r="AT11" s="9"/>
      <c r="AU11" s="9"/>
      <c r="AV11" s="9"/>
      <c r="AW11" s="9"/>
      <c r="AX11" s="9"/>
      <c r="AY11" s="9"/>
      <c r="BA11" t="s">
        <v>23</v>
      </c>
      <c r="BB11" t="s">
        <v>24</v>
      </c>
      <c r="BV11" s="8">
        <v>45474</v>
      </c>
      <c r="BW11" s="9" t="s">
        <v>15</v>
      </c>
      <c r="BX11" s="9">
        <v>505</v>
      </c>
      <c r="BY11" s="9">
        <v>441</v>
      </c>
      <c r="BZ11" s="9">
        <v>220020</v>
      </c>
      <c r="CA11" s="11">
        <v>4.4800000000000006E-2</v>
      </c>
      <c r="CB11" s="12">
        <v>42307</v>
      </c>
      <c r="CC11" s="9">
        <f>YEAR([1]!Engagement_Summary[[#This Row],[Week_Start_Date]])</f>
        <v>2024</v>
      </c>
      <c r="CD11" s="9">
        <f>MONTH([1]!Engagement_Summary[[#This Row],[Week_Start_Date]])</f>
        <v>8</v>
      </c>
      <c r="CE11" s="9">
        <f t="shared" si="1"/>
        <v>1</v>
      </c>
      <c r="CF11" s="9">
        <v>64</v>
      </c>
      <c r="CH11" s="4">
        <v>42307</v>
      </c>
      <c r="CI11">
        <f>[1]!Engagement_Summary[[#This Row],[New_Followers]]-[1]!Engagement_Summary[[#This Row],[Unfollows]]</f>
        <v>-197</v>
      </c>
    </row>
    <row r="12" spans="4:87" x14ac:dyDescent="0.25">
      <c r="D12" s="8">
        <v>45481</v>
      </c>
      <c r="E12" s="9" t="s">
        <v>15</v>
      </c>
      <c r="F12" s="9">
        <v>350</v>
      </c>
      <c r="G12" s="9">
        <v>41</v>
      </c>
      <c r="H12" s="9">
        <v>251694</v>
      </c>
      <c r="I12" s="9">
        <f>YEAR([1]!Engagement_Summary[[#This Row],[Week_Start_Date]])</f>
        <v>2024</v>
      </c>
      <c r="J12" s="9">
        <f>MONTH([1]!Engagement_Summary[[#This Row],[Week_Start_Date]])</f>
        <v>8</v>
      </c>
      <c r="K12" s="9">
        <f t="shared" si="0"/>
        <v>2</v>
      </c>
      <c r="L12" s="9">
        <f t="shared" si="2"/>
        <v>309</v>
      </c>
      <c r="M12" s="18">
        <v>1</v>
      </c>
      <c r="N12" s="30">
        <v>42654</v>
      </c>
      <c r="AL12" s="9" t="s">
        <v>25</v>
      </c>
      <c r="AM12" s="9">
        <v>1</v>
      </c>
      <c r="AN12" s="9">
        <v>2</v>
      </c>
      <c r="AO12" s="9">
        <v>3</v>
      </c>
      <c r="AP12" s="9">
        <v>4</v>
      </c>
      <c r="AQ12" s="9">
        <v>5</v>
      </c>
      <c r="AR12" s="9">
        <v>6</v>
      </c>
      <c r="AS12" s="9">
        <v>7</v>
      </c>
      <c r="AT12" s="9">
        <v>8</v>
      </c>
      <c r="AU12" s="9">
        <v>9</v>
      </c>
      <c r="AV12" s="9">
        <v>10</v>
      </c>
      <c r="AW12" s="9">
        <v>11</v>
      </c>
      <c r="AX12" s="9">
        <v>12</v>
      </c>
      <c r="AY12" s="9" t="s">
        <v>26</v>
      </c>
      <c r="BA12" s="16">
        <v>2024</v>
      </c>
      <c r="BB12">
        <v>32102920</v>
      </c>
      <c r="BV12" s="8">
        <v>45481</v>
      </c>
      <c r="BW12" s="9" t="s">
        <v>15</v>
      </c>
      <c r="BX12" s="9">
        <v>350</v>
      </c>
      <c r="BY12" s="9">
        <v>41</v>
      </c>
      <c r="BZ12" s="9">
        <v>251694</v>
      </c>
      <c r="CA12" s="11">
        <v>1.9099999999999999E-2</v>
      </c>
      <c r="CB12" s="12">
        <v>38610</v>
      </c>
      <c r="CC12" s="9">
        <f>YEAR([1]!Engagement_Summary[[#This Row],[Week_Start_Date]])</f>
        <v>2024</v>
      </c>
      <c r="CD12" s="9">
        <f>MONTH([1]!Engagement_Summary[[#This Row],[Week_Start_Date]])</f>
        <v>8</v>
      </c>
      <c r="CE12" s="9">
        <f t="shared" si="1"/>
        <v>2</v>
      </c>
      <c r="CF12" s="9">
        <v>309</v>
      </c>
      <c r="CH12" s="4">
        <v>38610</v>
      </c>
      <c r="CI12">
        <f>[1]!Engagement_Summary[[#This Row],[New_Followers]]-[1]!Engagement_Summary[[#This Row],[Unfollows]]</f>
        <v>1334</v>
      </c>
    </row>
    <row r="13" spans="4:87" x14ac:dyDescent="0.25">
      <c r="D13" s="8">
        <v>45488</v>
      </c>
      <c r="E13" s="9" t="s">
        <v>15</v>
      </c>
      <c r="F13" s="9">
        <v>170</v>
      </c>
      <c r="G13" s="9">
        <v>334</v>
      </c>
      <c r="H13" s="9">
        <v>334626</v>
      </c>
      <c r="I13" s="9">
        <f>YEAR([1]!Engagement_Summary[[#This Row],[Week_Start_Date]])</f>
        <v>2024</v>
      </c>
      <c r="J13" s="9">
        <f>MONTH([1]!Engagement_Summary[[#This Row],[Week_Start_Date]])</f>
        <v>8</v>
      </c>
      <c r="K13" s="9">
        <f t="shared" si="0"/>
        <v>3</v>
      </c>
      <c r="L13" s="9">
        <f t="shared" si="2"/>
        <v>-164</v>
      </c>
      <c r="M13" s="18">
        <v>2</v>
      </c>
      <c r="N13" s="30">
        <v>316555</v>
      </c>
      <c r="AL13" s="19">
        <v>1</v>
      </c>
      <c r="AM13" s="9">
        <v>889.25</v>
      </c>
      <c r="AN13" s="9">
        <v>548.5</v>
      </c>
      <c r="AO13" s="9">
        <v>602.5</v>
      </c>
      <c r="AP13" s="9">
        <v>603</v>
      </c>
      <c r="AQ13" s="9">
        <v>1148.5</v>
      </c>
      <c r="AR13" s="9">
        <v>888.5</v>
      </c>
      <c r="AS13" s="9">
        <v>323.25</v>
      </c>
      <c r="AT13" s="9">
        <v>200.5</v>
      </c>
      <c r="AU13" s="9">
        <v>705.5</v>
      </c>
      <c r="AV13" s="9">
        <v>939.75</v>
      </c>
      <c r="AW13" s="9">
        <v>1146</v>
      </c>
      <c r="AX13" s="9">
        <v>1198.75</v>
      </c>
      <c r="AY13" s="9">
        <v>766.16666666666663</v>
      </c>
      <c r="BA13" s="17">
        <v>6</v>
      </c>
      <c r="BB13">
        <v>3881634</v>
      </c>
      <c r="BV13" s="8">
        <v>45488</v>
      </c>
      <c r="BW13" s="9" t="s">
        <v>15</v>
      </c>
      <c r="BX13" s="9">
        <v>170</v>
      </c>
      <c r="BY13" s="9">
        <v>334</v>
      </c>
      <c r="BZ13" s="9">
        <v>334626</v>
      </c>
      <c r="CA13" s="11">
        <v>6.4399999999999999E-2</v>
      </c>
      <c r="CB13" s="12">
        <v>43420</v>
      </c>
      <c r="CC13" s="9">
        <f>YEAR([1]!Engagement_Summary[[#This Row],[Week_Start_Date]])</f>
        <v>2024</v>
      </c>
      <c r="CD13" s="9">
        <f>MONTH([1]!Engagement_Summary[[#This Row],[Week_Start_Date]])</f>
        <v>8</v>
      </c>
      <c r="CE13" s="9">
        <f t="shared" si="1"/>
        <v>3</v>
      </c>
      <c r="CF13" s="9">
        <v>-164</v>
      </c>
      <c r="CH13" s="4">
        <v>43420</v>
      </c>
      <c r="CI13">
        <f>[1]!Engagement_Summary[[#This Row],[New_Followers]]-[1]!Engagement_Summary[[#This Row],[Unfollows]]</f>
        <v>1058</v>
      </c>
    </row>
    <row r="14" spans="4:87" x14ac:dyDescent="0.25">
      <c r="D14" s="8">
        <v>45495</v>
      </c>
      <c r="E14" s="9" t="s">
        <v>15</v>
      </c>
      <c r="F14" s="9">
        <v>1391</v>
      </c>
      <c r="G14" s="9">
        <v>430</v>
      </c>
      <c r="H14" s="9">
        <v>295032</v>
      </c>
      <c r="I14" s="9">
        <f>YEAR([1]!Engagement_Summary[[#This Row],[Week_Start_Date]])</f>
        <v>2024</v>
      </c>
      <c r="J14" s="9">
        <f>MONTH([1]!Engagement_Summary[[#This Row],[Week_Start_Date]])</f>
        <v>8</v>
      </c>
      <c r="K14" s="9">
        <f t="shared" si="0"/>
        <v>4</v>
      </c>
      <c r="L14" s="9">
        <f t="shared" si="2"/>
        <v>961</v>
      </c>
      <c r="M14" s="18">
        <v>3</v>
      </c>
      <c r="N14" s="30">
        <v>169496</v>
      </c>
      <c r="AL14" s="20">
        <v>2024</v>
      </c>
      <c r="AM14" s="9"/>
      <c r="AN14" s="9"/>
      <c r="AO14" s="9"/>
      <c r="AP14" s="9"/>
      <c r="AQ14" s="9"/>
      <c r="AR14" s="9">
        <v>888.5</v>
      </c>
      <c r="AS14" s="9">
        <v>323.25</v>
      </c>
      <c r="AT14" s="9">
        <v>200.5</v>
      </c>
      <c r="AU14" s="9">
        <v>705.5</v>
      </c>
      <c r="AV14" s="9">
        <v>939.75</v>
      </c>
      <c r="AW14" s="9">
        <v>1146</v>
      </c>
      <c r="AX14" s="9">
        <v>1198.75</v>
      </c>
      <c r="AY14" s="9">
        <v>771.75</v>
      </c>
      <c r="BA14" s="18">
        <v>1</v>
      </c>
      <c r="BB14">
        <v>929108</v>
      </c>
      <c r="BV14" s="8">
        <v>45495</v>
      </c>
      <c r="BW14" s="9" t="s">
        <v>15</v>
      </c>
      <c r="BX14" s="9">
        <v>1391</v>
      </c>
      <c r="BY14" s="9">
        <v>430</v>
      </c>
      <c r="BZ14" s="9">
        <v>295032</v>
      </c>
      <c r="CA14" s="11">
        <v>7.8600000000000003E-2</v>
      </c>
      <c r="CB14" s="12">
        <v>26067</v>
      </c>
      <c r="CC14" s="9">
        <f>YEAR([1]!Engagement_Summary[[#This Row],[Week_Start_Date]])</f>
        <v>2024</v>
      </c>
      <c r="CD14" s="9">
        <f>MONTH([1]!Engagement_Summary[[#This Row],[Week_Start_Date]])</f>
        <v>8</v>
      </c>
      <c r="CE14" s="9">
        <f t="shared" si="1"/>
        <v>4</v>
      </c>
      <c r="CF14" s="9">
        <v>961</v>
      </c>
      <c r="CG14" s="21" t="s">
        <v>27</v>
      </c>
      <c r="CH14" s="4">
        <v>26067</v>
      </c>
      <c r="CI14">
        <f>[1]!Engagement_Summary[[#This Row],[New_Followers]]-[1]!Engagement_Summary[[#This Row],[Unfollows]]</f>
        <v>37</v>
      </c>
    </row>
    <row r="15" spans="4:87" x14ac:dyDescent="0.25">
      <c r="D15" s="8">
        <v>45502</v>
      </c>
      <c r="E15" s="9" t="s">
        <v>15</v>
      </c>
      <c r="F15" s="9">
        <v>160</v>
      </c>
      <c r="G15" s="9">
        <v>478</v>
      </c>
      <c r="H15" s="9">
        <v>435034</v>
      </c>
      <c r="I15" s="9">
        <f>YEAR([1]!Engagement_Summary[[#This Row],[Week_Start_Date]])</f>
        <v>2024</v>
      </c>
      <c r="J15" s="9">
        <f>MONTH([1]!Engagement_Summary[[#This Row],[Week_Start_Date]])</f>
        <v>9</v>
      </c>
      <c r="K15" s="9">
        <f t="shared" si="0"/>
        <v>5</v>
      </c>
      <c r="L15" s="9">
        <f t="shared" si="2"/>
        <v>-318</v>
      </c>
      <c r="M15" s="18">
        <v>4</v>
      </c>
      <c r="N15" s="30">
        <v>26295</v>
      </c>
      <c r="AL15" s="20">
        <v>2025</v>
      </c>
      <c r="AM15" s="9">
        <v>889.25</v>
      </c>
      <c r="AN15" s="9">
        <v>548.5</v>
      </c>
      <c r="AO15" s="9">
        <v>602.5</v>
      </c>
      <c r="AP15" s="9">
        <v>603</v>
      </c>
      <c r="AQ15" s="9">
        <v>1148.5</v>
      </c>
      <c r="AR15" s="9"/>
      <c r="AS15" s="9"/>
      <c r="AT15" s="9"/>
      <c r="AU15" s="9"/>
      <c r="AV15" s="9"/>
      <c r="AW15" s="9"/>
      <c r="AX15" s="9"/>
      <c r="AY15" s="9">
        <v>758.35</v>
      </c>
      <c r="BA15" s="18">
        <v>2</v>
      </c>
      <c r="BB15">
        <v>1033937</v>
      </c>
      <c r="BV15" s="8">
        <v>45502</v>
      </c>
      <c r="BW15" s="9" t="s">
        <v>15</v>
      </c>
      <c r="BX15" s="9">
        <v>160</v>
      </c>
      <c r="BY15" s="9">
        <v>478</v>
      </c>
      <c r="BZ15" s="9">
        <v>435034</v>
      </c>
      <c r="CA15" s="11">
        <v>7.7300000000000008E-2</v>
      </c>
      <c r="CB15" s="12">
        <v>4839</v>
      </c>
      <c r="CC15" s="9">
        <f>YEAR([1]!Engagement_Summary[[#This Row],[Week_Start_Date]])</f>
        <v>2024</v>
      </c>
      <c r="CD15" s="9">
        <f>MONTH([1]!Engagement_Summary[[#This Row],[Week_Start_Date]])</f>
        <v>9</v>
      </c>
      <c r="CE15" s="9">
        <f t="shared" si="1"/>
        <v>5</v>
      </c>
      <c r="CF15" s="9">
        <v>-318</v>
      </c>
      <c r="CH15" s="4">
        <v>4839</v>
      </c>
      <c r="CI15">
        <f>[1]!Engagement_Summary[[#This Row],[New_Followers]]-[1]!Engagement_Summary[[#This Row],[Unfollows]]</f>
        <v>1045</v>
      </c>
    </row>
    <row r="16" spans="4:87" x14ac:dyDescent="0.25">
      <c r="D16" s="8">
        <v>45509</v>
      </c>
      <c r="E16" s="9" t="s">
        <v>15</v>
      </c>
      <c r="F16" s="9">
        <v>214</v>
      </c>
      <c r="G16" s="9">
        <v>411</v>
      </c>
      <c r="H16" s="9">
        <v>125034</v>
      </c>
      <c r="I16" s="9">
        <f>YEAR([1]!Engagement_Summary[[#This Row],[Week_Start_Date]])</f>
        <v>2024</v>
      </c>
      <c r="J16" s="9">
        <f>MONTH([1]!Engagement_Summary[[#This Row],[Week_Start_Date]])</f>
        <v>9</v>
      </c>
      <c r="K16" s="9">
        <f t="shared" si="0"/>
        <v>1</v>
      </c>
      <c r="L16" s="9">
        <f t="shared" si="2"/>
        <v>-197</v>
      </c>
      <c r="M16" s="17">
        <v>7</v>
      </c>
      <c r="N16" s="30">
        <v>307281.2</v>
      </c>
      <c r="AL16" s="19">
        <v>2</v>
      </c>
      <c r="AM16" s="9">
        <v>694.25</v>
      </c>
      <c r="AN16" s="9">
        <v>1320.25</v>
      </c>
      <c r="AO16" s="9">
        <v>928</v>
      </c>
      <c r="AP16" s="9">
        <v>-34.25</v>
      </c>
      <c r="AQ16" s="9">
        <v>498.75</v>
      </c>
      <c r="AR16" s="9">
        <v>745</v>
      </c>
      <c r="AS16" s="9">
        <v>760.5</v>
      </c>
      <c r="AT16" s="9">
        <v>932</v>
      </c>
      <c r="AU16" s="9">
        <v>1090</v>
      </c>
      <c r="AV16" s="9">
        <v>464</v>
      </c>
      <c r="AW16" s="9">
        <v>573.75</v>
      </c>
      <c r="AX16" s="9">
        <v>1198</v>
      </c>
      <c r="AY16" s="9">
        <v>764.1875</v>
      </c>
      <c r="BA16" s="18">
        <v>3</v>
      </c>
      <c r="BB16">
        <v>1132025</v>
      </c>
      <c r="BV16" s="8">
        <v>45509</v>
      </c>
      <c r="BW16" s="9" t="s">
        <v>15</v>
      </c>
      <c r="BX16" s="9">
        <v>214</v>
      </c>
      <c r="BY16" s="9">
        <v>411</v>
      </c>
      <c r="BZ16" s="9">
        <v>125034</v>
      </c>
      <c r="CA16" s="11">
        <v>6.1100000000000002E-2</v>
      </c>
      <c r="CB16" s="12">
        <v>26455</v>
      </c>
      <c r="CC16" s="9">
        <f>YEAR([1]!Engagement_Summary[[#This Row],[Week_Start_Date]])</f>
        <v>2024</v>
      </c>
      <c r="CD16" s="9">
        <f>MONTH([1]!Engagement_Summary[[#This Row],[Week_Start_Date]])</f>
        <v>9</v>
      </c>
      <c r="CE16" s="9">
        <f t="shared" si="1"/>
        <v>1</v>
      </c>
      <c r="CF16" s="9">
        <v>-197</v>
      </c>
      <c r="CH16" s="4">
        <v>26455</v>
      </c>
      <c r="CI16">
        <f>[1]!Engagement_Summary[[#This Row],[New_Followers]]-[1]!Engagement_Summary[[#This Row],[Unfollows]]</f>
        <v>1428</v>
      </c>
    </row>
    <row r="17" spans="1:87" x14ac:dyDescent="0.25">
      <c r="A17" s="22" t="s">
        <v>28</v>
      </c>
      <c r="B17" s="22"/>
      <c r="D17" s="8">
        <v>45516</v>
      </c>
      <c r="E17" s="9" t="s">
        <v>15</v>
      </c>
      <c r="F17" s="9">
        <v>1534</v>
      </c>
      <c r="G17" s="9">
        <v>200</v>
      </c>
      <c r="H17" s="9">
        <v>307612</v>
      </c>
      <c r="I17" s="9">
        <f>YEAR([1]!Engagement_Summary[[#This Row],[Week_Start_Date]])</f>
        <v>2024</v>
      </c>
      <c r="J17" s="9">
        <f>MONTH([1]!Engagement_Summary[[#This Row],[Week_Start_Date]])</f>
        <v>9</v>
      </c>
      <c r="K17" s="9">
        <f t="shared" si="0"/>
        <v>2</v>
      </c>
      <c r="L17" s="9">
        <f t="shared" si="2"/>
        <v>1334</v>
      </c>
      <c r="M17" s="18">
        <v>1</v>
      </c>
      <c r="N17" s="30">
        <v>220020</v>
      </c>
      <c r="AL17" s="20">
        <v>2024</v>
      </c>
      <c r="AM17" s="9"/>
      <c r="AN17" s="9"/>
      <c r="AO17" s="9"/>
      <c r="AP17" s="9"/>
      <c r="AQ17" s="9"/>
      <c r="AR17" s="9">
        <v>745</v>
      </c>
      <c r="AS17" s="9">
        <v>760.5</v>
      </c>
      <c r="AT17" s="9">
        <v>932</v>
      </c>
      <c r="AU17" s="9">
        <v>1090</v>
      </c>
      <c r="AV17" s="9">
        <v>464</v>
      </c>
      <c r="AW17" s="9">
        <v>573.75</v>
      </c>
      <c r="AX17" s="9">
        <v>1198</v>
      </c>
      <c r="AY17" s="9">
        <v>823.32142857142856</v>
      </c>
      <c r="BA17" s="18">
        <v>4</v>
      </c>
      <c r="BB17">
        <v>786564</v>
      </c>
      <c r="BV17" s="8">
        <v>45516</v>
      </c>
      <c r="BW17" s="9" t="s">
        <v>15</v>
      </c>
      <c r="BX17" s="9">
        <v>1534</v>
      </c>
      <c r="BY17" s="9">
        <v>200</v>
      </c>
      <c r="BZ17" s="9">
        <v>307612</v>
      </c>
      <c r="CA17" s="11">
        <v>6.0100000000000001E-2</v>
      </c>
      <c r="CB17" s="12">
        <v>37903</v>
      </c>
      <c r="CC17" s="9">
        <f>YEAR([1]!Engagement_Summary[[#This Row],[Week_Start_Date]])</f>
        <v>2024</v>
      </c>
      <c r="CD17" s="9">
        <f>MONTH([1]!Engagement_Summary[[#This Row],[Week_Start_Date]])</f>
        <v>9</v>
      </c>
      <c r="CE17" s="9">
        <f t="shared" si="1"/>
        <v>2</v>
      </c>
      <c r="CF17" s="9">
        <v>1334</v>
      </c>
      <c r="CH17" s="4">
        <v>37903</v>
      </c>
      <c r="CI17">
        <f>[1]!Engagement_Summary[[#This Row],[New_Followers]]-[1]!Engagement_Summary[[#This Row],[Unfollows]]</f>
        <v>98</v>
      </c>
    </row>
    <row r="18" spans="1:87" x14ac:dyDescent="0.25">
      <c r="A18" s="23" t="s">
        <v>29</v>
      </c>
      <c r="B18" s="23"/>
      <c r="D18" s="8">
        <v>45523</v>
      </c>
      <c r="E18" s="9" t="s">
        <v>15</v>
      </c>
      <c r="F18" s="9">
        <v>1078</v>
      </c>
      <c r="G18" s="9">
        <v>20</v>
      </c>
      <c r="H18" s="9">
        <v>183924</v>
      </c>
      <c r="I18" s="9">
        <f>YEAR([1]!Engagement_Summary[[#This Row],[Week_Start_Date]])</f>
        <v>2024</v>
      </c>
      <c r="J18" s="9">
        <f>MONTH([1]!Engagement_Summary[[#This Row],[Week_Start_Date]])</f>
        <v>9</v>
      </c>
      <c r="K18" s="9">
        <f t="shared" si="0"/>
        <v>3</v>
      </c>
      <c r="L18" s="9">
        <f t="shared" si="2"/>
        <v>1058</v>
      </c>
      <c r="M18" s="18">
        <v>2</v>
      </c>
      <c r="N18" s="30">
        <v>251694</v>
      </c>
      <c r="AL18" s="20">
        <v>2025</v>
      </c>
      <c r="AM18" s="9">
        <v>694.25</v>
      </c>
      <c r="AN18" s="9">
        <v>1320.25</v>
      </c>
      <c r="AO18" s="9">
        <v>928</v>
      </c>
      <c r="AP18" s="9">
        <v>-34.25</v>
      </c>
      <c r="AQ18" s="9">
        <v>498.75</v>
      </c>
      <c r="AR18" s="9"/>
      <c r="AS18" s="9"/>
      <c r="AT18" s="9"/>
      <c r="AU18" s="9"/>
      <c r="AV18" s="9"/>
      <c r="AW18" s="9"/>
      <c r="AX18" s="9"/>
      <c r="AY18" s="9">
        <v>681.4</v>
      </c>
      <c r="BA18" s="17">
        <v>7</v>
      </c>
      <c r="BB18">
        <v>4955808</v>
      </c>
      <c r="BV18" s="8">
        <v>45523</v>
      </c>
      <c r="BW18" s="9" t="s">
        <v>15</v>
      </c>
      <c r="BX18" s="9">
        <v>1078</v>
      </c>
      <c r="BY18" s="9">
        <v>20</v>
      </c>
      <c r="BZ18" s="9">
        <v>183924</v>
      </c>
      <c r="CA18" s="11">
        <v>8.8399999999999992E-2</v>
      </c>
      <c r="CB18" s="12">
        <v>14203</v>
      </c>
      <c r="CC18" s="9">
        <f>YEAR([1]!Engagement_Summary[[#This Row],[Week_Start_Date]])</f>
        <v>2024</v>
      </c>
      <c r="CD18" s="9">
        <f>MONTH([1]!Engagement_Summary[[#This Row],[Week_Start_Date]])</f>
        <v>9</v>
      </c>
      <c r="CE18" s="9">
        <f t="shared" si="1"/>
        <v>3</v>
      </c>
      <c r="CF18" s="9">
        <v>1058</v>
      </c>
      <c r="CH18" s="4">
        <v>14203</v>
      </c>
      <c r="CI18">
        <f>[1]!Engagement_Summary[[#This Row],[New_Followers]]-[1]!Engagement_Summary[[#This Row],[Unfollows]]</f>
        <v>-19</v>
      </c>
    </row>
    <row r="19" spans="1:87" x14ac:dyDescent="0.25">
      <c r="A19" s="23"/>
      <c r="B19" s="23"/>
      <c r="D19" s="8">
        <v>45530</v>
      </c>
      <c r="E19" s="9" t="s">
        <v>15</v>
      </c>
      <c r="F19" s="9">
        <v>248</v>
      </c>
      <c r="G19" s="9">
        <v>211</v>
      </c>
      <c r="H19" s="9">
        <v>379380</v>
      </c>
      <c r="I19" s="9">
        <f>YEAR([1]!Engagement_Summary[[#This Row],[Week_Start_Date]])</f>
        <v>2024</v>
      </c>
      <c r="J19" s="9">
        <f>MONTH([1]!Engagement_Summary[[#This Row],[Week_Start_Date]])</f>
        <v>9</v>
      </c>
      <c r="K19" s="9">
        <f t="shared" si="0"/>
        <v>4</v>
      </c>
      <c r="L19" s="9">
        <f t="shared" si="2"/>
        <v>37</v>
      </c>
      <c r="M19" s="18">
        <v>3</v>
      </c>
      <c r="N19" s="30">
        <v>334626</v>
      </c>
      <c r="AL19" s="19">
        <v>3</v>
      </c>
      <c r="AM19" s="9">
        <v>903.5</v>
      </c>
      <c r="AN19" s="9">
        <v>923.25</v>
      </c>
      <c r="AO19" s="9">
        <v>1010.5</v>
      </c>
      <c r="AP19" s="9">
        <v>1010</v>
      </c>
      <c r="AQ19" s="9"/>
      <c r="AR19" s="9">
        <v>976.75</v>
      </c>
      <c r="AS19" s="9">
        <v>567.5</v>
      </c>
      <c r="AT19" s="9">
        <v>747.25</v>
      </c>
      <c r="AU19" s="9">
        <v>392</v>
      </c>
      <c r="AV19" s="9">
        <v>705.25</v>
      </c>
      <c r="AW19" s="9">
        <v>132</v>
      </c>
      <c r="AX19" s="9">
        <v>1261</v>
      </c>
      <c r="AY19" s="9">
        <v>784.4545454545455</v>
      </c>
      <c r="BA19" s="18">
        <v>1</v>
      </c>
      <c r="BB19">
        <v>1068450</v>
      </c>
      <c r="BV19" s="8">
        <v>45530</v>
      </c>
      <c r="BW19" s="9" t="s">
        <v>15</v>
      </c>
      <c r="BX19" s="9">
        <v>248</v>
      </c>
      <c r="BY19" s="9">
        <v>211</v>
      </c>
      <c r="BZ19" s="9">
        <v>379380</v>
      </c>
      <c r="CA19" s="11">
        <v>9.0399999999999994E-2</v>
      </c>
      <c r="CB19" s="12">
        <v>26925</v>
      </c>
      <c r="CC19" s="9">
        <f>YEAR([1]!Engagement_Summary[[#This Row],[Week_Start_Date]])</f>
        <v>2024</v>
      </c>
      <c r="CD19" s="9">
        <f>MONTH([1]!Engagement_Summary[[#This Row],[Week_Start_Date]])</f>
        <v>9</v>
      </c>
      <c r="CE19" s="9">
        <f t="shared" si="1"/>
        <v>4</v>
      </c>
      <c r="CF19" s="9">
        <v>37</v>
      </c>
      <c r="CH19" s="4">
        <v>26925</v>
      </c>
      <c r="CI19">
        <f>[1]!Engagement_Summary[[#This Row],[New_Followers]]-[1]!Engagement_Summary[[#This Row],[Unfollows]]</f>
        <v>-179</v>
      </c>
    </row>
    <row r="20" spans="1:87" x14ac:dyDescent="0.25">
      <c r="A20" s="23"/>
      <c r="B20" s="23"/>
      <c r="D20" s="8">
        <v>45537</v>
      </c>
      <c r="E20" s="9" t="s">
        <v>15</v>
      </c>
      <c r="F20" s="9">
        <v>1520</v>
      </c>
      <c r="G20" s="9">
        <v>475</v>
      </c>
      <c r="H20" s="9">
        <v>496982</v>
      </c>
      <c r="I20" s="9">
        <f>YEAR([1]!Engagement_Summary[[#This Row],[Week_Start_Date]])</f>
        <v>2024</v>
      </c>
      <c r="J20" s="9">
        <f>MONTH([1]!Engagement_Summary[[#This Row],[Week_Start_Date]])</f>
        <v>10</v>
      </c>
      <c r="K20" s="9">
        <f t="shared" si="0"/>
        <v>1</v>
      </c>
      <c r="L20" s="9">
        <f t="shared" si="2"/>
        <v>1045</v>
      </c>
      <c r="M20" s="18">
        <v>4</v>
      </c>
      <c r="N20" s="30">
        <v>295032</v>
      </c>
      <c r="AL20" s="20">
        <v>2024</v>
      </c>
      <c r="AM20" s="9"/>
      <c r="AN20" s="9"/>
      <c r="AO20" s="9"/>
      <c r="AP20" s="9"/>
      <c r="AQ20" s="9"/>
      <c r="AR20" s="9">
        <v>976.75</v>
      </c>
      <c r="AS20" s="9">
        <v>567.5</v>
      </c>
      <c r="AT20" s="9">
        <v>747.25</v>
      </c>
      <c r="AU20" s="9">
        <v>392</v>
      </c>
      <c r="AV20" s="9">
        <v>705.25</v>
      </c>
      <c r="AW20" s="9">
        <v>132</v>
      </c>
      <c r="AX20" s="9">
        <v>1261</v>
      </c>
      <c r="AY20" s="9">
        <v>683.10714285714289</v>
      </c>
      <c r="BA20" s="18">
        <v>2</v>
      </c>
      <c r="BB20">
        <v>933421</v>
      </c>
      <c r="BV20" s="8">
        <v>45537</v>
      </c>
      <c r="BW20" s="9" t="s">
        <v>15</v>
      </c>
      <c r="BX20" s="9">
        <v>1520</v>
      </c>
      <c r="BY20" s="9">
        <v>475</v>
      </c>
      <c r="BZ20" s="9">
        <v>496982</v>
      </c>
      <c r="CA20" s="11">
        <v>6.4100000000000004E-2</v>
      </c>
      <c r="CB20" s="12">
        <v>24384</v>
      </c>
      <c r="CC20" s="9">
        <f>YEAR([1]!Engagement_Summary[[#This Row],[Week_Start_Date]])</f>
        <v>2024</v>
      </c>
      <c r="CD20" s="9">
        <f>MONTH([1]!Engagement_Summary[[#This Row],[Week_Start_Date]])</f>
        <v>10</v>
      </c>
      <c r="CE20" s="9">
        <f t="shared" si="1"/>
        <v>1</v>
      </c>
      <c r="CF20" s="9">
        <v>1045</v>
      </c>
      <c r="CH20" s="4">
        <v>24384</v>
      </c>
      <c r="CI20">
        <f>[1]!Engagement_Summary[[#This Row],[New_Followers]]-[1]!Engagement_Summary[[#This Row],[Unfollows]]</f>
        <v>1662</v>
      </c>
    </row>
    <row r="21" spans="1:87" x14ac:dyDescent="0.25">
      <c r="A21" s="23"/>
      <c r="B21" s="23"/>
      <c r="D21" s="8">
        <v>45544</v>
      </c>
      <c r="E21" s="9" t="s">
        <v>15</v>
      </c>
      <c r="F21" s="9">
        <v>1842</v>
      </c>
      <c r="G21" s="9">
        <v>414</v>
      </c>
      <c r="H21" s="9">
        <v>307524</v>
      </c>
      <c r="I21" s="9">
        <f>YEAR([1]!Engagement_Summary[[#This Row],[Week_Start_Date]])</f>
        <v>2024</v>
      </c>
      <c r="J21" s="9">
        <f>MONTH([1]!Engagement_Summary[[#This Row],[Week_Start_Date]])</f>
        <v>10</v>
      </c>
      <c r="K21" s="9">
        <f t="shared" si="0"/>
        <v>2</v>
      </c>
      <c r="L21" s="9">
        <f t="shared" si="2"/>
        <v>1428</v>
      </c>
      <c r="M21" s="18">
        <v>5</v>
      </c>
      <c r="N21" s="30">
        <v>435034</v>
      </c>
      <c r="AL21" s="20">
        <v>2025</v>
      </c>
      <c r="AM21" s="9">
        <v>903.5</v>
      </c>
      <c r="AN21" s="9">
        <v>923.25</v>
      </c>
      <c r="AO21" s="9">
        <v>1010.5</v>
      </c>
      <c r="AP21" s="9">
        <v>1010</v>
      </c>
      <c r="AQ21" s="9"/>
      <c r="AR21" s="9"/>
      <c r="AS21" s="9"/>
      <c r="AT21" s="9"/>
      <c r="AU21" s="9"/>
      <c r="AV21" s="9"/>
      <c r="AW21" s="9"/>
      <c r="AX21" s="9"/>
      <c r="AY21" s="9">
        <v>961.8125</v>
      </c>
      <c r="BA21" s="18">
        <v>3</v>
      </c>
      <c r="BB21">
        <v>871480</v>
      </c>
      <c r="BV21" s="8">
        <v>45544</v>
      </c>
      <c r="BW21" s="9" t="s">
        <v>15</v>
      </c>
      <c r="BX21" s="9">
        <v>1842</v>
      </c>
      <c r="BY21" s="9">
        <v>414</v>
      </c>
      <c r="BZ21" s="9">
        <v>307524</v>
      </c>
      <c r="CA21" s="11">
        <v>1.7600000000000001E-2</v>
      </c>
      <c r="CB21" s="12">
        <v>40478</v>
      </c>
      <c r="CC21" s="9">
        <f>YEAR([1]!Engagement_Summary[[#This Row],[Week_Start_Date]])</f>
        <v>2024</v>
      </c>
      <c r="CD21" s="9">
        <f>MONTH([1]!Engagement_Summary[[#This Row],[Week_Start_Date]])</f>
        <v>10</v>
      </c>
      <c r="CE21" s="9">
        <f t="shared" si="1"/>
        <v>2</v>
      </c>
      <c r="CF21" s="9">
        <v>1428</v>
      </c>
      <c r="CH21" s="4">
        <v>40478</v>
      </c>
      <c r="CI21">
        <f>[1]!Engagement_Summary[[#This Row],[New_Followers]]-[1]!Engagement_Summary[[#This Row],[Unfollows]]</f>
        <v>285</v>
      </c>
    </row>
    <row r="22" spans="1:87" x14ac:dyDescent="0.25">
      <c r="D22" s="8">
        <v>45551</v>
      </c>
      <c r="E22" s="9" t="s">
        <v>15</v>
      </c>
      <c r="F22" s="9">
        <v>443</v>
      </c>
      <c r="G22" s="9">
        <v>345</v>
      </c>
      <c r="H22" s="9">
        <v>474162</v>
      </c>
      <c r="I22" s="9">
        <f>YEAR([1]!Engagement_Summary[[#This Row],[Week_Start_Date]])</f>
        <v>2024</v>
      </c>
      <c r="J22" s="9">
        <f>MONTH([1]!Engagement_Summary[[#This Row],[Week_Start_Date]])</f>
        <v>10</v>
      </c>
      <c r="K22" s="9">
        <f t="shared" si="0"/>
        <v>3</v>
      </c>
      <c r="L22" s="9">
        <f t="shared" si="2"/>
        <v>98</v>
      </c>
      <c r="M22" s="17">
        <v>8</v>
      </c>
      <c r="N22" s="30">
        <v>248987.5</v>
      </c>
      <c r="AL22" s="19">
        <v>4</v>
      </c>
      <c r="AM22" s="9">
        <v>845.75</v>
      </c>
      <c r="AN22" s="9">
        <v>1201.5</v>
      </c>
      <c r="AO22" s="9">
        <v>404</v>
      </c>
      <c r="AP22" s="9">
        <v>894.25</v>
      </c>
      <c r="AQ22" s="9"/>
      <c r="AR22" s="9">
        <v>752.75</v>
      </c>
      <c r="AS22" s="9">
        <v>688.25</v>
      </c>
      <c r="AT22" s="9">
        <v>725.75</v>
      </c>
      <c r="AU22" s="9">
        <v>833.25</v>
      </c>
      <c r="AV22" s="9">
        <v>664</v>
      </c>
      <c r="AW22" s="9">
        <v>1002</v>
      </c>
      <c r="AX22" s="9">
        <v>978.5</v>
      </c>
      <c r="AY22" s="9">
        <v>817.27272727272725</v>
      </c>
      <c r="BA22" s="18">
        <v>4</v>
      </c>
      <c r="BB22">
        <v>1273686</v>
      </c>
      <c r="BV22" s="8">
        <v>45551</v>
      </c>
      <c r="BW22" s="9" t="s">
        <v>15</v>
      </c>
      <c r="BX22" s="9">
        <v>443</v>
      </c>
      <c r="BY22" s="9">
        <v>345</v>
      </c>
      <c r="BZ22" s="9">
        <v>474162</v>
      </c>
      <c r="CA22" s="11">
        <v>9.1999999999999998E-2</v>
      </c>
      <c r="CB22" s="12">
        <v>47462</v>
      </c>
      <c r="CC22" s="9">
        <f>YEAR([1]!Engagement_Summary[[#This Row],[Week_Start_Date]])</f>
        <v>2024</v>
      </c>
      <c r="CD22" s="9">
        <f>MONTH([1]!Engagement_Summary[[#This Row],[Week_Start_Date]])</f>
        <v>10</v>
      </c>
      <c r="CE22" s="9">
        <f t="shared" si="1"/>
        <v>3</v>
      </c>
      <c r="CF22" s="9">
        <v>98</v>
      </c>
      <c r="CH22" s="4">
        <v>47462</v>
      </c>
      <c r="CI22">
        <f>[1]!Engagement_Summary[[#This Row],[New_Followers]]-[1]!Engagement_Summary[[#This Row],[Unfollows]]</f>
        <v>439</v>
      </c>
    </row>
    <row r="23" spans="1:87" x14ac:dyDescent="0.25">
      <c r="D23" s="8">
        <v>45558</v>
      </c>
      <c r="E23" s="9" t="s">
        <v>15</v>
      </c>
      <c r="F23" s="9">
        <v>198</v>
      </c>
      <c r="G23" s="9">
        <v>217</v>
      </c>
      <c r="H23" s="9">
        <v>239753</v>
      </c>
      <c r="I23" s="9">
        <f>YEAR([1]!Engagement_Summary[[#This Row],[Week_Start_Date]])</f>
        <v>2024</v>
      </c>
      <c r="J23" s="9">
        <f>MONTH([1]!Engagement_Summary[[#This Row],[Week_Start_Date]])</f>
        <v>10</v>
      </c>
      <c r="K23" s="9">
        <f t="shared" si="0"/>
        <v>4</v>
      </c>
      <c r="L23" s="9">
        <f t="shared" si="2"/>
        <v>-19</v>
      </c>
      <c r="M23" s="18">
        <v>1</v>
      </c>
      <c r="N23" s="30">
        <v>125034</v>
      </c>
      <c r="AL23" s="20">
        <v>2024</v>
      </c>
      <c r="AM23" s="9"/>
      <c r="AN23" s="9"/>
      <c r="AO23" s="9"/>
      <c r="AP23" s="9"/>
      <c r="AQ23" s="9"/>
      <c r="AR23" s="9">
        <v>752.75</v>
      </c>
      <c r="AS23" s="9">
        <v>688.25</v>
      </c>
      <c r="AT23" s="9">
        <v>725.75</v>
      </c>
      <c r="AU23" s="9">
        <v>833.25</v>
      </c>
      <c r="AV23" s="9">
        <v>664</v>
      </c>
      <c r="AW23" s="9">
        <v>1002</v>
      </c>
      <c r="AX23" s="9">
        <v>978.5</v>
      </c>
      <c r="AY23" s="9">
        <v>806.35714285714289</v>
      </c>
      <c r="BA23" s="18">
        <v>5</v>
      </c>
      <c r="BB23">
        <v>808771</v>
      </c>
      <c r="BV23" s="8">
        <v>45558</v>
      </c>
      <c r="BW23" s="9" t="s">
        <v>15</v>
      </c>
      <c r="BX23" s="9">
        <v>198</v>
      </c>
      <c r="BY23" s="9">
        <v>217</v>
      </c>
      <c r="BZ23" s="9">
        <v>239753</v>
      </c>
      <c r="CA23" s="11">
        <v>7.3599999999999999E-2</v>
      </c>
      <c r="CB23" s="12">
        <v>11901</v>
      </c>
      <c r="CC23" s="9">
        <f>YEAR([1]!Engagement_Summary[[#This Row],[Week_Start_Date]])</f>
        <v>2024</v>
      </c>
      <c r="CD23" s="9">
        <f>MONTH([1]!Engagement_Summary[[#This Row],[Week_Start_Date]])</f>
        <v>10</v>
      </c>
      <c r="CE23" s="9">
        <f t="shared" si="1"/>
        <v>4</v>
      </c>
      <c r="CF23" s="9">
        <v>-19</v>
      </c>
      <c r="CH23" s="4">
        <v>11901</v>
      </c>
      <c r="CI23">
        <f>[1]!Engagement_Summary[[#This Row],[New_Followers]]-[1]!Engagement_Summary[[#This Row],[Unfollows]]</f>
        <v>386</v>
      </c>
    </row>
    <row r="24" spans="1:87" x14ac:dyDescent="0.25">
      <c r="D24" s="8">
        <v>45565</v>
      </c>
      <c r="E24" s="9" t="s">
        <v>15</v>
      </c>
      <c r="F24" s="9">
        <v>250</v>
      </c>
      <c r="G24" s="9">
        <v>429</v>
      </c>
      <c r="H24" s="9">
        <v>453423</v>
      </c>
      <c r="I24" s="9">
        <f>YEAR([1]!Engagement_Summary[[#This Row],[Week_Start_Date]])</f>
        <v>2024</v>
      </c>
      <c r="J24" s="9">
        <f>MONTH([1]!Engagement_Summary[[#This Row],[Week_Start_Date]])</f>
        <v>11</v>
      </c>
      <c r="K24" s="9">
        <f t="shared" si="0"/>
        <v>5</v>
      </c>
      <c r="L24" s="9">
        <f t="shared" si="2"/>
        <v>-179</v>
      </c>
      <c r="M24" s="18">
        <v>2</v>
      </c>
      <c r="N24" s="30">
        <v>307612</v>
      </c>
      <c r="AL24" s="20">
        <v>2025</v>
      </c>
      <c r="AM24" s="9">
        <v>845.75</v>
      </c>
      <c r="AN24" s="9">
        <v>1201.5</v>
      </c>
      <c r="AO24" s="9">
        <v>404</v>
      </c>
      <c r="AP24" s="9">
        <v>894.25</v>
      </c>
      <c r="AQ24" s="9"/>
      <c r="AR24" s="9"/>
      <c r="AS24" s="9"/>
      <c r="AT24" s="9"/>
      <c r="AU24" s="9"/>
      <c r="AV24" s="9"/>
      <c r="AW24" s="9"/>
      <c r="AX24" s="9"/>
      <c r="AY24" s="9">
        <v>836.375</v>
      </c>
      <c r="BA24" s="17">
        <v>8</v>
      </c>
      <c r="BB24">
        <v>4711514</v>
      </c>
      <c r="BV24" s="8">
        <v>45565</v>
      </c>
      <c r="BW24" s="9" t="s">
        <v>15</v>
      </c>
      <c r="BX24" s="9">
        <v>250</v>
      </c>
      <c r="BY24" s="9">
        <v>429</v>
      </c>
      <c r="BZ24" s="9">
        <v>453423</v>
      </c>
      <c r="CA24" s="11">
        <v>1.77E-2</v>
      </c>
      <c r="CB24" s="12">
        <v>2315</v>
      </c>
      <c r="CC24" s="9">
        <f>YEAR([1]!Engagement_Summary[[#This Row],[Week_Start_Date]])</f>
        <v>2024</v>
      </c>
      <c r="CD24" s="9">
        <f>MONTH([1]!Engagement_Summary[[#This Row],[Week_Start_Date]])</f>
        <v>11</v>
      </c>
      <c r="CE24" s="9">
        <f t="shared" si="1"/>
        <v>5</v>
      </c>
      <c r="CF24" s="9">
        <v>-179</v>
      </c>
      <c r="CH24" s="4">
        <v>2315</v>
      </c>
      <c r="CI24">
        <f>[1]!Engagement_Summary[[#This Row],[New_Followers]]-[1]!Engagement_Summary[[#This Row],[Unfollows]]</f>
        <v>540</v>
      </c>
    </row>
    <row r="25" spans="1:87" x14ac:dyDescent="0.25">
      <c r="D25" s="8">
        <v>45572</v>
      </c>
      <c r="E25" s="9" t="s">
        <v>15</v>
      </c>
      <c r="F25" s="9">
        <v>1929</v>
      </c>
      <c r="G25" s="9">
        <v>267</v>
      </c>
      <c r="H25" s="9">
        <v>379363</v>
      </c>
      <c r="I25" s="9">
        <f>YEAR([1]!Engagement_Summary[[#This Row],[Week_Start_Date]])</f>
        <v>2024</v>
      </c>
      <c r="J25" s="9">
        <f>MONTH([1]!Engagement_Summary[[#This Row],[Week_Start_Date]])</f>
        <v>11</v>
      </c>
      <c r="K25" s="9">
        <f t="shared" si="0"/>
        <v>1</v>
      </c>
      <c r="L25" s="9">
        <f t="shared" si="2"/>
        <v>1662</v>
      </c>
      <c r="M25" s="18">
        <v>3</v>
      </c>
      <c r="N25" s="30">
        <v>183924</v>
      </c>
      <c r="AL25" s="19">
        <v>5</v>
      </c>
      <c r="AM25" s="9"/>
      <c r="AN25" s="9"/>
      <c r="AO25" s="9">
        <v>1074.5</v>
      </c>
      <c r="AP25" s="9"/>
      <c r="AQ25" s="9"/>
      <c r="AR25" s="9"/>
      <c r="AS25" s="9">
        <v>548.25</v>
      </c>
      <c r="AT25" s="9"/>
      <c r="AU25" s="9">
        <v>787.75</v>
      </c>
      <c r="AV25" s="9"/>
      <c r="AW25" s="9"/>
      <c r="AX25" s="9">
        <v>1632.5</v>
      </c>
      <c r="AY25" s="9">
        <v>1010.75</v>
      </c>
      <c r="BA25" s="18">
        <v>1</v>
      </c>
      <c r="BB25">
        <v>1333646</v>
      </c>
      <c r="BV25" s="8">
        <v>45572</v>
      </c>
      <c r="BW25" s="9" t="s">
        <v>15</v>
      </c>
      <c r="BX25" s="9">
        <v>1929</v>
      </c>
      <c r="BY25" s="9">
        <v>267</v>
      </c>
      <c r="BZ25" s="9">
        <v>379363</v>
      </c>
      <c r="CA25" s="11">
        <v>1.7500000000000002E-2</v>
      </c>
      <c r="CB25" s="12">
        <v>43836</v>
      </c>
      <c r="CC25" s="9">
        <f>YEAR([1]!Engagement_Summary[[#This Row],[Week_Start_Date]])</f>
        <v>2024</v>
      </c>
      <c r="CD25" s="9">
        <f>MONTH([1]!Engagement_Summary[[#This Row],[Week_Start_Date]])</f>
        <v>11</v>
      </c>
      <c r="CE25" s="9">
        <f t="shared" si="1"/>
        <v>1</v>
      </c>
      <c r="CF25" s="9">
        <v>1662</v>
      </c>
      <c r="CH25" s="4">
        <v>43836</v>
      </c>
      <c r="CI25">
        <f>[1]!Engagement_Summary[[#This Row],[New_Followers]]-[1]!Engagement_Summary[[#This Row],[Unfollows]]</f>
        <v>-106</v>
      </c>
    </row>
    <row r="26" spans="1:87" x14ac:dyDescent="0.25">
      <c r="D26" s="8">
        <v>45579</v>
      </c>
      <c r="E26" s="9" t="s">
        <v>15</v>
      </c>
      <c r="F26" s="9">
        <v>643</v>
      </c>
      <c r="G26" s="9">
        <v>358</v>
      </c>
      <c r="H26" s="9">
        <v>157599</v>
      </c>
      <c r="I26" s="9">
        <f>YEAR([1]!Engagement_Summary[[#This Row],[Week_Start_Date]])</f>
        <v>2024</v>
      </c>
      <c r="J26" s="9">
        <f>MONTH([1]!Engagement_Summary[[#This Row],[Week_Start_Date]])</f>
        <v>11</v>
      </c>
      <c r="K26" s="9">
        <f t="shared" si="0"/>
        <v>2</v>
      </c>
      <c r="L26" s="9">
        <f t="shared" si="2"/>
        <v>285</v>
      </c>
      <c r="M26" s="18">
        <v>4</v>
      </c>
      <c r="N26" s="30">
        <v>379380</v>
      </c>
      <c r="AL26" s="20">
        <v>2024</v>
      </c>
      <c r="AM26" s="9"/>
      <c r="AN26" s="9"/>
      <c r="AO26" s="9"/>
      <c r="AP26" s="9"/>
      <c r="AQ26" s="9"/>
      <c r="AR26" s="9"/>
      <c r="AS26" s="9">
        <v>548.25</v>
      </c>
      <c r="AT26" s="9"/>
      <c r="AU26" s="9">
        <v>787.75</v>
      </c>
      <c r="AV26" s="9"/>
      <c r="AW26" s="9"/>
      <c r="AX26" s="9">
        <v>1632.5</v>
      </c>
      <c r="AY26" s="9">
        <v>989.5</v>
      </c>
      <c r="BA26" s="18">
        <v>2</v>
      </c>
      <c r="BB26">
        <v>1333725</v>
      </c>
      <c r="BV26" s="8">
        <v>45579</v>
      </c>
      <c r="BW26" s="9" t="s">
        <v>15</v>
      </c>
      <c r="BX26" s="9">
        <v>643</v>
      </c>
      <c r="BY26" s="9">
        <v>358</v>
      </c>
      <c r="BZ26" s="9">
        <v>157599</v>
      </c>
      <c r="CA26" s="11">
        <v>3.8800000000000001E-2</v>
      </c>
      <c r="CB26" s="12">
        <v>7285</v>
      </c>
      <c r="CC26" s="9">
        <f>YEAR([1]!Engagement_Summary[[#This Row],[Week_Start_Date]])</f>
        <v>2024</v>
      </c>
      <c r="CD26" s="9">
        <f>MONTH([1]!Engagement_Summary[[#This Row],[Week_Start_Date]])</f>
        <v>11</v>
      </c>
      <c r="CE26" s="9">
        <f t="shared" si="1"/>
        <v>2</v>
      </c>
      <c r="CF26" s="9">
        <v>285</v>
      </c>
      <c r="CH26" s="4">
        <v>7285</v>
      </c>
      <c r="CI26">
        <f>[1]!Engagement_Summary[[#This Row],[New_Followers]]-[1]!Engagement_Summary[[#This Row],[Unfollows]]</f>
        <v>72</v>
      </c>
    </row>
    <row r="27" spans="1:87" x14ac:dyDescent="0.25">
      <c r="D27" s="8">
        <v>45586</v>
      </c>
      <c r="E27" s="9" t="s">
        <v>15</v>
      </c>
      <c r="F27" s="9">
        <v>508</v>
      </c>
      <c r="G27" s="9">
        <v>69</v>
      </c>
      <c r="H27" s="9">
        <v>23492</v>
      </c>
      <c r="I27" s="9">
        <f>YEAR([1]!Engagement_Summary[[#This Row],[Week_Start_Date]])</f>
        <v>2024</v>
      </c>
      <c r="J27" s="9">
        <f>MONTH([1]!Engagement_Summary[[#This Row],[Week_Start_Date]])</f>
        <v>11</v>
      </c>
      <c r="K27" s="9">
        <f t="shared" si="0"/>
        <v>3</v>
      </c>
      <c r="L27" s="9">
        <f t="shared" si="2"/>
        <v>439</v>
      </c>
      <c r="M27" s="17">
        <v>9</v>
      </c>
      <c r="N27" s="30">
        <v>394368.8</v>
      </c>
      <c r="AL27" s="20">
        <v>2025</v>
      </c>
      <c r="AM27" s="9"/>
      <c r="AN27" s="9"/>
      <c r="AO27" s="9">
        <v>1074.5</v>
      </c>
      <c r="AP27" s="9"/>
      <c r="AQ27" s="9"/>
      <c r="AR27" s="9"/>
      <c r="AS27" s="9"/>
      <c r="AT27" s="9"/>
      <c r="AU27" s="9"/>
      <c r="AV27" s="9"/>
      <c r="AW27" s="9"/>
      <c r="AX27" s="9"/>
      <c r="AY27" s="9">
        <v>1074.5</v>
      </c>
      <c r="BA27" s="18">
        <v>3</v>
      </c>
      <c r="BB27">
        <v>785466</v>
      </c>
      <c r="BV27" s="8">
        <v>45586</v>
      </c>
      <c r="BW27" s="9" t="s">
        <v>15</v>
      </c>
      <c r="BX27" s="9">
        <v>508</v>
      </c>
      <c r="BY27" s="9">
        <v>69</v>
      </c>
      <c r="BZ27" s="9">
        <v>23492</v>
      </c>
      <c r="CA27" s="11">
        <v>3.1600000000000003E-2</v>
      </c>
      <c r="CB27" s="12">
        <v>42824</v>
      </c>
      <c r="CC27" s="9">
        <f>YEAR([1]!Engagement_Summary[[#This Row],[Week_Start_Date]])</f>
        <v>2024</v>
      </c>
      <c r="CD27" s="9">
        <f>MONTH([1]!Engagement_Summary[[#This Row],[Week_Start_Date]])</f>
        <v>11</v>
      </c>
      <c r="CE27" s="9">
        <f t="shared" si="1"/>
        <v>3</v>
      </c>
      <c r="CF27" s="9">
        <v>439</v>
      </c>
      <c r="CH27" s="4">
        <v>42824</v>
      </c>
      <c r="CI27">
        <f>[1]!Engagement_Summary[[#This Row],[New_Followers]]-[1]!Engagement_Summary[[#This Row],[Unfollows]]</f>
        <v>1332</v>
      </c>
    </row>
    <row r="28" spans="1:87" x14ac:dyDescent="0.25">
      <c r="D28" s="8">
        <v>45593</v>
      </c>
      <c r="E28" s="9" t="s">
        <v>15</v>
      </c>
      <c r="F28" s="9">
        <v>859</v>
      </c>
      <c r="G28" s="9">
        <v>473</v>
      </c>
      <c r="H28" s="9">
        <v>209987</v>
      </c>
      <c r="I28" s="9">
        <f>YEAR([1]!Engagement_Summary[[#This Row],[Week_Start_Date]])</f>
        <v>2024</v>
      </c>
      <c r="J28" s="9">
        <f>MONTH([1]!Engagement_Summary[[#This Row],[Week_Start_Date]])</f>
        <v>12</v>
      </c>
      <c r="K28" s="9">
        <f t="shared" si="0"/>
        <v>4</v>
      </c>
      <c r="L28" s="9">
        <f t="shared" si="2"/>
        <v>386</v>
      </c>
      <c r="M28" s="18">
        <v>1</v>
      </c>
      <c r="N28" s="30">
        <v>496982</v>
      </c>
      <c r="AL28" s="19" t="s">
        <v>26</v>
      </c>
      <c r="AM28" s="9">
        <v>833.1875</v>
      </c>
      <c r="AN28" s="9">
        <v>998.375</v>
      </c>
      <c r="AO28" s="9">
        <v>803.9</v>
      </c>
      <c r="AP28" s="9">
        <v>618.25</v>
      </c>
      <c r="AQ28" s="9">
        <v>823.625</v>
      </c>
      <c r="AR28" s="9">
        <v>840.75</v>
      </c>
      <c r="AS28" s="9">
        <v>577.54999999999995</v>
      </c>
      <c r="AT28" s="9">
        <v>651.375</v>
      </c>
      <c r="AU28" s="9">
        <v>761.7</v>
      </c>
      <c r="AV28" s="9">
        <v>693.25</v>
      </c>
      <c r="AW28" s="9">
        <v>713.4375</v>
      </c>
      <c r="AX28" s="9">
        <v>1253.75</v>
      </c>
      <c r="AY28" s="9">
        <v>800.52499999999998</v>
      </c>
      <c r="BA28" s="18">
        <v>4</v>
      </c>
      <c r="BB28">
        <v>1258677</v>
      </c>
      <c r="BV28" s="8">
        <v>45593</v>
      </c>
      <c r="BW28" s="9" t="s">
        <v>15</v>
      </c>
      <c r="BX28" s="9">
        <v>859</v>
      </c>
      <c r="BY28" s="9">
        <v>473</v>
      </c>
      <c r="BZ28" s="9">
        <v>209987</v>
      </c>
      <c r="CA28" s="11">
        <v>4.4600000000000001E-2</v>
      </c>
      <c r="CB28" s="12">
        <v>30214</v>
      </c>
      <c r="CC28" s="9">
        <f>YEAR([1]!Engagement_Summary[[#This Row],[Week_Start_Date]])</f>
        <v>2024</v>
      </c>
      <c r="CD28" s="9">
        <f>MONTH([1]!Engagement_Summary[[#This Row],[Week_Start_Date]])</f>
        <v>12</v>
      </c>
      <c r="CE28" s="9">
        <f t="shared" si="1"/>
        <v>4</v>
      </c>
      <c r="CF28" s="9">
        <v>386</v>
      </c>
      <c r="CH28" s="4">
        <v>30214</v>
      </c>
      <c r="CI28">
        <f>[1]!Engagement_Summary[[#This Row],[New_Followers]]-[1]!Engagement_Summary[[#This Row],[Unfollows]]</f>
        <v>1706</v>
      </c>
    </row>
    <row r="29" spans="1:87" x14ac:dyDescent="0.25">
      <c r="D29" s="8">
        <v>45600</v>
      </c>
      <c r="E29" s="9" t="s">
        <v>15</v>
      </c>
      <c r="F29" s="9">
        <v>947</v>
      </c>
      <c r="G29" s="9">
        <v>407</v>
      </c>
      <c r="H29" s="9">
        <v>319186</v>
      </c>
      <c r="I29" s="9">
        <f>YEAR([1]!Engagement_Summary[[#This Row],[Week_Start_Date]])</f>
        <v>2024</v>
      </c>
      <c r="J29" s="9">
        <f>MONTH([1]!Engagement_Summary[[#This Row],[Week_Start_Date]])</f>
        <v>12</v>
      </c>
      <c r="K29" s="9">
        <f t="shared" si="0"/>
        <v>1</v>
      </c>
      <c r="L29" s="9">
        <f t="shared" si="2"/>
        <v>540</v>
      </c>
      <c r="M29" s="18">
        <v>2</v>
      </c>
      <c r="N29" s="30">
        <v>307524</v>
      </c>
      <c r="BA29" s="17">
        <v>9</v>
      </c>
      <c r="BB29">
        <v>5486545</v>
      </c>
      <c r="BV29" s="8">
        <v>45600</v>
      </c>
      <c r="BW29" s="9" t="s">
        <v>15</v>
      </c>
      <c r="BX29" s="9">
        <v>947</v>
      </c>
      <c r="BY29" s="9">
        <v>407</v>
      </c>
      <c r="BZ29" s="9">
        <v>319186</v>
      </c>
      <c r="CA29" s="11">
        <v>3.32E-2</v>
      </c>
      <c r="CB29" s="12">
        <v>4996</v>
      </c>
      <c r="CC29" s="9">
        <f>YEAR([1]!Engagement_Summary[[#This Row],[Week_Start_Date]])</f>
        <v>2024</v>
      </c>
      <c r="CD29" s="9">
        <f>MONTH([1]!Engagement_Summary[[#This Row],[Week_Start_Date]])</f>
        <v>12</v>
      </c>
      <c r="CE29" s="9">
        <f t="shared" si="1"/>
        <v>1</v>
      </c>
      <c r="CF29" s="9">
        <v>540</v>
      </c>
      <c r="CH29" s="4">
        <v>4996</v>
      </c>
      <c r="CI29">
        <f>[1]!Engagement_Summary[[#This Row],[New_Followers]]-[1]!Engagement_Summary[[#This Row],[Unfollows]]</f>
        <v>1373</v>
      </c>
    </row>
    <row r="30" spans="1:87" x14ac:dyDescent="0.25">
      <c r="D30" s="8">
        <v>45607</v>
      </c>
      <c r="E30" s="9" t="s">
        <v>15</v>
      </c>
      <c r="F30" s="9">
        <v>171</v>
      </c>
      <c r="G30" s="9">
        <v>277</v>
      </c>
      <c r="H30" s="9">
        <v>309483</v>
      </c>
      <c r="I30" s="9">
        <f>YEAR([1]!Engagement_Summary[[#This Row],[Week_Start_Date]])</f>
        <v>2024</v>
      </c>
      <c r="J30" s="9">
        <f>MONTH([1]!Engagement_Summary[[#This Row],[Week_Start_Date]])</f>
        <v>12</v>
      </c>
      <c r="K30" s="9">
        <f t="shared" si="0"/>
        <v>2</v>
      </c>
      <c r="L30" s="9">
        <f t="shared" si="2"/>
        <v>-106</v>
      </c>
      <c r="M30" s="18">
        <v>3</v>
      </c>
      <c r="N30" s="30">
        <v>474162</v>
      </c>
      <c r="BA30" s="18">
        <v>1</v>
      </c>
      <c r="BB30">
        <v>1288064</v>
      </c>
      <c r="BV30" s="8">
        <v>45607</v>
      </c>
      <c r="BW30" s="9" t="s">
        <v>15</v>
      </c>
      <c r="BX30" s="9">
        <v>171</v>
      </c>
      <c r="BY30" s="9">
        <v>277</v>
      </c>
      <c r="BZ30" s="9">
        <v>309483</v>
      </c>
      <c r="CA30" s="11">
        <v>8.6999999999999994E-2</v>
      </c>
      <c r="CB30" s="12">
        <v>38452</v>
      </c>
      <c r="CC30" s="9">
        <f>YEAR([1]!Engagement_Summary[[#This Row],[Week_Start_Date]])</f>
        <v>2024</v>
      </c>
      <c r="CD30" s="9">
        <f>MONTH([1]!Engagement_Summary[[#This Row],[Week_Start_Date]])</f>
        <v>12</v>
      </c>
      <c r="CE30" s="9">
        <f t="shared" si="1"/>
        <v>2</v>
      </c>
      <c r="CF30" s="9">
        <v>-106</v>
      </c>
      <c r="CH30" s="4">
        <v>38452</v>
      </c>
      <c r="CI30">
        <f>[1]!Engagement_Summary[[#This Row],[New_Followers]]-[1]!Engagement_Summary[[#This Row],[Unfollows]]</f>
        <v>1377</v>
      </c>
    </row>
    <row r="31" spans="1:87" x14ac:dyDescent="0.25">
      <c r="D31" s="8">
        <v>45614</v>
      </c>
      <c r="E31" s="9" t="s">
        <v>15</v>
      </c>
      <c r="F31" s="9">
        <v>513</v>
      </c>
      <c r="G31" s="9">
        <v>441</v>
      </c>
      <c r="H31" s="9">
        <v>338847</v>
      </c>
      <c r="I31" s="9">
        <f>YEAR([1]!Engagement_Summary[[#This Row],[Week_Start_Date]])</f>
        <v>2024</v>
      </c>
      <c r="J31" s="9">
        <f>MONTH([1]!Engagement_Summary[[#This Row],[Week_Start_Date]])</f>
        <v>12</v>
      </c>
      <c r="K31" s="9">
        <f t="shared" si="0"/>
        <v>3</v>
      </c>
      <c r="L31" s="9">
        <f t="shared" si="2"/>
        <v>72</v>
      </c>
      <c r="M31" s="18">
        <v>4</v>
      </c>
      <c r="N31" s="30">
        <v>239753</v>
      </c>
      <c r="AL31" s="24" t="s">
        <v>30</v>
      </c>
      <c r="AM31" s="25"/>
      <c r="AN31" s="25"/>
      <c r="AO31" s="25"/>
      <c r="AP31" s="25"/>
      <c r="AQ31" s="25"/>
      <c r="AR31" s="25"/>
      <c r="AS31" s="25"/>
      <c r="AT31" s="25"/>
      <c r="AU31" s="25"/>
      <c r="AV31" s="13"/>
      <c r="AW31" s="13"/>
      <c r="AX31" s="13"/>
      <c r="BA31" s="18">
        <v>2</v>
      </c>
      <c r="BB31">
        <v>1184208</v>
      </c>
      <c r="BV31" s="8">
        <v>45614</v>
      </c>
      <c r="BW31" s="9" t="s">
        <v>15</v>
      </c>
      <c r="BX31" s="9">
        <v>513</v>
      </c>
      <c r="BY31" s="9">
        <v>441</v>
      </c>
      <c r="BZ31" s="9">
        <v>338847</v>
      </c>
      <c r="CA31" s="11">
        <v>2.6800000000000001E-2</v>
      </c>
      <c r="CB31" s="12">
        <v>39997</v>
      </c>
      <c r="CC31" s="9">
        <f>YEAR([1]!Engagement_Summary[[#This Row],[Week_Start_Date]])</f>
        <v>2024</v>
      </c>
      <c r="CD31" s="9">
        <f>MONTH([1]!Engagement_Summary[[#This Row],[Week_Start_Date]])</f>
        <v>12</v>
      </c>
      <c r="CE31" s="9">
        <f t="shared" si="1"/>
        <v>3</v>
      </c>
      <c r="CF31" s="9">
        <v>72</v>
      </c>
      <c r="CH31" s="4">
        <v>39997</v>
      </c>
      <c r="CI31">
        <f>[1]!Engagement_Summary[[#This Row],[New_Followers]]-[1]!Engagement_Summary[[#This Row],[Unfollows]]</f>
        <v>730</v>
      </c>
    </row>
    <row r="32" spans="1:87" x14ac:dyDescent="0.25">
      <c r="D32" s="8">
        <v>45621</v>
      </c>
      <c r="E32" s="9" t="s">
        <v>15</v>
      </c>
      <c r="F32" s="9">
        <v>1710</v>
      </c>
      <c r="G32" s="9">
        <v>378</v>
      </c>
      <c r="H32" s="9">
        <v>336661</v>
      </c>
      <c r="I32" s="9">
        <f>YEAR([1]!Engagement_Summary[[#This Row],[Week_Start_Date]])</f>
        <v>2024</v>
      </c>
      <c r="J32" s="9">
        <f>MONTH([1]!Engagement_Summary[[#This Row],[Week_Start_Date]])</f>
        <v>12</v>
      </c>
      <c r="K32" s="9">
        <f t="shared" si="0"/>
        <v>4</v>
      </c>
      <c r="L32" s="9">
        <f t="shared" si="2"/>
        <v>1332</v>
      </c>
      <c r="M32" s="18">
        <v>5</v>
      </c>
      <c r="N32" s="30">
        <v>453423</v>
      </c>
      <c r="AL32" s="25"/>
      <c r="AM32" s="25"/>
      <c r="AN32" s="25"/>
      <c r="AO32" s="25"/>
      <c r="AP32" s="25"/>
      <c r="AQ32" s="25"/>
      <c r="AR32" s="25"/>
      <c r="AS32" s="25"/>
      <c r="AT32" s="25"/>
      <c r="AU32" s="25"/>
      <c r="BA32" s="18">
        <v>3</v>
      </c>
      <c r="BB32">
        <v>1037244</v>
      </c>
      <c r="BV32" s="8">
        <v>45621</v>
      </c>
      <c r="BW32" s="9" t="s">
        <v>15</v>
      </c>
      <c r="BX32" s="9">
        <v>1710</v>
      </c>
      <c r="BY32" s="9">
        <v>378</v>
      </c>
      <c r="BZ32" s="9">
        <v>336661</v>
      </c>
      <c r="CA32" s="11">
        <v>6.2E-2</v>
      </c>
      <c r="CB32" s="12">
        <v>28498</v>
      </c>
      <c r="CC32" s="9">
        <f>YEAR([1]!Engagement_Summary[[#This Row],[Week_Start_Date]])</f>
        <v>2024</v>
      </c>
      <c r="CD32" s="9">
        <f>MONTH([1]!Engagement_Summary[[#This Row],[Week_Start_Date]])</f>
        <v>12</v>
      </c>
      <c r="CE32" s="9">
        <f t="shared" si="1"/>
        <v>4</v>
      </c>
      <c r="CF32" s="9">
        <v>1332</v>
      </c>
      <c r="CH32" s="4">
        <v>28498</v>
      </c>
      <c r="CI32">
        <f>[1]!Engagement_Summary[[#This Row],[New_Followers]]-[1]!Engagement_Summary[[#This Row],[Unfollows]]</f>
        <v>1776</v>
      </c>
    </row>
    <row r="33" spans="4:87" x14ac:dyDescent="0.25">
      <c r="D33" s="8">
        <v>45628</v>
      </c>
      <c r="E33" s="9" t="s">
        <v>15</v>
      </c>
      <c r="F33" s="9">
        <v>1902</v>
      </c>
      <c r="G33" s="9">
        <v>196</v>
      </c>
      <c r="H33" s="9">
        <v>470269</v>
      </c>
      <c r="I33" s="9">
        <f>YEAR([1]!Engagement_Summary[[#This Row],[Week_Start_Date]])</f>
        <v>2025</v>
      </c>
      <c r="J33" s="9">
        <f>MONTH([1]!Engagement_Summary[[#This Row],[Week_Start_Date]])</f>
        <v>1</v>
      </c>
      <c r="K33" s="9">
        <f t="shared" si="0"/>
        <v>1</v>
      </c>
      <c r="L33" s="9">
        <f t="shared" si="2"/>
        <v>1706</v>
      </c>
      <c r="M33" s="17">
        <v>10</v>
      </c>
      <c r="N33" s="30">
        <v>192610.25</v>
      </c>
      <c r="AL33" s="25"/>
      <c r="AM33" s="25"/>
      <c r="AN33" s="25"/>
      <c r="AO33" s="25"/>
      <c r="AP33" s="25"/>
      <c r="AQ33" s="25"/>
      <c r="AR33" s="25"/>
      <c r="AS33" s="25"/>
      <c r="AT33" s="25"/>
      <c r="AU33" s="25"/>
      <c r="BA33" s="18">
        <v>4</v>
      </c>
      <c r="BB33">
        <v>994071</v>
      </c>
      <c r="BV33" s="8">
        <v>45628</v>
      </c>
      <c r="BW33" s="9" t="s">
        <v>15</v>
      </c>
      <c r="BX33" s="9">
        <v>1902</v>
      </c>
      <c r="BY33" s="9">
        <v>196</v>
      </c>
      <c r="BZ33" s="9">
        <v>470269</v>
      </c>
      <c r="CA33" s="11">
        <v>4.7899999999999998E-2</v>
      </c>
      <c r="CB33" s="12">
        <v>26103</v>
      </c>
      <c r="CC33" s="9">
        <f>YEAR([1]!Engagement_Summary[[#This Row],[Week_Start_Date]])</f>
        <v>2025</v>
      </c>
      <c r="CD33" s="9">
        <f>MONTH([1]!Engagement_Summary[[#This Row],[Week_Start_Date]])</f>
        <v>1</v>
      </c>
      <c r="CE33" s="9">
        <f t="shared" si="1"/>
        <v>1</v>
      </c>
      <c r="CF33" s="9">
        <v>1706</v>
      </c>
      <c r="CH33" s="4">
        <v>26103</v>
      </c>
      <c r="CI33">
        <f>[1]!Engagement_Summary[[#This Row],[New_Followers]]-[1]!Engagement_Summary[[#This Row],[Unfollows]]</f>
        <v>620</v>
      </c>
    </row>
    <row r="34" spans="4:87" x14ac:dyDescent="0.25">
      <c r="D34" s="8">
        <v>45635</v>
      </c>
      <c r="E34" s="9" t="s">
        <v>15</v>
      </c>
      <c r="F34" s="9">
        <v>1514</v>
      </c>
      <c r="G34" s="9">
        <v>141</v>
      </c>
      <c r="H34" s="9">
        <v>35842</v>
      </c>
      <c r="I34" s="9">
        <f>YEAR([1]!Engagement_Summary[[#This Row],[Week_Start_Date]])</f>
        <v>2025</v>
      </c>
      <c r="J34" s="9">
        <f>MONTH([1]!Engagement_Summary[[#This Row],[Week_Start_Date]])</f>
        <v>1</v>
      </c>
      <c r="K34" s="9">
        <f t="shared" si="0"/>
        <v>2</v>
      </c>
      <c r="L34" s="9">
        <f t="shared" si="2"/>
        <v>1373</v>
      </c>
      <c r="M34" s="18">
        <v>1</v>
      </c>
      <c r="N34" s="30">
        <v>379363</v>
      </c>
      <c r="AL34" s="25"/>
      <c r="AM34" s="25"/>
      <c r="AN34" s="25"/>
      <c r="AO34" s="25"/>
      <c r="AP34" s="25"/>
      <c r="AQ34" s="25"/>
      <c r="AR34" s="25"/>
      <c r="AS34" s="25"/>
      <c r="AT34" s="25"/>
      <c r="AU34" s="25"/>
      <c r="BA34" s="18">
        <v>5</v>
      </c>
      <c r="BB34">
        <v>982958</v>
      </c>
      <c r="BV34" s="8">
        <v>45635</v>
      </c>
      <c r="BW34" s="9" t="s">
        <v>15</v>
      </c>
      <c r="BX34" s="9">
        <v>1514</v>
      </c>
      <c r="BY34" s="9">
        <v>141</v>
      </c>
      <c r="BZ34" s="9">
        <v>35842</v>
      </c>
      <c r="CA34" s="11">
        <v>7.4700000000000003E-2</v>
      </c>
      <c r="CB34" s="12">
        <v>18601</v>
      </c>
      <c r="CC34" s="9">
        <f>YEAR([1]!Engagement_Summary[[#This Row],[Week_Start_Date]])</f>
        <v>2025</v>
      </c>
      <c r="CD34" s="9">
        <f>MONTH([1]!Engagement_Summary[[#This Row],[Week_Start_Date]])</f>
        <v>1</v>
      </c>
      <c r="CE34" s="9">
        <f t="shared" si="1"/>
        <v>2</v>
      </c>
      <c r="CF34" s="9">
        <v>1373</v>
      </c>
      <c r="CH34" s="4">
        <v>18601</v>
      </c>
      <c r="CI34">
        <f>[1]!Engagement_Summary[[#This Row],[New_Followers]]-[1]!Engagement_Summary[[#This Row],[Unfollows]]</f>
        <v>298</v>
      </c>
    </row>
    <row r="35" spans="4:87" x14ac:dyDescent="0.25">
      <c r="D35" s="8">
        <v>45642</v>
      </c>
      <c r="E35" s="9" t="s">
        <v>15</v>
      </c>
      <c r="F35" s="9">
        <v>1623</v>
      </c>
      <c r="G35" s="9">
        <v>246</v>
      </c>
      <c r="H35" s="9">
        <v>415815</v>
      </c>
      <c r="I35" s="9">
        <f>YEAR([1]!Engagement_Summary[[#This Row],[Week_Start_Date]])</f>
        <v>2025</v>
      </c>
      <c r="J35" s="9">
        <f>MONTH([1]!Engagement_Summary[[#This Row],[Week_Start_Date]])</f>
        <v>1</v>
      </c>
      <c r="K35" s="9">
        <f t="shared" si="0"/>
        <v>3</v>
      </c>
      <c r="L35" s="9">
        <f t="shared" si="2"/>
        <v>1377</v>
      </c>
      <c r="M35" s="18">
        <v>2</v>
      </c>
      <c r="N35" s="30">
        <v>157599</v>
      </c>
      <c r="BA35" s="17">
        <v>10</v>
      </c>
      <c r="BB35">
        <v>4214567</v>
      </c>
      <c r="BV35" s="8">
        <v>45642</v>
      </c>
      <c r="BW35" s="9" t="s">
        <v>15</v>
      </c>
      <c r="BX35" s="9">
        <v>1623</v>
      </c>
      <c r="BY35" s="9">
        <v>246</v>
      </c>
      <c r="BZ35" s="9">
        <v>415815</v>
      </c>
      <c r="CA35" s="11">
        <v>8.1099999999999992E-2</v>
      </c>
      <c r="CB35" s="12">
        <v>18656</v>
      </c>
      <c r="CC35" s="9">
        <f>YEAR([1]!Engagement_Summary[[#This Row],[Week_Start_Date]])</f>
        <v>2025</v>
      </c>
      <c r="CD35" s="9">
        <f>MONTH([1]!Engagement_Summary[[#This Row],[Week_Start_Date]])</f>
        <v>1</v>
      </c>
      <c r="CE35" s="9">
        <f t="shared" si="1"/>
        <v>3</v>
      </c>
      <c r="CF35" s="9">
        <v>1377</v>
      </c>
      <c r="CH35" s="4">
        <v>18656</v>
      </c>
      <c r="CI35">
        <f>[1]!Engagement_Summary[[#This Row],[New_Followers]]-[1]!Engagement_Summary[[#This Row],[Unfollows]]</f>
        <v>427</v>
      </c>
    </row>
    <row r="36" spans="4:87" x14ac:dyDescent="0.25">
      <c r="D36" s="8">
        <v>45649</v>
      </c>
      <c r="E36" s="9" t="s">
        <v>15</v>
      </c>
      <c r="F36" s="9">
        <v>1155</v>
      </c>
      <c r="G36" s="9">
        <v>425</v>
      </c>
      <c r="H36" s="9">
        <v>93347</v>
      </c>
      <c r="I36" s="9">
        <f>YEAR([1]!Engagement_Summary[[#This Row],[Week_Start_Date]])</f>
        <v>2025</v>
      </c>
      <c r="J36" s="9">
        <f>MONTH([1]!Engagement_Summary[[#This Row],[Week_Start_Date]])</f>
        <v>1</v>
      </c>
      <c r="K36" s="9">
        <f t="shared" si="0"/>
        <v>4</v>
      </c>
      <c r="L36" s="9">
        <f t="shared" si="2"/>
        <v>730</v>
      </c>
      <c r="M36" s="18">
        <v>3</v>
      </c>
      <c r="N36" s="30">
        <v>23492</v>
      </c>
      <c r="AL36" s="26" t="s">
        <v>31</v>
      </c>
      <c r="AM36" s="27"/>
      <c r="AN36" s="27"/>
      <c r="AO36" s="27"/>
      <c r="AP36" s="27"/>
      <c r="AQ36" s="27"/>
      <c r="AR36" s="27"/>
      <c r="AS36" s="27"/>
      <c r="AT36" s="27"/>
      <c r="AU36" s="27"/>
      <c r="BA36" s="18">
        <v>1</v>
      </c>
      <c r="BB36">
        <v>1160799</v>
      </c>
      <c r="BI36" s="28" t="s">
        <v>32</v>
      </c>
      <c r="BJ36" s="28"/>
      <c r="BK36" s="28"/>
      <c r="BL36" s="28"/>
      <c r="BM36" s="28"/>
      <c r="BN36" s="28"/>
      <c r="BO36" s="28"/>
      <c r="BP36" s="28"/>
      <c r="BQ36" s="28"/>
      <c r="BR36" s="28"/>
      <c r="BS36" s="28"/>
      <c r="BT36" s="28"/>
      <c r="BV36" s="8">
        <v>45649</v>
      </c>
      <c r="BW36" s="9" t="s">
        <v>15</v>
      </c>
      <c r="BX36" s="9">
        <v>1155</v>
      </c>
      <c r="BY36" s="9">
        <v>425</v>
      </c>
      <c r="BZ36" s="9">
        <v>93347</v>
      </c>
      <c r="CA36" s="11">
        <v>2.0199999999999999E-2</v>
      </c>
      <c r="CB36" s="12">
        <v>47502</v>
      </c>
      <c r="CC36" s="9">
        <f>YEAR([1]!Engagement_Summary[[#This Row],[Week_Start_Date]])</f>
        <v>2025</v>
      </c>
      <c r="CD36" s="9">
        <f>MONTH([1]!Engagement_Summary[[#This Row],[Week_Start_Date]])</f>
        <v>1</v>
      </c>
      <c r="CE36" s="9">
        <f t="shared" si="1"/>
        <v>4</v>
      </c>
      <c r="CF36" s="9">
        <v>730</v>
      </c>
      <c r="CH36" s="4">
        <v>47502</v>
      </c>
      <c r="CI36">
        <f>[1]!Engagement_Summary[[#This Row],[New_Followers]]-[1]!Engagement_Summary[[#This Row],[Unfollows]]</f>
        <v>898</v>
      </c>
    </row>
    <row r="37" spans="4:87" x14ac:dyDescent="0.25">
      <c r="D37" s="8">
        <v>45656</v>
      </c>
      <c r="E37" s="9" t="s">
        <v>15</v>
      </c>
      <c r="F37" s="9">
        <v>1980</v>
      </c>
      <c r="G37" s="9">
        <v>204</v>
      </c>
      <c r="H37" s="9">
        <v>379431</v>
      </c>
      <c r="I37" s="9">
        <f>YEAR([1]!Engagement_Summary[[#This Row],[Week_Start_Date]])</f>
        <v>2025</v>
      </c>
      <c r="J37" s="9">
        <f>MONTH([1]!Engagement_Summary[[#This Row],[Week_Start_Date]])</f>
        <v>2</v>
      </c>
      <c r="K37" s="9">
        <f t="shared" si="0"/>
        <v>5</v>
      </c>
      <c r="L37" s="9">
        <f t="shared" si="2"/>
        <v>1776</v>
      </c>
      <c r="M37" s="18">
        <v>4</v>
      </c>
      <c r="N37" s="30">
        <v>209987</v>
      </c>
      <c r="BA37" s="18">
        <v>2</v>
      </c>
      <c r="BB37">
        <v>1055104</v>
      </c>
      <c r="BI37" s="28"/>
      <c r="BJ37" s="28"/>
      <c r="BK37" s="28"/>
      <c r="BL37" s="28"/>
      <c r="BM37" s="28"/>
      <c r="BN37" s="28"/>
      <c r="BO37" s="28"/>
      <c r="BP37" s="28"/>
      <c r="BQ37" s="28"/>
      <c r="BR37" s="28"/>
      <c r="BS37" s="28"/>
      <c r="BT37" s="28"/>
      <c r="BV37" s="8">
        <v>45656</v>
      </c>
      <c r="BW37" s="9" t="s">
        <v>15</v>
      </c>
      <c r="BX37" s="9">
        <v>1980</v>
      </c>
      <c r="BY37" s="9">
        <v>204</v>
      </c>
      <c r="BZ37" s="9">
        <v>379431</v>
      </c>
      <c r="CA37" s="11">
        <v>3.0899999999999997E-2</v>
      </c>
      <c r="CB37" s="12">
        <v>25140</v>
      </c>
      <c r="CC37" s="9">
        <f>YEAR([1]!Engagement_Summary[[#This Row],[Week_Start_Date]])</f>
        <v>2025</v>
      </c>
      <c r="CD37" s="9">
        <f>MONTH([1]!Engagement_Summary[[#This Row],[Week_Start_Date]])</f>
        <v>2</v>
      </c>
      <c r="CE37" s="9">
        <f t="shared" si="1"/>
        <v>5</v>
      </c>
      <c r="CF37" s="9">
        <v>1776</v>
      </c>
      <c r="CH37" s="4">
        <v>25140</v>
      </c>
      <c r="CI37">
        <f>[1]!Engagement_Summary[[#This Row],[New_Followers]]-[1]!Engagement_Summary[[#This Row],[Unfollows]]</f>
        <v>748</v>
      </c>
    </row>
    <row r="38" spans="4:87" x14ac:dyDescent="0.25">
      <c r="D38" s="8">
        <v>45663</v>
      </c>
      <c r="E38" s="9" t="s">
        <v>15</v>
      </c>
      <c r="F38" s="9">
        <v>816</v>
      </c>
      <c r="G38" s="9">
        <v>196</v>
      </c>
      <c r="H38" s="9">
        <v>95728</v>
      </c>
      <c r="I38" s="9">
        <f>YEAR([1]!Engagement_Summary[[#This Row],[Week_Start_Date]])</f>
        <v>2025</v>
      </c>
      <c r="J38" s="9">
        <f>MONTH([1]!Engagement_Summary[[#This Row],[Week_Start_Date]])</f>
        <v>2</v>
      </c>
      <c r="K38" s="9">
        <f t="shared" si="0"/>
        <v>1</v>
      </c>
      <c r="L38" s="9">
        <f t="shared" si="2"/>
        <v>620</v>
      </c>
      <c r="M38" s="17">
        <v>11</v>
      </c>
      <c r="N38" s="30">
        <v>326044.25</v>
      </c>
      <c r="BA38" s="18">
        <v>3</v>
      </c>
      <c r="BB38">
        <v>895778</v>
      </c>
      <c r="BV38" s="8">
        <v>45663</v>
      </c>
      <c r="BW38" s="9" t="s">
        <v>15</v>
      </c>
      <c r="BX38" s="9">
        <v>816</v>
      </c>
      <c r="BY38" s="9">
        <v>196</v>
      </c>
      <c r="BZ38" s="9">
        <v>95728</v>
      </c>
      <c r="CA38" s="11">
        <v>8.199999999999999E-2</v>
      </c>
      <c r="CB38" s="12">
        <v>17951</v>
      </c>
      <c r="CC38" s="9">
        <f>YEAR([1]!Engagement_Summary[[#This Row],[Week_Start_Date]])</f>
        <v>2025</v>
      </c>
      <c r="CD38" s="9">
        <f>MONTH([1]!Engagement_Summary[[#This Row],[Week_Start_Date]])</f>
        <v>2</v>
      </c>
      <c r="CE38" s="9">
        <f t="shared" si="1"/>
        <v>1</v>
      </c>
      <c r="CF38" s="9">
        <v>620</v>
      </c>
      <c r="CH38" s="4">
        <v>17951</v>
      </c>
      <c r="CI38">
        <f>[1]!Engagement_Summary[[#This Row],[New_Followers]]-[1]!Engagement_Summary[[#This Row],[Unfollows]]</f>
        <v>912</v>
      </c>
    </row>
    <row r="39" spans="4:87" x14ac:dyDescent="0.25">
      <c r="D39" s="8">
        <v>45670</v>
      </c>
      <c r="E39" s="9" t="s">
        <v>15</v>
      </c>
      <c r="F39" s="9">
        <v>651</v>
      </c>
      <c r="G39" s="9">
        <v>353</v>
      </c>
      <c r="H39" s="9">
        <v>224699</v>
      </c>
      <c r="I39" s="9">
        <f>YEAR([1]!Engagement_Summary[[#This Row],[Week_Start_Date]])</f>
        <v>2025</v>
      </c>
      <c r="J39" s="9">
        <f>MONTH([1]!Engagement_Summary[[#This Row],[Week_Start_Date]])</f>
        <v>2</v>
      </c>
      <c r="K39" s="9">
        <f t="shared" si="0"/>
        <v>2</v>
      </c>
      <c r="L39" s="9">
        <f t="shared" si="2"/>
        <v>298</v>
      </c>
      <c r="M39" s="18">
        <v>1</v>
      </c>
      <c r="N39" s="30">
        <v>319186</v>
      </c>
      <c r="BA39" s="18">
        <v>4</v>
      </c>
      <c r="BB39">
        <v>1102886</v>
      </c>
      <c r="BV39" s="8">
        <v>45670</v>
      </c>
      <c r="BW39" s="9" t="s">
        <v>15</v>
      </c>
      <c r="BX39" s="9">
        <v>651</v>
      </c>
      <c r="BY39" s="9">
        <v>353</v>
      </c>
      <c r="BZ39" s="9">
        <v>224699</v>
      </c>
      <c r="CA39" s="11">
        <v>5.6100000000000004E-2</v>
      </c>
      <c r="CB39" s="12">
        <v>45708</v>
      </c>
      <c r="CC39" s="9">
        <f>YEAR([1]!Engagement_Summary[[#This Row],[Week_Start_Date]])</f>
        <v>2025</v>
      </c>
      <c r="CD39" s="9">
        <f>MONTH([1]!Engagement_Summary[[#This Row],[Week_Start_Date]])</f>
        <v>2</v>
      </c>
      <c r="CE39" s="9">
        <f t="shared" si="1"/>
        <v>2</v>
      </c>
      <c r="CF39" s="9">
        <v>298</v>
      </c>
      <c r="CH39" s="4">
        <v>45708</v>
      </c>
      <c r="CI39">
        <f>[1]!Engagement_Summary[[#This Row],[New_Followers]]-[1]!Engagement_Summary[[#This Row],[Unfollows]]</f>
        <v>1590</v>
      </c>
    </row>
    <row r="40" spans="4:87" x14ac:dyDescent="0.25">
      <c r="D40" s="8">
        <v>45677</v>
      </c>
      <c r="E40" s="9" t="s">
        <v>15</v>
      </c>
      <c r="F40" s="9">
        <v>663</v>
      </c>
      <c r="G40" s="9">
        <v>236</v>
      </c>
      <c r="H40" s="9">
        <v>479490</v>
      </c>
      <c r="I40" s="9">
        <f>YEAR([1]!Engagement_Summary[[#This Row],[Week_Start_Date]])</f>
        <v>2025</v>
      </c>
      <c r="J40" s="9">
        <f>MONTH([1]!Engagement_Summary[[#This Row],[Week_Start_Date]])</f>
        <v>2</v>
      </c>
      <c r="K40" s="9">
        <f t="shared" si="0"/>
        <v>3</v>
      </c>
      <c r="L40" s="9">
        <f t="shared" si="2"/>
        <v>427</v>
      </c>
      <c r="M40" s="18">
        <v>2</v>
      </c>
      <c r="N40" s="30">
        <v>309483</v>
      </c>
      <c r="BA40" s="17">
        <v>11</v>
      </c>
      <c r="BB40">
        <v>3590688</v>
      </c>
      <c r="BV40" s="8">
        <v>45677</v>
      </c>
      <c r="BW40" s="9" t="s">
        <v>15</v>
      </c>
      <c r="BX40" s="9">
        <v>663</v>
      </c>
      <c r="BY40" s="9">
        <v>236</v>
      </c>
      <c r="BZ40" s="9">
        <v>479490</v>
      </c>
      <c r="CA40" s="11">
        <v>4.5100000000000001E-2</v>
      </c>
      <c r="CB40" s="12">
        <v>23853</v>
      </c>
      <c r="CC40" s="9">
        <f>YEAR([1]!Engagement_Summary[[#This Row],[Week_Start_Date]])</f>
        <v>2025</v>
      </c>
      <c r="CD40" s="9">
        <f>MONTH([1]!Engagement_Summary[[#This Row],[Week_Start_Date]])</f>
        <v>2</v>
      </c>
      <c r="CE40" s="9">
        <f t="shared" si="1"/>
        <v>3</v>
      </c>
      <c r="CF40" s="9">
        <v>427</v>
      </c>
      <c r="CH40" s="4">
        <v>23853</v>
      </c>
      <c r="CI40">
        <f>[1]!Engagement_Summary[[#This Row],[New_Followers]]-[1]!Engagement_Summary[[#This Row],[Unfollows]]</f>
        <v>1707</v>
      </c>
    </row>
    <row r="41" spans="4:87" x14ac:dyDescent="0.25">
      <c r="D41" s="8">
        <v>45684</v>
      </c>
      <c r="E41" s="9" t="s">
        <v>15</v>
      </c>
      <c r="F41" s="9">
        <v>1249</v>
      </c>
      <c r="G41" s="9">
        <v>351</v>
      </c>
      <c r="H41" s="9">
        <v>321307</v>
      </c>
      <c r="I41" s="9">
        <f>YEAR([1]!Engagement_Summary[[#This Row],[Week_Start_Date]])</f>
        <v>2025</v>
      </c>
      <c r="J41" s="9">
        <f>MONTH([1]!Engagement_Summary[[#This Row],[Week_Start_Date]])</f>
        <v>3</v>
      </c>
      <c r="K41" s="9">
        <f t="shared" si="0"/>
        <v>4</v>
      </c>
      <c r="L41" s="9">
        <f t="shared" si="2"/>
        <v>898</v>
      </c>
      <c r="M41" s="18">
        <v>3</v>
      </c>
      <c r="N41" s="30">
        <v>338847</v>
      </c>
      <c r="BA41" s="18">
        <v>1</v>
      </c>
      <c r="BB41">
        <v>1072145</v>
      </c>
      <c r="BV41" s="8">
        <v>45684</v>
      </c>
      <c r="BW41" s="9" t="s">
        <v>15</v>
      </c>
      <c r="BX41" s="9">
        <v>1249</v>
      </c>
      <c r="BY41" s="9">
        <v>351</v>
      </c>
      <c r="BZ41" s="9">
        <v>321307</v>
      </c>
      <c r="CA41" s="11">
        <v>6.3700000000000007E-2</v>
      </c>
      <c r="CB41" s="12">
        <v>20560</v>
      </c>
      <c r="CC41" s="9">
        <f>YEAR([1]!Engagement_Summary[[#This Row],[Week_Start_Date]])</f>
        <v>2025</v>
      </c>
      <c r="CD41" s="9">
        <f>MONTH([1]!Engagement_Summary[[#This Row],[Week_Start_Date]])</f>
        <v>3</v>
      </c>
      <c r="CE41" s="9">
        <f t="shared" si="1"/>
        <v>4</v>
      </c>
      <c r="CF41" s="9">
        <v>898</v>
      </c>
      <c r="CH41" s="4">
        <v>20560</v>
      </c>
      <c r="CI41">
        <f>[1]!Engagement_Summary[[#This Row],[New_Followers]]-[1]!Engagement_Summary[[#This Row],[Unfollows]]</f>
        <v>-119</v>
      </c>
    </row>
    <row r="42" spans="4:87" x14ac:dyDescent="0.25">
      <c r="D42" s="8">
        <v>45691</v>
      </c>
      <c r="E42" s="9" t="s">
        <v>15</v>
      </c>
      <c r="F42" s="9">
        <v>1159</v>
      </c>
      <c r="G42" s="9">
        <v>411</v>
      </c>
      <c r="H42" s="9">
        <v>135987</v>
      </c>
      <c r="I42" s="9">
        <f>YEAR([1]!Engagement_Summary[[#This Row],[Week_Start_Date]])</f>
        <v>2025</v>
      </c>
      <c r="J42" s="9">
        <f>MONTH([1]!Engagement_Summary[[#This Row],[Week_Start_Date]])</f>
        <v>3</v>
      </c>
      <c r="K42" s="9">
        <f t="shared" si="0"/>
        <v>1</v>
      </c>
      <c r="L42" s="9">
        <f t="shared" si="2"/>
        <v>748</v>
      </c>
      <c r="M42" s="18">
        <v>4</v>
      </c>
      <c r="N42" s="30">
        <v>336661</v>
      </c>
      <c r="BA42" s="18">
        <v>2</v>
      </c>
      <c r="BB42">
        <v>569274</v>
      </c>
      <c r="BV42" s="8">
        <v>45691</v>
      </c>
      <c r="BW42" s="9" t="s">
        <v>15</v>
      </c>
      <c r="BX42" s="9">
        <v>1159</v>
      </c>
      <c r="BY42" s="9">
        <v>411</v>
      </c>
      <c r="BZ42" s="9">
        <v>135987</v>
      </c>
      <c r="CA42" s="11">
        <v>8.6999999999999994E-2</v>
      </c>
      <c r="CB42" s="12">
        <v>40323</v>
      </c>
      <c r="CC42" s="9">
        <f>YEAR([1]!Engagement_Summary[[#This Row],[Week_Start_Date]])</f>
        <v>2025</v>
      </c>
      <c r="CD42" s="9">
        <f>MONTH([1]!Engagement_Summary[[#This Row],[Week_Start_Date]])</f>
        <v>3</v>
      </c>
      <c r="CE42" s="9">
        <f t="shared" si="1"/>
        <v>1</v>
      </c>
      <c r="CF42" s="9">
        <v>748</v>
      </c>
      <c r="CH42" s="4">
        <v>40323</v>
      </c>
      <c r="CI42">
        <f>[1]!Engagement_Summary[[#This Row],[New_Followers]]-[1]!Engagement_Summary[[#This Row],[Unfollows]]</f>
        <v>908</v>
      </c>
    </row>
    <row r="43" spans="4:87" x14ac:dyDescent="0.25">
      <c r="D43" s="8">
        <v>45698</v>
      </c>
      <c r="E43" s="9" t="s">
        <v>15</v>
      </c>
      <c r="F43" s="9">
        <v>1294</v>
      </c>
      <c r="G43" s="9">
        <v>382</v>
      </c>
      <c r="H43" s="9">
        <v>309914</v>
      </c>
      <c r="I43" s="9">
        <f>YEAR([1]!Engagement_Summary[[#This Row],[Week_Start_Date]])</f>
        <v>2025</v>
      </c>
      <c r="J43" s="9">
        <f>MONTH([1]!Engagement_Summary[[#This Row],[Week_Start_Date]])</f>
        <v>3</v>
      </c>
      <c r="K43" s="9">
        <f t="shared" si="0"/>
        <v>2</v>
      </c>
      <c r="L43" s="9">
        <f t="shared" si="2"/>
        <v>912</v>
      </c>
      <c r="M43" s="17">
        <v>12</v>
      </c>
      <c r="N43" s="30">
        <v>278940.79999999999</v>
      </c>
      <c r="BA43" s="18">
        <v>3</v>
      </c>
      <c r="BB43">
        <v>1179152</v>
      </c>
      <c r="BV43" s="8">
        <v>45698</v>
      </c>
      <c r="BW43" s="9" t="s">
        <v>15</v>
      </c>
      <c r="BX43" s="9">
        <v>1294</v>
      </c>
      <c r="BY43" s="9">
        <v>382</v>
      </c>
      <c r="BZ43" s="9">
        <v>309914</v>
      </c>
      <c r="CA43" s="11">
        <v>8.0299999999999996E-2</v>
      </c>
      <c r="CB43" s="12">
        <v>23489</v>
      </c>
      <c r="CC43" s="9">
        <f>YEAR([1]!Engagement_Summary[[#This Row],[Week_Start_Date]])</f>
        <v>2025</v>
      </c>
      <c r="CD43" s="9">
        <f>MONTH([1]!Engagement_Summary[[#This Row],[Week_Start_Date]])</f>
        <v>3</v>
      </c>
      <c r="CE43" s="9">
        <f t="shared" si="1"/>
        <v>2</v>
      </c>
      <c r="CF43" s="9">
        <v>912</v>
      </c>
      <c r="CH43" s="4">
        <v>23489</v>
      </c>
      <c r="CI43">
        <f>[1]!Engagement_Summary[[#This Row],[New_Followers]]-[1]!Engagement_Summary[[#This Row],[Unfollows]]</f>
        <v>1116</v>
      </c>
    </row>
    <row r="44" spans="4:87" x14ac:dyDescent="0.25">
      <c r="D44" s="8">
        <v>45705</v>
      </c>
      <c r="E44" s="9" t="s">
        <v>15</v>
      </c>
      <c r="F44" s="9">
        <v>1895</v>
      </c>
      <c r="G44" s="9">
        <v>305</v>
      </c>
      <c r="H44" s="9">
        <v>104967</v>
      </c>
      <c r="I44" s="9">
        <f>YEAR([1]!Engagement_Summary[[#This Row],[Week_Start_Date]])</f>
        <v>2025</v>
      </c>
      <c r="J44" s="9">
        <f>MONTH([1]!Engagement_Summary[[#This Row],[Week_Start_Date]])</f>
        <v>3</v>
      </c>
      <c r="K44" s="9">
        <f t="shared" si="0"/>
        <v>3</v>
      </c>
      <c r="L44" s="9">
        <f t="shared" si="2"/>
        <v>1590</v>
      </c>
      <c r="M44" s="18">
        <v>1</v>
      </c>
      <c r="N44" s="30">
        <v>470269</v>
      </c>
      <c r="BA44" s="18">
        <v>4</v>
      </c>
      <c r="BB44">
        <v>770117</v>
      </c>
      <c r="BV44" s="8">
        <v>45705</v>
      </c>
      <c r="BW44" s="9" t="s">
        <v>15</v>
      </c>
      <c r="BX44" s="9">
        <v>1895</v>
      </c>
      <c r="BY44" s="9">
        <v>305</v>
      </c>
      <c r="BZ44" s="9">
        <v>104967</v>
      </c>
      <c r="CA44" s="11">
        <v>3.85E-2</v>
      </c>
      <c r="CB44" s="12">
        <v>31853</v>
      </c>
      <c r="CC44" s="9">
        <f>YEAR([1]!Engagement_Summary[[#This Row],[Week_Start_Date]])</f>
        <v>2025</v>
      </c>
      <c r="CD44" s="9">
        <f>MONTH([1]!Engagement_Summary[[#This Row],[Week_Start_Date]])</f>
        <v>3</v>
      </c>
      <c r="CE44" s="9">
        <f t="shared" si="1"/>
        <v>3</v>
      </c>
      <c r="CF44" s="9">
        <v>1590</v>
      </c>
      <c r="CH44" s="4">
        <v>31853</v>
      </c>
      <c r="CI44">
        <f>[1]!Engagement_Summary[[#This Row],[New_Followers]]-[1]!Engagement_Summary[[#This Row],[Unfollows]]</f>
        <v>474</v>
      </c>
    </row>
    <row r="45" spans="4:87" x14ac:dyDescent="0.25">
      <c r="D45" s="8">
        <v>45712</v>
      </c>
      <c r="E45" s="9" t="s">
        <v>15</v>
      </c>
      <c r="F45" s="9">
        <v>1884</v>
      </c>
      <c r="G45" s="9">
        <v>177</v>
      </c>
      <c r="H45" s="9">
        <v>230448</v>
      </c>
      <c r="I45" s="9">
        <f>YEAR([1]!Engagement_Summary[[#This Row],[Week_Start_Date]])</f>
        <v>2025</v>
      </c>
      <c r="J45" s="9">
        <f>MONTH([1]!Engagement_Summary[[#This Row],[Week_Start_Date]])</f>
        <v>3</v>
      </c>
      <c r="K45" s="9">
        <f t="shared" si="0"/>
        <v>4</v>
      </c>
      <c r="L45" s="9">
        <f t="shared" si="2"/>
        <v>1707</v>
      </c>
      <c r="M45" s="18">
        <v>2</v>
      </c>
      <c r="N45" s="30">
        <v>35842</v>
      </c>
      <c r="BA45" s="17">
        <v>12</v>
      </c>
      <c r="BB45">
        <v>5262164</v>
      </c>
      <c r="BV45" s="8">
        <v>45712</v>
      </c>
      <c r="BW45" s="9" t="s">
        <v>15</v>
      </c>
      <c r="BX45" s="9">
        <v>1884</v>
      </c>
      <c r="BY45" s="9">
        <v>177</v>
      </c>
      <c r="BZ45" s="9">
        <v>230448</v>
      </c>
      <c r="CA45" s="11">
        <v>7.8E-2</v>
      </c>
      <c r="CB45" s="12">
        <v>22713</v>
      </c>
      <c r="CC45" s="9">
        <f>YEAR([1]!Engagement_Summary[[#This Row],[Week_Start_Date]])</f>
        <v>2025</v>
      </c>
      <c r="CD45" s="9">
        <f>MONTH([1]!Engagement_Summary[[#This Row],[Week_Start_Date]])</f>
        <v>3</v>
      </c>
      <c r="CE45" s="9">
        <f t="shared" si="1"/>
        <v>4</v>
      </c>
      <c r="CF45" s="9">
        <v>1707</v>
      </c>
      <c r="CH45" s="4">
        <v>22713</v>
      </c>
      <c r="CI45">
        <f>[1]!Engagement_Summary[[#This Row],[New_Followers]]-[1]!Engagement_Summary[[#This Row],[Unfollows]]</f>
        <v>514</v>
      </c>
    </row>
    <row r="46" spans="4:87" x14ac:dyDescent="0.25">
      <c r="D46" s="8">
        <v>45719</v>
      </c>
      <c r="E46" s="9" t="s">
        <v>15</v>
      </c>
      <c r="F46" s="9">
        <v>345</v>
      </c>
      <c r="G46" s="9">
        <v>464</v>
      </c>
      <c r="H46" s="9">
        <v>366881</v>
      </c>
      <c r="I46" s="9">
        <f>YEAR([1]!Engagement_Summary[[#This Row],[Week_Start_Date]])</f>
        <v>2025</v>
      </c>
      <c r="J46" s="9">
        <f>MONTH([1]!Engagement_Summary[[#This Row],[Week_Start_Date]])</f>
        <v>4</v>
      </c>
      <c r="K46" s="9">
        <f t="shared" si="0"/>
        <v>1</v>
      </c>
      <c r="L46" s="9">
        <f t="shared" si="2"/>
        <v>-119</v>
      </c>
      <c r="M46" s="18">
        <v>3</v>
      </c>
      <c r="N46" s="30">
        <v>415815</v>
      </c>
      <c r="BA46" s="18">
        <v>1</v>
      </c>
      <c r="BB46">
        <v>1423404</v>
      </c>
      <c r="BV46" s="8">
        <v>45719</v>
      </c>
      <c r="BW46" s="9" t="s">
        <v>15</v>
      </c>
      <c r="BX46" s="9">
        <v>345</v>
      </c>
      <c r="BY46" s="9">
        <v>464</v>
      </c>
      <c r="BZ46" s="9">
        <v>366881</v>
      </c>
      <c r="CA46" s="11">
        <v>4.5499999999999999E-2</v>
      </c>
      <c r="CB46" s="12">
        <v>20553</v>
      </c>
      <c r="CC46" s="9">
        <f>YEAR([1]!Engagement_Summary[[#This Row],[Week_Start_Date]])</f>
        <v>2025</v>
      </c>
      <c r="CD46" s="9">
        <f>MONTH([1]!Engagement_Summary[[#This Row],[Week_Start_Date]])</f>
        <v>4</v>
      </c>
      <c r="CE46" s="9">
        <f t="shared" si="1"/>
        <v>1</v>
      </c>
      <c r="CF46" s="9">
        <v>-119</v>
      </c>
      <c r="CH46" s="4">
        <v>20553</v>
      </c>
      <c r="CI46">
        <f>[1]!Engagement_Summary[[#This Row],[New_Followers]]-[1]!Engagement_Summary[[#This Row],[Unfollows]]</f>
        <v>1029</v>
      </c>
    </row>
    <row r="47" spans="4:87" x14ac:dyDescent="0.25">
      <c r="D47" s="8">
        <v>45726</v>
      </c>
      <c r="E47" s="9" t="s">
        <v>15</v>
      </c>
      <c r="F47" s="9">
        <v>1098</v>
      </c>
      <c r="G47" s="9">
        <v>190</v>
      </c>
      <c r="H47" s="9">
        <v>340842</v>
      </c>
      <c r="I47" s="9">
        <f>YEAR([1]!Engagement_Summary[[#This Row],[Week_Start_Date]])</f>
        <v>2025</v>
      </c>
      <c r="J47" s="9">
        <f>MONTH([1]!Engagement_Summary[[#This Row],[Week_Start_Date]])</f>
        <v>4</v>
      </c>
      <c r="K47" s="9">
        <f t="shared" si="0"/>
        <v>2</v>
      </c>
      <c r="L47" s="9">
        <f t="shared" si="2"/>
        <v>908</v>
      </c>
      <c r="M47" s="18">
        <v>4</v>
      </c>
      <c r="N47" s="30">
        <v>93347</v>
      </c>
      <c r="BA47" s="18">
        <v>2</v>
      </c>
      <c r="BB47">
        <v>728959</v>
      </c>
      <c r="BV47" s="8">
        <v>45726</v>
      </c>
      <c r="BW47" s="9" t="s">
        <v>15</v>
      </c>
      <c r="BX47" s="9">
        <v>1098</v>
      </c>
      <c r="BY47" s="9">
        <v>190</v>
      </c>
      <c r="BZ47" s="9">
        <v>340842</v>
      </c>
      <c r="CA47" s="11">
        <v>9.3900000000000011E-2</v>
      </c>
      <c r="CB47" s="12">
        <v>21539</v>
      </c>
      <c r="CC47" s="9">
        <f>YEAR([1]!Engagement_Summary[[#This Row],[Week_Start_Date]])</f>
        <v>2025</v>
      </c>
      <c r="CD47" s="9">
        <f>MONTH([1]!Engagement_Summary[[#This Row],[Week_Start_Date]])</f>
        <v>4</v>
      </c>
      <c r="CE47" s="9">
        <f t="shared" si="1"/>
        <v>2</v>
      </c>
      <c r="CF47" s="9">
        <v>908</v>
      </c>
      <c r="CH47" s="4">
        <v>21539</v>
      </c>
      <c r="CI47">
        <f>[1]!Engagement_Summary[[#This Row],[New_Followers]]-[1]!Engagement_Summary[[#This Row],[Unfollows]]</f>
        <v>-175</v>
      </c>
    </row>
    <row r="48" spans="4:87" x14ac:dyDescent="0.25">
      <c r="D48" s="8">
        <v>45733</v>
      </c>
      <c r="E48" s="9" t="s">
        <v>15</v>
      </c>
      <c r="F48" s="9">
        <v>1358</v>
      </c>
      <c r="G48" s="9">
        <v>242</v>
      </c>
      <c r="H48" s="9">
        <v>342129</v>
      </c>
      <c r="I48" s="9">
        <f>YEAR([1]!Engagement_Summary[[#This Row],[Week_Start_Date]])</f>
        <v>2025</v>
      </c>
      <c r="J48" s="9">
        <f>MONTH([1]!Engagement_Summary[[#This Row],[Week_Start_Date]])</f>
        <v>4</v>
      </c>
      <c r="K48" s="9">
        <f t="shared" si="0"/>
        <v>3</v>
      </c>
      <c r="L48" s="9">
        <f t="shared" si="2"/>
        <v>1116</v>
      </c>
      <c r="M48" s="18">
        <v>5</v>
      </c>
      <c r="N48" s="30">
        <v>379431</v>
      </c>
      <c r="BA48" s="18">
        <v>3</v>
      </c>
      <c r="BB48">
        <v>1697452</v>
      </c>
      <c r="BV48" s="8">
        <v>45733</v>
      </c>
      <c r="BW48" s="9" t="s">
        <v>15</v>
      </c>
      <c r="BX48" s="9">
        <v>1358</v>
      </c>
      <c r="BY48" s="9">
        <v>242</v>
      </c>
      <c r="BZ48" s="9">
        <v>342129</v>
      </c>
      <c r="CA48" s="11">
        <v>4.9400000000000006E-2</v>
      </c>
      <c r="CB48" s="12">
        <v>29116</v>
      </c>
      <c r="CC48" s="9">
        <f>YEAR([1]!Engagement_Summary[[#This Row],[Week_Start_Date]])</f>
        <v>2025</v>
      </c>
      <c r="CD48" s="9">
        <f>MONTH([1]!Engagement_Summary[[#This Row],[Week_Start_Date]])</f>
        <v>4</v>
      </c>
      <c r="CE48" s="9">
        <f t="shared" si="1"/>
        <v>3</v>
      </c>
      <c r="CF48" s="9">
        <v>1116</v>
      </c>
      <c r="CH48" s="4">
        <v>29116</v>
      </c>
      <c r="CI48">
        <f>[1]!Engagement_Summary[[#This Row],[New_Followers]]-[1]!Engagement_Summary[[#This Row],[Unfollows]]</f>
        <v>1045</v>
      </c>
    </row>
    <row r="49" spans="4:87" x14ac:dyDescent="0.25">
      <c r="D49" s="8">
        <v>45740</v>
      </c>
      <c r="E49" s="9" t="s">
        <v>15</v>
      </c>
      <c r="F49" s="9">
        <v>609</v>
      </c>
      <c r="G49" s="9">
        <v>135</v>
      </c>
      <c r="H49" s="9">
        <v>373606</v>
      </c>
      <c r="I49" s="9">
        <f>YEAR([1]!Engagement_Summary[[#This Row],[Week_Start_Date]])</f>
        <v>2025</v>
      </c>
      <c r="J49" s="9">
        <f>MONTH([1]!Engagement_Summary[[#This Row],[Week_Start_Date]])</f>
        <v>4</v>
      </c>
      <c r="K49" s="9">
        <f t="shared" si="0"/>
        <v>4</v>
      </c>
      <c r="L49" s="9">
        <f t="shared" si="2"/>
        <v>474</v>
      </c>
      <c r="M49" s="16" t="s">
        <v>26</v>
      </c>
      <c r="N49" s="30">
        <v>275113.61290322582</v>
      </c>
      <c r="BA49" s="18">
        <v>4</v>
      </c>
      <c r="BB49">
        <v>480438</v>
      </c>
      <c r="BV49" s="8">
        <v>45740</v>
      </c>
      <c r="BW49" s="9" t="s">
        <v>15</v>
      </c>
      <c r="BX49" s="9">
        <v>609</v>
      </c>
      <c r="BY49" s="9">
        <v>135</v>
      </c>
      <c r="BZ49" s="9">
        <v>373606</v>
      </c>
      <c r="CA49" s="11">
        <v>8.5199999999999998E-2</v>
      </c>
      <c r="CB49" s="12">
        <v>21453</v>
      </c>
      <c r="CC49" s="9">
        <f>YEAR([1]!Engagement_Summary[[#This Row],[Week_Start_Date]])</f>
        <v>2025</v>
      </c>
      <c r="CD49" s="9">
        <f>MONTH([1]!Engagement_Summary[[#This Row],[Week_Start_Date]])</f>
        <v>4</v>
      </c>
      <c r="CE49" s="9">
        <f t="shared" si="1"/>
        <v>4</v>
      </c>
      <c r="CF49" s="9">
        <v>474</v>
      </c>
      <c r="CH49" s="4">
        <v>21453</v>
      </c>
      <c r="CI49">
        <f>[1]!Engagement_Summary[[#This Row],[New_Followers]]-[1]!Engagement_Summary[[#This Row],[Unfollows]]</f>
        <v>453</v>
      </c>
    </row>
    <row r="50" spans="4:87" x14ac:dyDescent="0.25">
      <c r="D50" s="8">
        <v>45747</v>
      </c>
      <c r="E50" s="9" t="s">
        <v>15</v>
      </c>
      <c r="F50" s="9">
        <v>988</v>
      </c>
      <c r="G50" s="9">
        <v>474</v>
      </c>
      <c r="H50" s="9">
        <v>370070</v>
      </c>
      <c r="I50" s="9">
        <f>YEAR([1]!Engagement_Summary[[#This Row],[Week_Start_Date]])</f>
        <v>2025</v>
      </c>
      <c r="J50" s="9">
        <f>MONTH([1]!Engagement_Summary[[#This Row],[Week_Start_Date]])</f>
        <v>5</v>
      </c>
      <c r="K50" s="9">
        <f t="shared" si="0"/>
        <v>5</v>
      </c>
      <c r="L50" s="9">
        <f t="shared" si="2"/>
        <v>514</v>
      </c>
      <c r="BA50" s="18">
        <v>5</v>
      </c>
      <c r="BB50">
        <v>931911</v>
      </c>
      <c r="BV50" s="8">
        <v>45747</v>
      </c>
      <c r="BW50" s="9" t="s">
        <v>15</v>
      </c>
      <c r="BX50" s="9">
        <v>988</v>
      </c>
      <c r="BY50" s="9">
        <v>474</v>
      </c>
      <c r="BZ50" s="9">
        <v>370070</v>
      </c>
      <c r="CA50" s="11">
        <v>9.4600000000000004E-2</v>
      </c>
      <c r="CB50" s="12">
        <v>23461</v>
      </c>
      <c r="CC50" s="9">
        <f>YEAR([1]!Engagement_Summary[[#This Row],[Week_Start_Date]])</f>
        <v>2025</v>
      </c>
      <c r="CD50" s="9">
        <f>MONTH([1]!Engagement_Summary[[#This Row],[Week_Start_Date]])</f>
        <v>5</v>
      </c>
      <c r="CE50" s="9">
        <f t="shared" si="1"/>
        <v>5</v>
      </c>
      <c r="CF50" s="9">
        <v>514</v>
      </c>
      <c r="CH50" s="4">
        <v>23461</v>
      </c>
      <c r="CI50">
        <f>[1]!Engagement_Summary[[#This Row],[New_Followers]]-[1]!Engagement_Summary[[#This Row],[Unfollows]]</f>
        <v>339</v>
      </c>
    </row>
    <row r="51" spans="4:87" x14ac:dyDescent="0.25">
      <c r="D51" s="8">
        <v>45754</v>
      </c>
      <c r="E51" s="9" t="s">
        <v>15</v>
      </c>
      <c r="F51" s="9">
        <v>1307</v>
      </c>
      <c r="G51" s="9">
        <v>278</v>
      </c>
      <c r="H51" s="9">
        <v>98596</v>
      </c>
      <c r="I51" s="9">
        <f>YEAR([1]!Engagement_Summary[[#This Row],[Week_Start_Date]])</f>
        <v>2025</v>
      </c>
      <c r="J51" s="9">
        <f>MONTH([1]!Engagement_Summary[[#This Row],[Week_Start_Date]])</f>
        <v>5</v>
      </c>
      <c r="K51" s="9">
        <f t="shared" si="0"/>
        <v>1</v>
      </c>
      <c r="L51" s="9">
        <f t="shared" si="2"/>
        <v>1029</v>
      </c>
      <c r="BA51" s="16">
        <v>2025</v>
      </c>
      <c r="BB51">
        <v>20783102</v>
      </c>
      <c r="BV51" s="8">
        <v>45754</v>
      </c>
      <c r="BW51" s="9" t="s">
        <v>15</v>
      </c>
      <c r="BX51" s="9">
        <v>1307</v>
      </c>
      <c r="BY51" s="9">
        <v>278</v>
      </c>
      <c r="BZ51" s="9">
        <v>98596</v>
      </c>
      <c r="CA51" s="11">
        <v>2.4900000000000002E-2</v>
      </c>
      <c r="CB51" s="12">
        <v>47603</v>
      </c>
      <c r="CC51" s="9">
        <f>YEAR([1]!Engagement_Summary[[#This Row],[Week_Start_Date]])</f>
        <v>2025</v>
      </c>
      <c r="CD51" s="9">
        <f>MONTH([1]!Engagement_Summary[[#This Row],[Week_Start_Date]])</f>
        <v>5</v>
      </c>
      <c r="CE51" s="9">
        <f t="shared" si="1"/>
        <v>1</v>
      </c>
      <c r="CF51" s="9">
        <v>1029</v>
      </c>
      <c r="CH51" s="4">
        <v>47603</v>
      </c>
      <c r="CI51">
        <f>[1]!Engagement_Summary[[#This Row],[New_Followers]]-[1]!Engagement_Summary[[#This Row],[Unfollows]]</f>
        <v>407</v>
      </c>
    </row>
    <row r="52" spans="4:87" x14ac:dyDescent="0.25">
      <c r="D52" s="8">
        <v>45761</v>
      </c>
      <c r="E52" s="9" t="s">
        <v>15</v>
      </c>
      <c r="F52" s="9">
        <v>198</v>
      </c>
      <c r="G52" s="9">
        <v>373</v>
      </c>
      <c r="H52" s="9">
        <v>70707</v>
      </c>
      <c r="I52" s="9">
        <f>YEAR([1]!Engagement_Summary[[#This Row],[Week_Start_Date]])</f>
        <v>2024</v>
      </c>
      <c r="J52" s="9">
        <f>MONTH([1]!Engagement_Summary[[#This Row],[Week_Start_Date]])</f>
        <v>6</v>
      </c>
      <c r="K52" s="9">
        <f t="shared" si="0"/>
        <v>2</v>
      </c>
      <c r="L52" s="9">
        <f t="shared" si="2"/>
        <v>-175</v>
      </c>
      <c r="BA52" s="17">
        <v>1</v>
      </c>
      <c r="BB52">
        <v>4832455</v>
      </c>
      <c r="BV52" s="8">
        <v>45761</v>
      </c>
      <c r="BW52" s="9" t="s">
        <v>15</v>
      </c>
      <c r="BX52" s="9">
        <v>198</v>
      </c>
      <c r="BY52" s="9">
        <v>373</v>
      </c>
      <c r="BZ52" s="9">
        <v>70707</v>
      </c>
      <c r="CA52" s="11">
        <v>4.8300000000000003E-2</v>
      </c>
      <c r="CB52" s="12">
        <v>25920</v>
      </c>
      <c r="CC52" s="9">
        <f>YEAR([1]!Engagement_Summary[[#This Row],[Week_Start_Date]])</f>
        <v>2024</v>
      </c>
      <c r="CD52" s="9">
        <f>MONTH([1]!Engagement_Summary[[#This Row],[Week_Start_Date]])</f>
        <v>6</v>
      </c>
      <c r="CE52" s="9">
        <f t="shared" si="1"/>
        <v>2</v>
      </c>
      <c r="CF52" s="9">
        <v>-175</v>
      </c>
      <c r="CH52" s="4">
        <v>25920</v>
      </c>
      <c r="CI52">
        <f>[1]!Engagement_Summary[[#This Row],[New_Followers]]-[1]!Engagement_Summary[[#This Row],[Unfollows]]</f>
        <v>1047</v>
      </c>
    </row>
    <row r="53" spans="4:87" x14ac:dyDescent="0.25">
      <c r="D53" s="8">
        <v>45768</v>
      </c>
      <c r="E53" s="9" t="s">
        <v>15</v>
      </c>
      <c r="F53" s="9">
        <v>1375</v>
      </c>
      <c r="G53" s="9">
        <v>330</v>
      </c>
      <c r="H53" s="9">
        <v>377382</v>
      </c>
      <c r="I53" s="9">
        <f>YEAR([1]!Engagement_Summary[[#This Row],[Week_Start_Date]])</f>
        <v>2024</v>
      </c>
      <c r="J53" s="9">
        <f>MONTH([1]!Engagement_Summary[[#This Row],[Week_Start_Date]])</f>
        <v>6</v>
      </c>
      <c r="K53" s="9">
        <f t="shared" si="0"/>
        <v>3</v>
      </c>
      <c r="L53" s="9">
        <f t="shared" si="2"/>
        <v>1045</v>
      </c>
      <c r="BA53" s="18">
        <v>1</v>
      </c>
      <c r="BB53">
        <v>1028676</v>
      </c>
      <c r="BV53" s="8">
        <v>45768</v>
      </c>
      <c r="BW53" s="9" t="s">
        <v>15</v>
      </c>
      <c r="BX53" s="9">
        <v>1375</v>
      </c>
      <c r="BY53" s="9">
        <v>330</v>
      </c>
      <c r="BZ53" s="9">
        <v>377382</v>
      </c>
      <c r="CA53" s="11">
        <v>2.6000000000000002E-2</v>
      </c>
      <c r="CB53" s="12">
        <v>7875</v>
      </c>
      <c r="CC53" s="9">
        <f>YEAR([1]!Engagement_Summary[[#This Row],[Week_Start_Date]])</f>
        <v>2024</v>
      </c>
      <c r="CD53" s="9">
        <f>MONTH([1]!Engagement_Summary[[#This Row],[Week_Start_Date]])</f>
        <v>6</v>
      </c>
      <c r="CE53" s="9">
        <f t="shared" si="1"/>
        <v>3</v>
      </c>
      <c r="CF53" s="9">
        <v>1045</v>
      </c>
      <c r="CH53" s="4">
        <v>7875</v>
      </c>
      <c r="CI53">
        <f>[1]!Engagement_Summary[[#This Row],[New_Followers]]-[1]!Engagement_Summary[[#This Row],[Unfollows]]</f>
        <v>517</v>
      </c>
    </row>
    <row r="54" spans="4:87" x14ac:dyDescent="0.25">
      <c r="D54" s="8">
        <v>45775</v>
      </c>
      <c r="E54" s="9" t="s">
        <v>15</v>
      </c>
      <c r="F54" s="9">
        <v>833</v>
      </c>
      <c r="G54" s="9">
        <v>380</v>
      </c>
      <c r="H54" s="9">
        <v>224830</v>
      </c>
      <c r="I54" s="9">
        <f>YEAR([1]!Engagement_Summary[[#This Row],[Week_Start_Date]])</f>
        <v>2024</v>
      </c>
      <c r="J54" s="9">
        <f>MONTH([1]!Engagement_Summary[[#This Row],[Week_Start_Date]])</f>
        <v>6</v>
      </c>
      <c r="K54" s="9">
        <f t="shared" si="0"/>
        <v>4</v>
      </c>
      <c r="L54" s="9">
        <f t="shared" si="2"/>
        <v>453</v>
      </c>
      <c r="BA54" s="18">
        <v>2</v>
      </c>
      <c r="BB54">
        <v>1076445</v>
      </c>
      <c r="BV54" s="8">
        <v>45775</v>
      </c>
      <c r="BW54" s="9" t="s">
        <v>15</v>
      </c>
      <c r="BX54" s="9">
        <v>833</v>
      </c>
      <c r="BY54" s="9">
        <v>380</v>
      </c>
      <c r="BZ54" s="9">
        <v>224830</v>
      </c>
      <c r="CA54" s="11">
        <v>3.8599999999999995E-2</v>
      </c>
      <c r="CB54" s="12">
        <v>3582</v>
      </c>
      <c r="CC54" s="9">
        <f>YEAR([1]!Engagement_Summary[[#This Row],[Week_Start_Date]])</f>
        <v>2024</v>
      </c>
      <c r="CD54" s="9">
        <f>MONTH([1]!Engagement_Summary[[#This Row],[Week_Start_Date]])</f>
        <v>6</v>
      </c>
      <c r="CE54" s="9">
        <f t="shared" si="1"/>
        <v>4</v>
      </c>
      <c r="CF54" s="9">
        <v>453</v>
      </c>
      <c r="CH54" s="4">
        <v>3582</v>
      </c>
      <c r="CI54">
        <f>[1]!Engagement_Summary[[#This Row],[New_Followers]]-[1]!Engagement_Summary[[#This Row],[Unfollows]]</f>
        <v>893</v>
      </c>
    </row>
    <row r="55" spans="4:87" x14ac:dyDescent="0.25">
      <c r="D55" s="8">
        <v>45782</v>
      </c>
      <c r="E55" s="9" t="s">
        <v>15</v>
      </c>
      <c r="F55" s="9">
        <v>405</v>
      </c>
      <c r="G55" s="9">
        <v>66</v>
      </c>
      <c r="H55" s="9">
        <v>418696</v>
      </c>
      <c r="I55" s="9">
        <f>YEAR([1]!Engagement_Summary[[#This Row],[Week_Start_Date]])</f>
        <v>2024</v>
      </c>
      <c r="J55" s="9">
        <f>MONTH([1]!Engagement_Summary[[#This Row],[Week_Start_Date]])</f>
        <v>6</v>
      </c>
      <c r="K55" s="9">
        <f t="shared" si="0"/>
        <v>1</v>
      </c>
      <c r="L55" s="9">
        <f t="shared" si="2"/>
        <v>339</v>
      </c>
      <c r="BA55" s="18">
        <v>3</v>
      </c>
      <c r="BB55">
        <v>1324524</v>
      </c>
      <c r="BV55" s="8">
        <v>45782</v>
      </c>
      <c r="BW55" s="9" t="s">
        <v>15</v>
      </c>
      <c r="BX55" s="9">
        <v>405</v>
      </c>
      <c r="BY55" s="9">
        <v>66</v>
      </c>
      <c r="BZ55" s="9">
        <v>418696</v>
      </c>
      <c r="CA55" s="11">
        <v>5.5899999999999998E-2</v>
      </c>
      <c r="CB55" s="12">
        <v>48419</v>
      </c>
      <c r="CC55" s="9">
        <f>YEAR([1]!Engagement_Summary[[#This Row],[Week_Start_Date]])</f>
        <v>2024</v>
      </c>
      <c r="CD55" s="9">
        <f>MONTH([1]!Engagement_Summary[[#This Row],[Week_Start_Date]])</f>
        <v>6</v>
      </c>
      <c r="CE55" s="9">
        <f t="shared" si="1"/>
        <v>1</v>
      </c>
      <c r="CF55" s="9">
        <v>339</v>
      </c>
      <c r="CH55" s="4">
        <v>48419</v>
      </c>
      <c r="CI55">
        <f>[1]!Engagement_Summary[[#This Row],[New_Followers]]-[1]!Engagement_Summary[[#This Row],[Unfollows]]</f>
        <v>629</v>
      </c>
    </row>
    <row r="56" spans="4:87" x14ac:dyDescent="0.25">
      <c r="D56" s="8">
        <v>45789</v>
      </c>
      <c r="E56" s="9" t="s">
        <v>15</v>
      </c>
      <c r="F56" s="9">
        <v>837</v>
      </c>
      <c r="G56" s="9">
        <v>430</v>
      </c>
      <c r="H56" s="9">
        <v>364820</v>
      </c>
      <c r="I56" s="9">
        <f>YEAR([1]!Engagement_Summary[[#This Row],[Week_Start_Date]])</f>
        <v>2024</v>
      </c>
      <c r="J56" s="9">
        <f>MONTH([1]!Engagement_Summary[[#This Row],[Week_Start_Date]])</f>
        <v>7</v>
      </c>
      <c r="K56" s="9">
        <f t="shared" si="0"/>
        <v>2</v>
      </c>
      <c r="L56" s="9">
        <f t="shared" si="2"/>
        <v>407</v>
      </c>
      <c r="BA56" s="18">
        <v>4</v>
      </c>
      <c r="BB56">
        <v>1402810</v>
      </c>
      <c r="BV56" s="8">
        <v>45789</v>
      </c>
      <c r="BW56" s="9" t="s">
        <v>15</v>
      </c>
      <c r="BX56" s="9">
        <v>837</v>
      </c>
      <c r="BY56" s="9">
        <v>430</v>
      </c>
      <c r="BZ56" s="9">
        <v>364820</v>
      </c>
      <c r="CA56" s="11">
        <v>0.04</v>
      </c>
      <c r="CB56" s="12">
        <v>49400</v>
      </c>
      <c r="CC56" s="9">
        <f>YEAR([1]!Engagement_Summary[[#This Row],[Week_Start_Date]])</f>
        <v>2024</v>
      </c>
      <c r="CD56" s="9">
        <f>MONTH([1]!Engagement_Summary[[#This Row],[Week_Start_Date]])</f>
        <v>7</v>
      </c>
      <c r="CE56" s="9">
        <f t="shared" si="1"/>
        <v>2</v>
      </c>
      <c r="CF56" s="9">
        <v>407</v>
      </c>
      <c r="CH56" s="4">
        <v>49400</v>
      </c>
      <c r="CI56">
        <f>[1]!Engagement_Summary[[#This Row],[New_Followers]]-[1]!Engagement_Summary[[#This Row],[Unfollows]]</f>
        <v>-219</v>
      </c>
    </row>
    <row r="57" spans="4:87" x14ac:dyDescent="0.25">
      <c r="D57" s="8">
        <v>45446</v>
      </c>
      <c r="E57" s="9" t="s">
        <v>33</v>
      </c>
      <c r="F57" s="9">
        <v>1135</v>
      </c>
      <c r="G57" s="9">
        <v>88</v>
      </c>
      <c r="H57" s="9">
        <v>344084</v>
      </c>
      <c r="I57" s="9">
        <f>YEAR([1]!Engagement_Summary[[#This Row],[Week_Start_Date]])</f>
        <v>2024</v>
      </c>
      <c r="J57" s="9">
        <f>MONTH([1]!Engagement_Summary[[#This Row],[Week_Start_Date]])</f>
        <v>7</v>
      </c>
      <c r="K57" s="9">
        <f t="shared" si="0"/>
        <v>1</v>
      </c>
      <c r="L57" s="9">
        <f t="shared" si="2"/>
        <v>1047</v>
      </c>
      <c r="BA57" s="17">
        <v>2</v>
      </c>
      <c r="BB57">
        <v>4027781</v>
      </c>
      <c r="BV57" s="8">
        <v>45446</v>
      </c>
      <c r="BW57" s="9" t="s">
        <v>33</v>
      </c>
      <c r="BX57" s="9">
        <v>1135</v>
      </c>
      <c r="BY57" s="9">
        <v>88</v>
      </c>
      <c r="BZ57" s="9">
        <v>344084</v>
      </c>
      <c r="CA57" s="11">
        <v>8.0600000000000005E-2</v>
      </c>
      <c r="CB57" s="12">
        <v>5904</v>
      </c>
      <c r="CC57" s="9">
        <f>YEAR([1]!Engagement_Summary[[#This Row],[Week_Start_Date]])</f>
        <v>2024</v>
      </c>
      <c r="CD57" s="9">
        <f>MONTH([1]!Engagement_Summary[[#This Row],[Week_Start_Date]])</f>
        <v>7</v>
      </c>
      <c r="CE57" s="9">
        <f t="shared" si="1"/>
        <v>1</v>
      </c>
      <c r="CF57" s="9">
        <v>1047</v>
      </c>
      <c r="CH57" s="4">
        <v>5904</v>
      </c>
      <c r="CI57">
        <f>[1]!Engagement_Summary[[#This Row],[New_Followers]]-[1]!Engagement_Summary[[#This Row],[Unfollows]]</f>
        <v>1672</v>
      </c>
    </row>
    <row r="58" spans="4:87" x14ac:dyDescent="0.25">
      <c r="D58" s="8">
        <v>45453</v>
      </c>
      <c r="E58" s="9" t="s">
        <v>33</v>
      </c>
      <c r="F58" s="9">
        <v>656</v>
      </c>
      <c r="G58" s="9">
        <v>139</v>
      </c>
      <c r="H58" s="9">
        <v>49157</v>
      </c>
      <c r="I58" s="9">
        <f>YEAR([1]!Engagement_Summary[[#This Row],[Week_Start_Date]])</f>
        <v>2024</v>
      </c>
      <c r="J58" s="9">
        <f>MONTH([1]!Engagement_Summary[[#This Row],[Week_Start_Date]])</f>
        <v>7</v>
      </c>
      <c r="K58" s="9">
        <f t="shared" si="0"/>
        <v>2</v>
      </c>
      <c r="L58" s="9">
        <f t="shared" si="2"/>
        <v>517</v>
      </c>
      <c r="BA58" s="18">
        <v>1</v>
      </c>
      <c r="BB58">
        <v>935863</v>
      </c>
      <c r="BV58" s="8">
        <v>45453</v>
      </c>
      <c r="BW58" s="9" t="s">
        <v>33</v>
      </c>
      <c r="BX58" s="9">
        <v>656</v>
      </c>
      <c r="BY58" s="9">
        <v>139</v>
      </c>
      <c r="BZ58" s="9">
        <v>49157</v>
      </c>
      <c r="CA58" s="11">
        <v>9.0500000000000011E-2</v>
      </c>
      <c r="CB58" s="12">
        <v>9920</v>
      </c>
      <c r="CC58" s="9">
        <f>YEAR([1]!Engagement_Summary[[#This Row],[Week_Start_Date]])</f>
        <v>2024</v>
      </c>
      <c r="CD58" s="9">
        <f>MONTH([1]!Engagement_Summary[[#This Row],[Week_Start_Date]])</f>
        <v>7</v>
      </c>
      <c r="CE58" s="9">
        <f t="shared" si="1"/>
        <v>2</v>
      </c>
      <c r="CF58" s="9">
        <v>517</v>
      </c>
      <c r="CH58" s="4">
        <v>9920</v>
      </c>
      <c r="CI58">
        <f>[1]!Engagement_Summary[[#This Row],[New_Followers]]-[1]!Engagement_Summary[[#This Row],[Unfollows]]</f>
        <v>1845</v>
      </c>
    </row>
    <row r="59" spans="4:87" x14ac:dyDescent="0.25">
      <c r="D59" s="8">
        <v>45460</v>
      </c>
      <c r="E59" s="9" t="s">
        <v>33</v>
      </c>
      <c r="F59" s="9">
        <v>1048</v>
      </c>
      <c r="G59" s="9">
        <v>155</v>
      </c>
      <c r="H59" s="9">
        <v>456946</v>
      </c>
      <c r="I59" s="9">
        <f>YEAR([1]!Engagement_Summary[[#This Row],[Week_Start_Date]])</f>
        <v>2024</v>
      </c>
      <c r="J59" s="9">
        <f>MONTH([1]!Engagement_Summary[[#This Row],[Week_Start_Date]])</f>
        <v>7</v>
      </c>
      <c r="K59" s="9">
        <f t="shared" si="0"/>
        <v>3</v>
      </c>
      <c r="L59" s="9">
        <f t="shared" si="2"/>
        <v>893</v>
      </c>
      <c r="BA59" s="18">
        <v>2</v>
      </c>
      <c r="BB59">
        <v>1143902</v>
      </c>
      <c r="BV59" s="8">
        <v>45460</v>
      </c>
      <c r="BW59" s="9" t="s">
        <v>33</v>
      </c>
      <c r="BX59" s="9">
        <v>1048</v>
      </c>
      <c r="BY59" s="9">
        <v>155</v>
      </c>
      <c r="BZ59" s="9">
        <v>456946</v>
      </c>
      <c r="CA59" s="11">
        <v>2.46E-2</v>
      </c>
      <c r="CB59" s="12">
        <v>11329</v>
      </c>
      <c r="CC59" s="9">
        <f>YEAR([1]!Engagement_Summary[[#This Row],[Week_Start_Date]])</f>
        <v>2024</v>
      </c>
      <c r="CD59" s="9">
        <f>MONTH([1]!Engagement_Summary[[#This Row],[Week_Start_Date]])</f>
        <v>7</v>
      </c>
      <c r="CE59" s="9">
        <f t="shared" si="1"/>
        <v>3</v>
      </c>
      <c r="CF59" s="9">
        <v>893</v>
      </c>
      <c r="CH59" s="4">
        <v>11329</v>
      </c>
      <c r="CI59">
        <f>[1]!Engagement_Summary[[#This Row],[New_Followers]]-[1]!Engagement_Summary[[#This Row],[Unfollows]]</f>
        <v>159</v>
      </c>
    </row>
    <row r="60" spans="4:87" x14ac:dyDescent="0.25">
      <c r="D60" s="8">
        <v>45467</v>
      </c>
      <c r="E60" s="9" t="s">
        <v>33</v>
      </c>
      <c r="F60" s="9">
        <v>911</v>
      </c>
      <c r="G60" s="9">
        <v>282</v>
      </c>
      <c r="H60" s="9">
        <v>35664</v>
      </c>
      <c r="I60" s="9">
        <f>YEAR([1]!Engagement_Summary[[#This Row],[Week_Start_Date]])</f>
        <v>2024</v>
      </c>
      <c r="J60" s="9">
        <f>MONTH([1]!Engagement_Summary[[#This Row],[Week_Start_Date]])</f>
        <v>7</v>
      </c>
      <c r="K60" s="9">
        <f t="shared" si="0"/>
        <v>4</v>
      </c>
      <c r="L60" s="9">
        <f t="shared" si="2"/>
        <v>629</v>
      </c>
      <c r="BA60" s="18">
        <v>3</v>
      </c>
      <c r="BB60">
        <v>809798</v>
      </c>
      <c r="BV60" s="8">
        <v>45467</v>
      </c>
      <c r="BW60" s="9" t="s">
        <v>33</v>
      </c>
      <c r="BX60" s="9">
        <v>911</v>
      </c>
      <c r="BY60" s="9">
        <v>282</v>
      </c>
      <c r="BZ60" s="9">
        <v>35664</v>
      </c>
      <c r="CA60" s="11">
        <v>6.9199999999999998E-2</v>
      </c>
      <c r="CB60" s="12">
        <v>18050</v>
      </c>
      <c r="CC60" s="9">
        <f>YEAR([1]!Engagement_Summary[[#This Row],[Week_Start_Date]])</f>
        <v>2024</v>
      </c>
      <c r="CD60" s="9">
        <f>MONTH([1]!Engagement_Summary[[#This Row],[Week_Start_Date]])</f>
        <v>7</v>
      </c>
      <c r="CE60" s="9">
        <f t="shared" si="1"/>
        <v>4</v>
      </c>
      <c r="CF60" s="9">
        <v>629</v>
      </c>
      <c r="CH60" s="4">
        <v>18050</v>
      </c>
      <c r="CI60">
        <f>[1]!Engagement_Summary[[#This Row],[New_Followers]]-[1]!Engagement_Summary[[#This Row],[Unfollows]]</f>
        <v>541</v>
      </c>
    </row>
    <row r="61" spans="4:87" x14ac:dyDescent="0.25">
      <c r="D61" s="8">
        <v>45474</v>
      </c>
      <c r="E61" s="9" t="s">
        <v>33</v>
      </c>
      <c r="F61" s="9">
        <v>226</v>
      </c>
      <c r="G61" s="9">
        <v>445</v>
      </c>
      <c r="H61" s="9">
        <v>419447</v>
      </c>
      <c r="I61" s="9">
        <f>YEAR([1]!Engagement_Summary[[#This Row],[Week_Start_Date]])</f>
        <v>2024</v>
      </c>
      <c r="J61" s="9">
        <f>MONTH([1]!Engagement_Summary[[#This Row],[Week_Start_Date]])</f>
        <v>8</v>
      </c>
      <c r="K61" s="9">
        <f t="shared" si="0"/>
        <v>1</v>
      </c>
      <c r="L61" s="9">
        <f t="shared" si="2"/>
        <v>-219</v>
      </c>
      <c r="BA61" s="18">
        <v>4</v>
      </c>
      <c r="BB61">
        <v>1138218</v>
      </c>
      <c r="BV61" s="8">
        <v>45474</v>
      </c>
      <c r="BW61" s="9" t="s">
        <v>33</v>
      </c>
      <c r="BX61" s="9">
        <v>226</v>
      </c>
      <c r="BY61" s="9">
        <v>445</v>
      </c>
      <c r="BZ61" s="9">
        <v>419447</v>
      </c>
      <c r="CA61" s="11">
        <v>9.3599999999999989E-2</v>
      </c>
      <c r="CB61" s="12">
        <v>9566</v>
      </c>
      <c r="CC61" s="9">
        <f>YEAR([1]!Engagement_Summary[[#This Row],[Week_Start_Date]])</f>
        <v>2024</v>
      </c>
      <c r="CD61" s="9">
        <f>MONTH([1]!Engagement_Summary[[#This Row],[Week_Start_Date]])</f>
        <v>8</v>
      </c>
      <c r="CE61" s="9">
        <f t="shared" si="1"/>
        <v>1</v>
      </c>
      <c r="CF61" s="9">
        <v>-219</v>
      </c>
      <c r="CH61" s="4">
        <v>9566</v>
      </c>
      <c r="CI61">
        <f>[1]!Engagement_Summary[[#This Row],[New_Followers]]-[1]!Engagement_Summary[[#This Row],[Unfollows]]</f>
        <v>352</v>
      </c>
    </row>
    <row r="62" spans="4:87" x14ac:dyDescent="0.25">
      <c r="D62" s="8">
        <v>45481</v>
      </c>
      <c r="E62" s="9" t="s">
        <v>33</v>
      </c>
      <c r="F62" s="9">
        <v>1757</v>
      </c>
      <c r="G62" s="9">
        <v>85</v>
      </c>
      <c r="H62" s="9">
        <v>58223</v>
      </c>
      <c r="I62" s="9">
        <f>YEAR([1]!Engagement_Summary[[#This Row],[Week_Start_Date]])</f>
        <v>2024</v>
      </c>
      <c r="J62" s="9">
        <f>MONTH([1]!Engagement_Summary[[#This Row],[Week_Start_Date]])</f>
        <v>8</v>
      </c>
      <c r="K62" s="9">
        <f t="shared" si="0"/>
        <v>2</v>
      </c>
      <c r="L62" s="9">
        <f t="shared" si="2"/>
        <v>1672</v>
      </c>
      <c r="BA62" s="17">
        <v>3</v>
      </c>
      <c r="BB62">
        <v>5690070</v>
      </c>
      <c r="BV62" s="8">
        <v>45481</v>
      </c>
      <c r="BW62" s="9" t="s">
        <v>33</v>
      </c>
      <c r="BX62" s="9">
        <v>1757</v>
      </c>
      <c r="BY62" s="9">
        <v>85</v>
      </c>
      <c r="BZ62" s="9">
        <v>58223</v>
      </c>
      <c r="CA62" s="11">
        <v>8.7400000000000005E-2</v>
      </c>
      <c r="CB62" s="12">
        <v>22728</v>
      </c>
      <c r="CC62" s="9">
        <f>YEAR([1]!Engagement_Summary[[#This Row],[Week_Start_Date]])</f>
        <v>2024</v>
      </c>
      <c r="CD62" s="9">
        <f>MONTH([1]!Engagement_Summary[[#This Row],[Week_Start_Date]])</f>
        <v>8</v>
      </c>
      <c r="CE62" s="9">
        <f t="shared" si="1"/>
        <v>2</v>
      </c>
      <c r="CF62" s="9">
        <v>1672</v>
      </c>
      <c r="CH62" s="4">
        <v>22728</v>
      </c>
      <c r="CI62">
        <f>[1]!Engagement_Summary[[#This Row],[New_Followers]]-[1]!Engagement_Summary[[#This Row],[Unfollows]]</f>
        <v>1325</v>
      </c>
    </row>
    <row r="63" spans="4:87" x14ac:dyDescent="0.25">
      <c r="D63" s="8">
        <v>45488</v>
      </c>
      <c r="E63" s="9" t="s">
        <v>33</v>
      </c>
      <c r="F63" s="9">
        <v>1960</v>
      </c>
      <c r="G63" s="9">
        <v>115</v>
      </c>
      <c r="H63" s="9">
        <v>154169</v>
      </c>
      <c r="I63" s="9">
        <f>YEAR([1]!Engagement_Summary[[#This Row],[Week_Start_Date]])</f>
        <v>2024</v>
      </c>
      <c r="J63" s="9">
        <f>MONTH([1]!Engagement_Summary[[#This Row],[Week_Start_Date]])</f>
        <v>8</v>
      </c>
      <c r="K63" s="9">
        <f t="shared" si="0"/>
        <v>3</v>
      </c>
      <c r="L63" s="9">
        <f t="shared" si="2"/>
        <v>1845</v>
      </c>
      <c r="BA63" s="18">
        <v>1</v>
      </c>
      <c r="BB63">
        <v>1315569</v>
      </c>
      <c r="BV63" s="8">
        <v>45488</v>
      </c>
      <c r="BW63" s="9" t="s">
        <v>33</v>
      </c>
      <c r="BX63" s="9">
        <v>1960</v>
      </c>
      <c r="BY63" s="9">
        <v>115</v>
      </c>
      <c r="BZ63" s="9">
        <v>154169</v>
      </c>
      <c r="CA63" s="11">
        <v>3.7400000000000003E-2</v>
      </c>
      <c r="CB63" s="12">
        <v>10740</v>
      </c>
      <c r="CC63" s="9">
        <f>YEAR([1]!Engagement_Summary[[#This Row],[Week_Start_Date]])</f>
        <v>2024</v>
      </c>
      <c r="CD63" s="9">
        <f>MONTH([1]!Engagement_Summary[[#This Row],[Week_Start_Date]])</f>
        <v>8</v>
      </c>
      <c r="CE63" s="9">
        <f t="shared" si="1"/>
        <v>3</v>
      </c>
      <c r="CF63" s="9">
        <v>1845</v>
      </c>
      <c r="CH63" s="4">
        <v>10740</v>
      </c>
      <c r="CI63">
        <f>[1]!Engagement_Summary[[#This Row],[New_Followers]]-[1]!Engagement_Summary[[#This Row],[Unfollows]]</f>
        <v>76</v>
      </c>
    </row>
    <row r="64" spans="4:87" x14ac:dyDescent="0.25">
      <c r="D64" s="8">
        <v>45495</v>
      </c>
      <c r="E64" s="9" t="s">
        <v>33</v>
      </c>
      <c r="F64" s="9">
        <v>508</v>
      </c>
      <c r="G64" s="9">
        <v>349</v>
      </c>
      <c r="H64" s="9">
        <v>473812</v>
      </c>
      <c r="I64" s="9">
        <f>YEAR([1]!Engagement_Summary[[#This Row],[Week_Start_Date]])</f>
        <v>2024</v>
      </c>
      <c r="J64" s="9">
        <f>MONTH([1]!Engagement_Summary[[#This Row],[Week_Start_Date]])</f>
        <v>8</v>
      </c>
      <c r="K64" s="9">
        <f t="shared" si="0"/>
        <v>4</v>
      </c>
      <c r="L64" s="9">
        <f t="shared" si="2"/>
        <v>159</v>
      </c>
      <c r="BA64" s="18">
        <v>2</v>
      </c>
      <c r="BB64">
        <v>913852</v>
      </c>
      <c r="BV64" s="8">
        <v>45495</v>
      </c>
      <c r="BW64" s="9" t="s">
        <v>33</v>
      </c>
      <c r="BX64" s="9">
        <v>508</v>
      </c>
      <c r="BY64" s="9">
        <v>349</v>
      </c>
      <c r="BZ64" s="9">
        <v>473812</v>
      </c>
      <c r="CA64" s="11">
        <v>7.8799999999999995E-2</v>
      </c>
      <c r="CB64" s="12">
        <v>17328</v>
      </c>
      <c r="CC64" s="9">
        <f>YEAR([1]!Engagement_Summary[[#This Row],[Week_Start_Date]])</f>
        <v>2024</v>
      </c>
      <c r="CD64" s="9">
        <f>MONTH([1]!Engagement_Summary[[#This Row],[Week_Start_Date]])</f>
        <v>8</v>
      </c>
      <c r="CE64" s="9">
        <f t="shared" si="1"/>
        <v>4</v>
      </c>
      <c r="CF64" s="9">
        <v>159</v>
      </c>
      <c r="CH64" s="4">
        <v>17328</v>
      </c>
      <c r="CI64">
        <f>[1]!Engagement_Summary[[#This Row],[New_Followers]]-[1]!Engagement_Summary[[#This Row],[Unfollows]]</f>
        <v>1609</v>
      </c>
    </row>
    <row r="65" spans="4:87" x14ac:dyDescent="0.25">
      <c r="D65" s="8">
        <v>45502</v>
      </c>
      <c r="E65" s="9" t="s">
        <v>33</v>
      </c>
      <c r="F65" s="9">
        <v>653</v>
      </c>
      <c r="G65" s="9">
        <v>112</v>
      </c>
      <c r="H65" s="9">
        <v>23664</v>
      </c>
      <c r="I65" s="9">
        <f>YEAR([1]!Engagement_Summary[[#This Row],[Week_Start_Date]])</f>
        <v>2024</v>
      </c>
      <c r="J65" s="9">
        <f>MONTH([1]!Engagement_Summary[[#This Row],[Week_Start_Date]])</f>
        <v>9</v>
      </c>
      <c r="K65" s="9">
        <f t="shared" si="0"/>
        <v>5</v>
      </c>
      <c r="L65" s="9">
        <f t="shared" si="2"/>
        <v>541</v>
      </c>
      <c r="BA65" s="18">
        <v>3</v>
      </c>
      <c r="BB65">
        <v>782286</v>
      </c>
      <c r="BV65" s="8">
        <v>45502</v>
      </c>
      <c r="BW65" s="9" t="s">
        <v>33</v>
      </c>
      <c r="BX65" s="9">
        <v>653</v>
      </c>
      <c r="BY65" s="9">
        <v>112</v>
      </c>
      <c r="BZ65" s="9">
        <v>23664</v>
      </c>
      <c r="CA65" s="11">
        <v>4.0500000000000001E-2</v>
      </c>
      <c r="CB65" s="12">
        <v>15353</v>
      </c>
      <c r="CC65" s="9">
        <f>YEAR([1]!Engagement_Summary[[#This Row],[Week_Start_Date]])</f>
        <v>2024</v>
      </c>
      <c r="CD65" s="9">
        <f>MONTH([1]!Engagement_Summary[[#This Row],[Week_Start_Date]])</f>
        <v>9</v>
      </c>
      <c r="CE65" s="9">
        <f t="shared" si="1"/>
        <v>5</v>
      </c>
      <c r="CF65" s="9">
        <v>541</v>
      </c>
      <c r="CH65" s="4">
        <v>15353</v>
      </c>
      <c r="CI65">
        <f>[1]!Engagement_Summary[[#This Row],[New_Followers]]-[1]!Engagement_Summary[[#This Row],[Unfollows]]</f>
        <v>1247</v>
      </c>
    </row>
    <row r="66" spans="4:87" x14ac:dyDescent="0.25">
      <c r="D66" s="8">
        <v>45509</v>
      </c>
      <c r="E66" s="9" t="s">
        <v>33</v>
      </c>
      <c r="F66" s="9">
        <v>645</v>
      </c>
      <c r="G66" s="9">
        <v>293</v>
      </c>
      <c r="H66" s="9">
        <v>437968</v>
      </c>
      <c r="I66" s="9">
        <f>YEAR([1]!Engagement_Summary[[#This Row],[Week_Start_Date]])</f>
        <v>2024</v>
      </c>
      <c r="J66" s="9">
        <f>MONTH([1]!Engagement_Summary[[#This Row],[Week_Start_Date]])</f>
        <v>9</v>
      </c>
      <c r="K66" s="9">
        <f t="shared" si="0"/>
        <v>1</v>
      </c>
      <c r="L66" s="9">
        <f t="shared" si="2"/>
        <v>352</v>
      </c>
      <c r="BA66" s="18">
        <v>4</v>
      </c>
      <c r="BB66">
        <v>1391437</v>
      </c>
      <c r="BV66" s="8">
        <v>45509</v>
      </c>
      <c r="BW66" s="9" t="s">
        <v>33</v>
      </c>
      <c r="BX66" s="9">
        <v>645</v>
      </c>
      <c r="BY66" s="9">
        <v>293</v>
      </c>
      <c r="BZ66" s="9">
        <v>437968</v>
      </c>
      <c r="CA66" s="11">
        <v>7.8299999999999995E-2</v>
      </c>
      <c r="CB66" s="12">
        <v>49303</v>
      </c>
      <c r="CC66" s="9">
        <f>YEAR([1]!Engagement_Summary[[#This Row],[Week_Start_Date]])</f>
        <v>2024</v>
      </c>
      <c r="CD66" s="9">
        <f>MONTH([1]!Engagement_Summary[[#This Row],[Week_Start_Date]])</f>
        <v>9</v>
      </c>
      <c r="CE66" s="9">
        <f t="shared" si="1"/>
        <v>1</v>
      </c>
      <c r="CF66" s="9">
        <v>352</v>
      </c>
      <c r="CH66" s="4">
        <v>49303</v>
      </c>
      <c r="CI66">
        <f>[1]!Engagement_Summary[[#This Row],[New_Followers]]-[1]!Engagement_Summary[[#This Row],[Unfollows]]</f>
        <v>1572</v>
      </c>
    </row>
    <row r="67" spans="4:87" x14ac:dyDescent="0.25">
      <c r="D67" s="8">
        <v>45516</v>
      </c>
      <c r="E67" s="9" t="s">
        <v>33</v>
      </c>
      <c r="F67" s="9">
        <v>1528</v>
      </c>
      <c r="G67" s="9">
        <v>203</v>
      </c>
      <c r="H67" s="9">
        <v>489188</v>
      </c>
      <c r="I67" s="9">
        <f>YEAR([1]!Engagement_Summary[[#This Row],[Week_Start_Date]])</f>
        <v>2024</v>
      </c>
      <c r="J67" s="9">
        <f>MONTH([1]!Engagement_Summary[[#This Row],[Week_Start_Date]])</f>
        <v>9</v>
      </c>
      <c r="K67" s="9">
        <f t="shared" si="0"/>
        <v>2</v>
      </c>
      <c r="L67" s="9">
        <f t="shared" si="2"/>
        <v>1325</v>
      </c>
      <c r="BA67" s="18">
        <v>5</v>
      </c>
      <c r="BB67">
        <v>1286926</v>
      </c>
      <c r="BV67" s="8">
        <v>45516</v>
      </c>
      <c r="BW67" s="9" t="s">
        <v>33</v>
      </c>
      <c r="BX67" s="9">
        <v>1528</v>
      </c>
      <c r="BY67" s="9">
        <v>203</v>
      </c>
      <c r="BZ67" s="9">
        <v>489188</v>
      </c>
      <c r="CA67" s="11">
        <v>6.2300000000000001E-2</v>
      </c>
      <c r="CB67" s="12">
        <v>47101</v>
      </c>
      <c r="CC67" s="9">
        <f>YEAR([1]!Engagement_Summary[[#This Row],[Week_Start_Date]])</f>
        <v>2024</v>
      </c>
      <c r="CD67" s="9">
        <f>MONTH([1]!Engagement_Summary[[#This Row],[Week_Start_Date]])</f>
        <v>9</v>
      </c>
      <c r="CE67" s="9">
        <f t="shared" si="1"/>
        <v>2</v>
      </c>
      <c r="CF67" s="9">
        <v>1325</v>
      </c>
      <c r="CH67" s="4">
        <v>47101</v>
      </c>
      <c r="CI67">
        <f>[1]!Engagement_Summary[[#This Row],[New_Followers]]-[1]!Engagement_Summary[[#This Row],[Unfollows]]</f>
        <v>377</v>
      </c>
    </row>
    <row r="68" spans="4:87" x14ac:dyDescent="0.25">
      <c r="D68" s="8">
        <v>45523</v>
      </c>
      <c r="E68" s="9" t="s">
        <v>33</v>
      </c>
      <c r="F68" s="9">
        <v>215</v>
      </c>
      <c r="G68" s="9">
        <v>139</v>
      </c>
      <c r="H68" s="9">
        <v>325444</v>
      </c>
      <c r="I68" s="9">
        <f>YEAR([1]!Engagement_Summary[[#This Row],[Week_Start_Date]])</f>
        <v>2024</v>
      </c>
      <c r="J68" s="9">
        <f>MONTH([1]!Engagement_Summary[[#This Row],[Week_Start_Date]])</f>
        <v>9</v>
      </c>
      <c r="K68" s="9">
        <f t="shared" si="0"/>
        <v>3</v>
      </c>
      <c r="L68" s="9">
        <f t="shared" si="2"/>
        <v>76</v>
      </c>
      <c r="BA68" s="17">
        <v>4</v>
      </c>
      <c r="BB68">
        <v>3361380</v>
      </c>
      <c r="BV68" s="8">
        <v>45523</v>
      </c>
      <c r="BW68" s="9" t="s">
        <v>33</v>
      </c>
      <c r="BX68" s="9">
        <v>215</v>
      </c>
      <c r="BY68" s="9">
        <v>139</v>
      </c>
      <c r="BZ68" s="9">
        <v>325444</v>
      </c>
      <c r="CA68" s="11">
        <v>3.2500000000000001E-2</v>
      </c>
      <c r="CB68" s="12">
        <v>35501</v>
      </c>
      <c r="CC68" s="9">
        <f>YEAR([1]!Engagement_Summary[[#This Row],[Week_Start_Date]])</f>
        <v>2024</v>
      </c>
      <c r="CD68" s="9">
        <f>MONTH([1]!Engagement_Summary[[#This Row],[Week_Start_Date]])</f>
        <v>9</v>
      </c>
      <c r="CE68" s="9">
        <f t="shared" si="1"/>
        <v>3</v>
      </c>
      <c r="CF68" s="9">
        <v>76</v>
      </c>
      <c r="CH68" s="4">
        <v>35501</v>
      </c>
      <c r="CI68">
        <f>[1]!Engagement_Summary[[#This Row],[New_Followers]]-[1]!Engagement_Summary[[#This Row],[Unfollows]]</f>
        <v>666</v>
      </c>
    </row>
    <row r="69" spans="4:87" x14ac:dyDescent="0.25">
      <c r="D69" s="8">
        <v>45530</v>
      </c>
      <c r="E69" s="9" t="s">
        <v>33</v>
      </c>
      <c r="F69" s="9">
        <v>1685</v>
      </c>
      <c r="G69" s="9">
        <v>76</v>
      </c>
      <c r="H69" s="9">
        <v>453799</v>
      </c>
      <c r="I69" s="9">
        <f>YEAR([1]!Engagement_Summary[[#This Row],[Week_Start_Date]])</f>
        <v>2024</v>
      </c>
      <c r="J69" s="9">
        <f>MONTH([1]!Engagement_Summary[[#This Row],[Week_Start_Date]])</f>
        <v>9</v>
      </c>
      <c r="K69" s="9">
        <f t="shared" si="0"/>
        <v>4</v>
      </c>
      <c r="L69" s="9">
        <f t="shared" si="2"/>
        <v>1609</v>
      </c>
      <c r="BA69" s="18">
        <v>1</v>
      </c>
      <c r="BB69">
        <v>497328</v>
      </c>
      <c r="BV69" s="8">
        <v>45530</v>
      </c>
      <c r="BW69" s="9" t="s">
        <v>33</v>
      </c>
      <c r="BX69" s="9">
        <v>1685</v>
      </c>
      <c r="BY69" s="9">
        <v>76</v>
      </c>
      <c r="BZ69" s="9">
        <v>453799</v>
      </c>
      <c r="CA69" s="11">
        <v>5.7099999999999998E-2</v>
      </c>
      <c r="CB69" s="12">
        <v>24913</v>
      </c>
      <c r="CC69" s="9">
        <f>YEAR([1]!Engagement_Summary[[#This Row],[Week_Start_Date]])</f>
        <v>2024</v>
      </c>
      <c r="CD69" s="9">
        <f>MONTH([1]!Engagement_Summary[[#This Row],[Week_Start_Date]])</f>
        <v>9</v>
      </c>
      <c r="CE69" s="9">
        <f t="shared" si="1"/>
        <v>4</v>
      </c>
      <c r="CF69" s="9">
        <v>1609</v>
      </c>
      <c r="CH69" s="4">
        <v>24913</v>
      </c>
      <c r="CI69">
        <f>[1]!Engagement_Summary[[#This Row],[New_Followers]]-[1]!Engagement_Summary[[#This Row],[Unfollows]]</f>
        <v>1025</v>
      </c>
    </row>
    <row r="70" spans="4:87" x14ac:dyDescent="0.25">
      <c r="D70" s="8">
        <v>45537</v>
      </c>
      <c r="E70" s="9" t="s">
        <v>33</v>
      </c>
      <c r="F70" s="9">
        <v>1429</v>
      </c>
      <c r="G70" s="9">
        <v>182</v>
      </c>
      <c r="H70" s="9">
        <v>101332</v>
      </c>
      <c r="I70" s="9">
        <f>YEAR([1]!Engagement_Summary[[#This Row],[Week_Start_Date]])</f>
        <v>2024</v>
      </c>
      <c r="J70" s="9">
        <f>MONTH([1]!Engagement_Summary[[#This Row],[Week_Start_Date]])</f>
        <v>10</v>
      </c>
      <c r="K70" s="9">
        <f t="shared" si="0"/>
        <v>1</v>
      </c>
      <c r="L70" s="9">
        <f t="shared" si="2"/>
        <v>1247</v>
      </c>
      <c r="BA70" s="18">
        <v>2</v>
      </c>
      <c r="BB70">
        <v>649421</v>
      </c>
      <c r="BV70" s="8">
        <v>45537</v>
      </c>
      <c r="BW70" s="9" t="s">
        <v>33</v>
      </c>
      <c r="BX70" s="9">
        <v>1429</v>
      </c>
      <c r="BY70" s="9">
        <v>182</v>
      </c>
      <c r="BZ70" s="9">
        <v>101332</v>
      </c>
      <c r="CA70" s="11">
        <v>7.1599999999999997E-2</v>
      </c>
      <c r="CB70" s="12">
        <v>37829</v>
      </c>
      <c r="CC70" s="9">
        <f>YEAR([1]!Engagement_Summary[[#This Row],[Week_Start_Date]])</f>
        <v>2024</v>
      </c>
      <c r="CD70" s="9">
        <f>MONTH([1]!Engagement_Summary[[#This Row],[Week_Start_Date]])</f>
        <v>10</v>
      </c>
      <c r="CE70" s="9">
        <f t="shared" si="1"/>
        <v>1</v>
      </c>
      <c r="CF70" s="9">
        <v>1247</v>
      </c>
      <c r="CH70" s="4">
        <v>37829</v>
      </c>
      <c r="CI70">
        <f>[1]!Engagement_Summary[[#This Row],[New_Followers]]-[1]!Engagement_Summary[[#This Row],[Unfollows]]</f>
        <v>1872</v>
      </c>
    </row>
    <row r="71" spans="4:87" x14ac:dyDescent="0.25">
      <c r="D71" s="8">
        <v>45544</v>
      </c>
      <c r="E71" s="9" t="s">
        <v>33</v>
      </c>
      <c r="F71" s="9">
        <v>1592</v>
      </c>
      <c r="G71" s="9">
        <v>20</v>
      </c>
      <c r="H71" s="9">
        <v>378054</v>
      </c>
      <c r="I71" s="9">
        <f>YEAR([1]!Engagement_Summary[[#This Row],[Week_Start_Date]])</f>
        <v>2024</v>
      </c>
      <c r="J71" s="9">
        <f>MONTH([1]!Engagement_Summary[[#This Row],[Week_Start_Date]])</f>
        <v>10</v>
      </c>
      <c r="K71" s="9">
        <f t="shared" ref="K71:K134" si="3" xml:space="preserve"> INT((DAY(D71)-1)/7)+1</f>
        <v>2</v>
      </c>
      <c r="L71" s="9">
        <f t="shared" si="2"/>
        <v>1572</v>
      </c>
      <c r="BA71" s="18">
        <v>3</v>
      </c>
      <c r="BB71">
        <v>1045133</v>
      </c>
      <c r="BV71" s="8">
        <v>45544</v>
      </c>
      <c r="BW71" s="9" t="s">
        <v>33</v>
      </c>
      <c r="BX71" s="9">
        <v>1592</v>
      </c>
      <c r="BY71" s="9">
        <v>20</v>
      </c>
      <c r="BZ71" s="9">
        <v>378054</v>
      </c>
      <c r="CA71" s="11">
        <v>9.0899999999999995E-2</v>
      </c>
      <c r="CB71" s="12">
        <v>26663</v>
      </c>
      <c r="CC71" s="9">
        <f>YEAR([1]!Engagement_Summary[[#This Row],[Week_Start_Date]])</f>
        <v>2024</v>
      </c>
      <c r="CD71" s="9">
        <f>MONTH([1]!Engagement_Summary[[#This Row],[Week_Start_Date]])</f>
        <v>10</v>
      </c>
      <c r="CE71" s="9">
        <f t="shared" ref="CE71:CE134" si="4" xml:space="preserve"> INT((DAY(BV71)-1)/7)+1</f>
        <v>2</v>
      </c>
      <c r="CF71" s="9">
        <v>1572</v>
      </c>
      <c r="CH71" s="4">
        <v>26663</v>
      </c>
      <c r="CI71">
        <f>[1]!Engagement_Summary[[#This Row],[New_Followers]]-[1]!Engagement_Summary[[#This Row],[Unfollows]]</f>
        <v>1224</v>
      </c>
    </row>
    <row r="72" spans="4:87" x14ac:dyDescent="0.25">
      <c r="D72" s="8">
        <v>45551</v>
      </c>
      <c r="E72" s="9" t="s">
        <v>33</v>
      </c>
      <c r="F72" s="9">
        <v>778</v>
      </c>
      <c r="G72" s="9">
        <v>401</v>
      </c>
      <c r="H72" s="9">
        <v>50793</v>
      </c>
      <c r="I72" s="9">
        <f>YEAR([1]!Engagement_Summary[[#This Row],[Week_Start_Date]])</f>
        <v>2024</v>
      </c>
      <c r="J72" s="9">
        <f>MONTH([1]!Engagement_Summary[[#This Row],[Week_Start_Date]])</f>
        <v>10</v>
      </c>
      <c r="K72" s="9">
        <f t="shared" si="3"/>
        <v>3</v>
      </c>
      <c r="L72" s="9">
        <f t="shared" ref="L72:L135" si="5">F72-G72</f>
        <v>377</v>
      </c>
      <c r="BA72" s="18">
        <v>4</v>
      </c>
      <c r="BB72">
        <v>1169498</v>
      </c>
      <c r="BV72" s="8">
        <v>45551</v>
      </c>
      <c r="BW72" s="9" t="s">
        <v>33</v>
      </c>
      <c r="BX72" s="9">
        <v>778</v>
      </c>
      <c r="BY72" s="9">
        <v>401</v>
      </c>
      <c r="BZ72" s="9">
        <v>50793</v>
      </c>
      <c r="CA72" s="11">
        <v>3.4000000000000002E-2</v>
      </c>
      <c r="CB72" s="12">
        <v>21939</v>
      </c>
      <c r="CC72" s="9">
        <f>YEAR([1]!Engagement_Summary[[#This Row],[Week_Start_Date]])</f>
        <v>2024</v>
      </c>
      <c r="CD72" s="9">
        <f>MONTH([1]!Engagement_Summary[[#This Row],[Week_Start_Date]])</f>
        <v>10</v>
      </c>
      <c r="CE72" s="9">
        <f t="shared" si="4"/>
        <v>3</v>
      </c>
      <c r="CF72" s="9">
        <v>377</v>
      </c>
      <c r="CH72" s="4">
        <v>21939</v>
      </c>
      <c r="CI72">
        <f>[1]!Engagement_Summary[[#This Row],[New_Followers]]-[1]!Engagement_Summary[[#This Row],[Unfollows]]</f>
        <v>262</v>
      </c>
    </row>
    <row r="73" spans="4:87" x14ac:dyDescent="0.25">
      <c r="D73" s="8">
        <v>45558</v>
      </c>
      <c r="E73" s="9" t="s">
        <v>33</v>
      </c>
      <c r="F73" s="9">
        <v>817</v>
      </c>
      <c r="G73" s="9">
        <v>151</v>
      </c>
      <c r="H73" s="9">
        <v>422625</v>
      </c>
      <c r="I73" s="9">
        <f>YEAR([1]!Engagement_Summary[[#This Row],[Week_Start_Date]])</f>
        <v>2024</v>
      </c>
      <c r="J73" s="9">
        <f>MONTH([1]!Engagement_Summary[[#This Row],[Week_Start_Date]])</f>
        <v>10</v>
      </c>
      <c r="K73" s="9">
        <f t="shared" si="3"/>
        <v>4</v>
      </c>
      <c r="L73" s="9">
        <f t="shared" si="5"/>
        <v>666</v>
      </c>
      <c r="BA73" s="17">
        <v>5</v>
      </c>
      <c r="BB73">
        <v>2871416</v>
      </c>
      <c r="BV73" s="8">
        <v>45558</v>
      </c>
      <c r="BW73" s="9" t="s">
        <v>33</v>
      </c>
      <c r="BX73" s="9">
        <v>817</v>
      </c>
      <c r="BY73" s="9">
        <v>151</v>
      </c>
      <c r="BZ73" s="9">
        <v>422625</v>
      </c>
      <c r="CA73" s="11">
        <v>2.3599999999999999E-2</v>
      </c>
      <c r="CB73" s="12">
        <v>1083</v>
      </c>
      <c r="CC73" s="9">
        <f>YEAR([1]!Engagement_Summary[[#This Row],[Week_Start_Date]])</f>
        <v>2024</v>
      </c>
      <c r="CD73" s="9">
        <f>MONTH([1]!Engagement_Summary[[#This Row],[Week_Start_Date]])</f>
        <v>10</v>
      </c>
      <c r="CE73" s="9">
        <f t="shared" si="4"/>
        <v>4</v>
      </c>
      <c r="CF73" s="9">
        <v>666</v>
      </c>
      <c r="CH73" s="4">
        <v>1083</v>
      </c>
      <c r="CI73">
        <f>[1]!Engagement_Summary[[#This Row],[New_Followers]]-[1]!Engagement_Summary[[#This Row],[Unfollows]]</f>
        <v>576</v>
      </c>
    </row>
    <row r="74" spans="4:87" x14ac:dyDescent="0.25">
      <c r="D74" s="8">
        <v>45565</v>
      </c>
      <c r="E74" s="9" t="s">
        <v>33</v>
      </c>
      <c r="F74" s="9">
        <v>1433</v>
      </c>
      <c r="G74" s="9">
        <v>408</v>
      </c>
      <c r="H74" s="9">
        <v>370269</v>
      </c>
      <c r="I74" s="9">
        <f>YEAR([1]!Engagement_Summary[[#This Row],[Week_Start_Date]])</f>
        <v>2024</v>
      </c>
      <c r="J74" s="9">
        <f>MONTH([1]!Engagement_Summary[[#This Row],[Week_Start_Date]])</f>
        <v>11</v>
      </c>
      <c r="K74" s="9">
        <f t="shared" si="3"/>
        <v>5</v>
      </c>
      <c r="L74" s="9">
        <f t="shared" si="5"/>
        <v>1025</v>
      </c>
      <c r="BA74" s="18">
        <v>1</v>
      </c>
      <c r="BB74">
        <v>1499439</v>
      </c>
      <c r="BV74" s="8">
        <v>45565</v>
      </c>
      <c r="BW74" s="9" t="s">
        <v>33</v>
      </c>
      <c r="BX74" s="9">
        <v>1433</v>
      </c>
      <c r="BY74" s="9">
        <v>408</v>
      </c>
      <c r="BZ74" s="9">
        <v>370269</v>
      </c>
      <c r="CA74" s="11">
        <v>3.3000000000000002E-2</v>
      </c>
      <c r="CB74" s="12">
        <v>30575</v>
      </c>
      <c r="CC74" s="9">
        <f>YEAR([1]!Engagement_Summary[[#This Row],[Week_Start_Date]])</f>
        <v>2024</v>
      </c>
      <c r="CD74" s="9">
        <f>MONTH([1]!Engagement_Summary[[#This Row],[Week_Start_Date]])</f>
        <v>11</v>
      </c>
      <c r="CE74" s="9">
        <f t="shared" si="4"/>
        <v>5</v>
      </c>
      <c r="CF74" s="9">
        <v>1025</v>
      </c>
      <c r="CH74" s="4">
        <v>30575</v>
      </c>
      <c r="CI74">
        <f>[1]!Engagement_Summary[[#This Row],[New_Followers]]-[1]!Engagement_Summary[[#This Row],[Unfollows]]</f>
        <v>1397</v>
      </c>
    </row>
    <row r="75" spans="4:87" x14ac:dyDescent="0.25">
      <c r="D75" s="8">
        <v>45572</v>
      </c>
      <c r="E75" s="9" t="s">
        <v>33</v>
      </c>
      <c r="F75" s="9">
        <v>1939</v>
      </c>
      <c r="G75" s="9">
        <v>67</v>
      </c>
      <c r="H75" s="9">
        <v>187183</v>
      </c>
      <c r="I75" s="9">
        <f>YEAR([1]!Engagement_Summary[[#This Row],[Week_Start_Date]])</f>
        <v>2024</v>
      </c>
      <c r="J75" s="9">
        <f>MONTH([1]!Engagement_Summary[[#This Row],[Week_Start_Date]])</f>
        <v>11</v>
      </c>
      <c r="K75" s="9">
        <f t="shared" si="3"/>
        <v>1</v>
      </c>
      <c r="L75" s="9">
        <f t="shared" si="5"/>
        <v>1872</v>
      </c>
      <c r="BA75" s="18">
        <v>2</v>
      </c>
      <c r="BB75">
        <v>1371977</v>
      </c>
      <c r="BV75" s="8">
        <v>45572</v>
      </c>
      <c r="BW75" s="9" t="s">
        <v>33</v>
      </c>
      <c r="BX75" s="9">
        <v>1939</v>
      </c>
      <c r="BY75" s="9">
        <v>67</v>
      </c>
      <c r="BZ75" s="9">
        <v>187183</v>
      </c>
      <c r="CA75" s="11">
        <v>6.25E-2</v>
      </c>
      <c r="CB75" s="12">
        <v>41215</v>
      </c>
      <c r="CC75" s="9">
        <f>YEAR([1]!Engagement_Summary[[#This Row],[Week_Start_Date]])</f>
        <v>2024</v>
      </c>
      <c r="CD75" s="9">
        <f>MONTH([1]!Engagement_Summary[[#This Row],[Week_Start_Date]])</f>
        <v>11</v>
      </c>
      <c r="CE75" s="9">
        <f t="shared" si="4"/>
        <v>1</v>
      </c>
      <c r="CF75" s="9">
        <v>1872</v>
      </c>
      <c r="CH75" s="4">
        <v>41215</v>
      </c>
      <c r="CI75">
        <f>[1]!Engagement_Summary[[#This Row],[New_Followers]]-[1]!Engagement_Summary[[#This Row],[Unfollows]]</f>
        <v>902</v>
      </c>
    </row>
    <row r="76" spans="4:87" x14ac:dyDescent="0.25">
      <c r="D76" s="8">
        <v>45579</v>
      </c>
      <c r="E76" s="9" t="s">
        <v>33</v>
      </c>
      <c r="F76" s="9">
        <v>1527</v>
      </c>
      <c r="G76" s="9">
        <v>303</v>
      </c>
      <c r="H76" s="9">
        <v>388555</v>
      </c>
      <c r="I76" s="9">
        <f>YEAR([1]!Engagement_Summary[[#This Row],[Week_Start_Date]])</f>
        <v>2024</v>
      </c>
      <c r="J76" s="9">
        <f>MONTH([1]!Engagement_Summary[[#This Row],[Week_Start_Date]])</f>
        <v>11</v>
      </c>
      <c r="K76" s="9">
        <f t="shared" si="3"/>
        <v>2</v>
      </c>
      <c r="L76" s="9">
        <f t="shared" si="5"/>
        <v>1224</v>
      </c>
      <c r="BA76" s="16" t="s">
        <v>26</v>
      </c>
      <c r="BB76">
        <v>52886022</v>
      </c>
      <c r="BV76" s="8">
        <v>45579</v>
      </c>
      <c r="BW76" s="9" t="s">
        <v>33</v>
      </c>
      <c r="BX76" s="9">
        <v>1527</v>
      </c>
      <c r="BY76" s="9">
        <v>303</v>
      </c>
      <c r="BZ76" s="9">
        <v>388555</v>
      </c>
      <c r="CA76" s="11">
        <v>8.900000000000001E-2</v>
      </c>
      <c r="CB76" s="12">
        <v>36397</v>
      </c>
      <c r="CC76" s="9">
        <f>YEAR([1]!Engagement_Summary[[#This Row],[Week_Start_Date]])</f>
        <v>2024</v>
      </c>
      <c r="CD76" s="9">
        <f>MONTH([1]!Engagement_Summary[[#This Row],[Week_Start_Date]])</f>
        <v>11</v>
      </c>
      <c r="CE76" s="9">
        <f t="shared" si="4"/>
        <v>2</v>
      </c>
      <c r="CF76" s="9">
        <v>1224</v>
      </c>
      <c r="CH76" s="4">
        <v>36397</v>
      </c>
      <c r="CI76">
        <f>[1]!Engagement_Summary[[#This Row],[New_Followers]]-[1]!Engagement_Summary[[#This Row],[Unfollows]]</f>
        <v>-49</v>
      </c>
    </row>
    <row r="77" spans="4:87" x14ac:dyDescent="0.25">
      <c r="D77" s="8">
        <v>45586</v>
      </c>
      <c r="E77" s="9" t="s">
        <v>33</v>
      </c>
      <c r="F77" s="9">
        <v>703</v>
      </c>
      <c r="G77" s="9">
        <v>441</v>
      </c>
      <c r="H77" s="9">
        <v>357089</v>
      </c>
      <c r="I77" s="9">
        <f>YEAR([1]!Engagement_Summary[[#This Row],[Week_Start_Date]])</f>
        <v>2024</v>
      </c>
      <c r="J77" s="9">
        <f>MONTH([1]!Engagement_Summary[[#This Row],[Week_Start_Date]])</f>
        <v>11</v>
      </c>
      <c r="K77" s="9">
        <f t="shared" si="3"/>
        <v>3</v>
      </c>
      <c r="L77" s="9">
        <f t="shared" si="5"/>
        <v>262</v>
      </c>
      <c r="BV77" s="8">
        <v>45586</v>
      </c>
      <c r="BW77" s="9" t="s">
        <v>33</v>
      </c>
      <c r="BX77" s="9">
        <v>703</v>
      </c>
      <c r="BY77" s="9">
        <v>441</v>
      </c>
      <c r="BZ77" s="9">
        <v>357089</v>
      </c>
      <c r="CA77" s="11">
        <v>6.5000000000000002E-2</v>
      </c>
      <c r="CB77" s="12">
        <v>32478</v>
      </c>
      <c r="CC77" s="9">
        <f>YEAR([1]!Engagement_Summary[[#This Row],[Week_Start_Date]])</f>
        <v>2024</v>
      </c>
      <c r="CD77" s="9">
        <f>MONTH([1]!Engagement_Summary[[#This Row],[Week_Start_Date]])</f>
        <v>11</v>
      </c>
      <c r="CE77" s="9">
        <f t="shared" si="4"/>
        <v>3</v>
      </c>
      <c r="CF77" s="9">
        <v>262</v>
      </c>
      <c r="CH77" s="4">
        <v>32478</v>
      </c>
      <c r="CI77">
        <f>[1]!Engagement_Summary[[#This Row],[New_Followers]]-[1]!Engagement_Summary[[#This Row],[Unfollows]]</f>
        <v>1693</v>
      </c>
    </row>
    <row r="78" spans="4:87" x14ac:dyDescent="0.25">
      <c r="D78" s="8">
        <v>45593</v>
      </c>
      <c r="E78" s="9" t="s">
        <v>33</v>
      </c>
      <c r="F78" s="9">
        <v>642</v>
      </c>
      <c r="G78" s="9">
        <v>66</v>
      </c>
      <c r="H78" s="9">
        <v>346522</v>
      </c>
      <c r="I78" s="9">
        <f>YEAR([1]!Engagement_Summary[[#This Row],[Week_Start_Date]])</f>
        <v>2024</v>
      </c>
      <c r="J78" s="9">
        <f>MONTH([1]!Engagement_Summary[[#This Row],[Week_Start_Date]])</f>
        <v>12</v>
      </c>
      <c r="K78" s="9">
        <f t="shared" si="3"/>
        <v>4</v>
      </c>
      <c r="L78" s="9">
        <f t="shared" si="5"/>
        <v>576</v>
      </c>
      <c r="BV78" s="8">
        <v>45593</v>
      </c>
      <c r="BW78" s="9" t="s">
        <v>33</v>
      </c>
      <c r="BX78" s="9">
        <v>642</v>
      </c>
      <c r="BY78" s="9">
        <v>66</v>
      </c>
      <c r="BZ78" s="9">
        <v>346522</v>
      </c>
      <c r="CA78" s="11">
        <v>5.8499999999999996E-2</v>
      </c>
      <c r="CB78" s="12">
        <v>13116</v>
      </c>
      <c r="CC78" s="9">
        <f>YEAR([1]!Engagement_Summary[[#This Row],[Week_Start_Date]])</f>
        <v>2024</v>
      </c>
      <c r="CD78" s="9">
        <f>MONTH([1]!Engagement_Summary[[#This Row],[Week_Start_Date]])</f>
        <v>12</v>
      </c>
      <c r="CE78" s="9">
        <f t="shared" si="4"/>
        <v>4</v>
      </c>
      <c r="CF78" s="9">
        <v>576</v>
      </c>
      <c r="CH78" s="4">
        <v>13116</v>
      </c>
      <c r="CI78">
        <f>[1]!Engagement_Summary[[#This Row],[New_Followers]]-[1]!Engagement_Summary[[#This Row],[Unfollows]]</f>
        <v>1625</v>
      </c>
    </row>
    <row r="79" spans="4:87" x14ac:dyDescent="0.25">
      <c r="D79" s="8">
        <v>45600</v>
      </c>
      <c r="E79" s="9" t="s">
        <v>33</v>
      </c>
      <c r="F79" s="9">
        <v>1466</v>
      </c>
      <c r="G79" s="9">
        <v>69</v>
      </c>
      <c r="H79" s="9">
        <v>54935</v>
      </c>
      <c r="I79" s="9">
        <f>YEAR([1]!Engagement_Summary[[#This Row],[Week_Start_Date]])</f>
        <v>2024</v>
      </c>
      <c r="J79" s="9">
        <f>MONTH([1]!Engagement_Summary[[#This Row],[Week_Start_Date]])</f>
        <v>12</v>
      </c>
      <c r="K79" s="9">
        <f t="shared" si="3"/>
        <v>1</v>
      </c>
      <c r="L79" s="9">
        <f t="shared" si="5"/>
        <v>1397</v>
      </c>
      <c r="BV79" s="8">
        <v>45600</v>
      </c>
      <c r="BW79" s="9" t="s">
        <v>33</v>
      </c>
      <c r="BX79" s="9">
        <v>1466</v>
      </c>
      <c r="BY79" s="9">
        <v>69</v>
      </c>
      <c r="BZ79" s="9">
        <v>54935</v>
      </c>
      <c r="CA79" s="11">
        <v>6.8499999999999991E-2</v>
      </c>
      <c r="CB79" s="12">
        <v>36484</v>
      </c>
      <c r="CC79" s="9">
        <f>YEAR([1]!Engagement_Summary[[#This Row],[Week_Start_Date]])</f>
        <v>2024</v>
      </c>
      <c r="CD79" s="9">
        <f>MONTH([1]!Engagement_Summary[[#This Row],[Week_Start_Date]])</f>
        <v>12</v>
      </c>
      <c r="CE79" s="9">
        <f t="shared" si="4"/>
        <v>1</v>
      </c>
      <c r="CF79" s="9">
        <v>1397</v>
      </c>
      <c r="CH79" s="4">
        <v>36484</v>
      </c>
      <c r="CI79">
        <f>[1]!Engagement_Summary[[#This Row],[New_Followers]]-[1]!Engagement_Summary[[#This Row],[Unfollows]]</f>
        <v>1119</v>
      </c>
    </row>
    <row r="80" spans="4:87" x14ac:dyDescent="0.25">
      <c r="D80" s="8">
        <v>45607</v>
      </c>
      <c r="E80" s="9" t="s">
        <v>33</v>
      </c>
      <c r="F80" s="9">
        <v>1075</v>
      </c>
      <c r="G80" s="9">
        <v>173</v>
      </c>
      <c r="H80" s="9">
        <v>51395</v>
      </c>
      <c r="I80" s="9">
        <f>YEAR([1]!Engagement_Summary[[#This Row],[Week_Start_Date]])</f>
        <v>2024</v>
      </c>
      <c r="J80" s="9">
        <f>MONTH([1]!Engagement_Summary[[#This Row],[Week_Start_Date]])</f>
        <v>12</v>
      </c>
      <c r="K80" s="9">
        <f t="shared" si="3"/>
        <v>2</v>
      </c>
      <c r="L80" s="9">
        <f t="shared" si="5"/>
        <v>902</v>
      </c>
      <c r="BV80" s="8">
        <v>45607</v>
      </c>
      <c r="BW80" s="9" t="s">
        <v>33</v>
      </c>
      <c r="BX80" s="9">
        <v>1075</v>
      </c>
      <c r="BY80" s="9">
        <v>173</v>
      </c>
      <c r="BZ80" s="9">
        <v>51395</v>
      </c>
      <c r="CA80" s="11">
        <v>4.6600000000000003E-2</v>
      </c>
      <c r="CB80" s="12">
        <v>47812</v>
      </c>
      <c r="CC80" s="9">
        <f>YEAR([1]!Engagement_Summary[[#This Row],[Week_Start_Date]])</f>
        <v>2024</v>
      </c>
      <c r="CD80" s="9">
        <f>MONTH([1]!Engagement_Summary[[#This Row],[Week_Start_Date]])</f>
        <v>12</v>
      </c>
      <c r="CE80" s="9">
        <f t="shared" si="4"/>
        <v>2</v>
      </c>
      <c r="CF80" s="9">
        <v>902</v>
      </c>
      <c r="CH80" s="4">
        <v>47812</v>
      </c>
      <c r="CI80">
        <f>[1]!Engagement_Summary[[#This Row],[New_Followers]]-[1]!Engagement_Summary[[#This Row],[Unfollows]]</f>
        <v>1432</v>
      </c>
    </row>
    <row r="81" spans="4:87" x14ac:dyDescent="0.25">
      <c r="D81" s="8">
        <v>45614</v>
      </c>
      <c r="E81" s="9" t="s">
        <v>33</v>
      </c>
      <c r="F81" s="9">
        <v>187</v>
      </c>
      <c r="G81" s="9">
        <v>236</v>
      </c>
      <c r="H81" s="9">
        <v>51087</v>
      </c>
      <c r="I81" s="9">
        <f>YEAR([1]!Engagement_Summary[[#This Row],[Week_Start_Date]])</f>
        <v>2024</v>
      </c>
      <c r="J81" s="9">
        <f>MONTH([1]!Engagement_Summary[[#This Row],[Week_Start_Date]])</f>
        <v>12</v>
      </c>
      <c r="K81" s="9">
        <f t="shared" si="3"/>
        <v>3</v>
      </c>
      <c r="L81" s="9">
        <f t="shared" si="5"/>
        <v>-49</v>
      </c>
      <c r="BV81" s="8">
        <v>45614</v>
      </c>
      <c r="BW81" s="9" t="s">
        <v>33</v>
      </c>
      <c r="BX81" s="9">
        <v>187</v>
      </c>
      <c r="BY81" s="9">
        <v>236</v>
      </c>
      <c r="BZ81" s="9">
        <v>51087</v>
      </c>
      <c r="CA81" s="11">
        <v>9.4100000000000003E-2</v>
      </c>
      <c r="CB81" s="12">
        <v>29533</v>
      </c>
      <c r="CC81" s="9">
        <f>YEAR([1]!Engagement_Summary[[#This Row],[Week_Start_Date]])</f>
        <v>2024</v>
      </c>
      <c r="CD81" s="9">
        <f>MONTH([1]!Engagement_Summary[[#This Row],[Week_Start_Date]])</f>
        <v>12</v>
      </c>
      <c r="CE81" s="9">
        <f t="shared" si="4"/>
        <v>3</v>
      </c>
      <c r="CF81" s="9">
        <v>-49</v>
      </c>
      <c r="CH81" s="4">
        <v>29533</v>
      </c>
      <c r="CI81">
        <f>[1]!Engagement_Summary[[#This Row],[New_Followers]]-[1]!Engagement_Summary[[#This Row],[Unfollows]]</f>
        <v>684</v>
      </c>
    </row>
    <row r="82" spans="4:87" x14ac:dyDescent="0.25">
      <c r="D82" s="8">
        <v>45621</v>
      </c>
      <c r="E82" s="9" t="s">
        <v>33</v>
      </c>
      <c r="F82" s="9">
        <v>1854</v>
      </c>
      <c r="G82" s="9">
        <v>161</v>
      </c>
      <c r="H82" s="9">
        <v>282466</v>
      </c>
      <c r="I82" s="9">
        <f>YEAR([1]!Engagement_Summary[[#This Row],[Week_Start_Date]])</f>
        <v>2024</v>
      </c>
      <c r="J82" s="9">
        <f>MONTH([1]!Engagement_Summary[[#This Row],[Week_Start_Date]])</f>
        <v>12</v>
      </c>
      <c r="K82" s="9">
        <f t="shared" si="3"/>
        <v>4</v>
      </c>
      <c r="L82" s="9">
        <f t="shared" si="5"/>
        <v>1693</v>
      </c>
      <c r="BV82" s="8">
        <v>45621</v>
      </c>
      <c r="BW82" s="9" t="s">
        <v>33</v>
      </c>
      <c r="BX82" s="9">
        <v>1854</v>
      </c>
      <c r="BY82" s="9">
        <v>161</v>
      </c>
      <c r="BZ82" s="9">
        <v>282466</v>
      </c>
      <c r="CA82" s="11">
        <v>5.1699999999999996E-2</v>
      </c>
      <c r="CB82" s="12">
        <v>1810</v>
      </c>
      <c r="CC82" s="9">
        <f>YEAR([1]!Engagement_Summary[[#This Row],[Week_Start_Date]])</f>
        <v>2024</v>
      </c>
      <c r="CD82" s="9">
        <f>MONTH([1]!Engagement_Summary[[#This Row],[Week_Start_Date]])</f>
        <v>12</v>
      </c>
      <c r="CE82" s="9">
        <f t="shared" si="4"/>
        <v>4</v>
      </c>
      <c r="CF82" s="9">
        <v>1693</v>
      </c>
      <c r="CH82" s="4">
        <v>1810</v>
      </c>
      <c r="CI82">
        <f>[1]!Engagement_Summary[[#This Row],[New_Followers]]-[1]!Engagement_Summary[[#This Row],[Unfollows]]</f>
        <v>1765</v>
      </c>
    </row>
    <row r="83" spans="4:87" x14ac:dyDescent="0.25">
      <c r="D83" s="8">
        <v>45628</v>
      </c>
      <c r="E83" s="9" t="s">
        <v>33</v>
      </c>
      <c r="F83" s="9">
        <v>1696</v>
      </c>
      <c r="G83" s="9">
        <v>71</v>
      </c>
      <c r="H83" s="9">
        <v>421957</v>
      </c>
      <c r="I83" s="9">
        <f>YEAR([1]!Engagement_Summary[[#This Row],[Week_Start_Date]])</f>
        <v>2025</v>
      </c>
      <c r="J83" s="9">
        <f>MONTH([1]!Engagement_Summary[[#This Row],[Week_Start_Date]])</f>
        <v>1</v>
      </c>
      <c r="K83" s="9">
        <f t="shared" si="3"/>
        <v>1</v>
      </c>
      <c r="L83" s="9">
        <f t="shared" si="5"/>
        <v>1625</v>
      </c>
      <c r="BV83" s="8">
        <v>45628</v>
      </c>
      <c r="BW83" s="9" t="s">
        <v>33</v>
      </c>
      <c r="BX83" s="9">
        <v>1696</v>
      </c>
      <c r="BY83" s="9">
        <v>71</v>
      </c>
      <c r="BZ83" s="9">
        <v>421957</v>
      </c>
      <c r="CA83" s="11">
        <v>3.7900000000000003E-2</v>
      </c>
      <c r="CB83" s="12">
        <v>36103</v>
      </c>
      <c r="CC83" s="9">
        <f>YEAR([1]!Engagement_Summary[[#This Row],[Week_Start_Date]])</f>
        <v>2025</v>
      </c>
      <c r="CD83" s="9">
        <f>MONTH([1]!Engagement_Summary[[#This Row],[Week_Start_Date]])</f>
        <v>1</v>
      </c>
      <c r="CE83" s="9">
        <f t="shared" si="4"/>
        <v>1</v>
      </c>
      <c r="CF83" s="9">
        <v>1625</v>
      </c>
      <c r="CH83" s="4">
        <v>36103</v>
      </c>
      <c r="CI83">
        <f>[1]!Engagement_Summary[[#This Row],[New_Followers]]-[1]!Engagement_Summary[[#This Row],[Unfollows]]</f>
        <v>903</v>
      </c>
    </row>
    <row r="84" spans="4:87" x14ac:dyDescent="0.25">
      <c r="D84" s="8">
        <v>45635</v>
      </c>
      <c r="E84" s="9" t="s">
        <v>33</v>
      </c>
      <c r="F84" s="9">
        <v>1494</v>
      </c>
      <c r="G84" s="9">
        <v>375</v>
      </c>
      <c r="H84" s="9">
        <v>220616</v>
      </c>
      <c r="I84" s="9">
        <f>YEAR([1]!Engagement_Summary[[#This Row],[Week_Start_Date]])</f>
        <v>2025</v>
      </c>
      <c r="J84" s="9">
        <f>MONTH([1]!Engagement_Summary[[#This Row],[Week_Start_Date]])</f>
        <v>1</v>
      </c>
      <c r="K84" s="9">
        <f t="shared" si="3"/>
        <v>2</v>
      </c>
      <c r="L84" s="9">
        <f t="shared" si="5"/>
        <v>1119</v>
      </c>
      <c r="BV84" s="8">
        <v>45635</v>
      </c>
      <c r="BW84" s="9" t="s">
        <v>33</v>
      </c>
      <c r="BX84" s="9">
        <v>1494</v>
      </c>
      <c r="BY84" s="9">
        <v>375</v>
      </c>
      <c r="BZ84" s="9">
        <v>220616</v>
      </c>
      <c r="CA84" s="11">
        <v>1.8100000000000002E-2</v>
      </c>
      <c r="CB84" s="12">
        <v>22724</v>
      </c>
      <c r="CC84" s="9">
        <f>YEAR([1]!Engagement_Summary[[#This Row],[Week_Start_Date]])</f>
        <v>2025</v>
      </c>
      <c r="CD84" s="9">
        <f>MONTH([1]!Engagement_Summary[[#This Row],[Week_Start_Date]])</f>
        <v>1</v>
      </c>
      <c r="CE84" s="9">
        <f t="shared" si="4"/>
        <v>2</v>
      </c>
      <c r="CF84" s="9">
        <v>1119</v>
      </c>
      <c r="CH84" s="4">
        <v>22724</v>
      </c>
      <c r="CI84">
        <f>[1]!Engagement_Summary[[#This Row],[New_Followers]]-[1]!Engagement_Summary[[#This Row],[Unfollows]]</f>
        <v>1722</v>
      </c>
    </row>
    <row r="85" spans="4:87" x14ac:dyDescent="0.25">
      <c r="D85" s="8">
        <v>45642</v>
      </c>
      <c r="E85" s="9" t="s">
        <v>33</v>
      </c>
      <c r="F85" s="9">
        <v>1502</v>
      </c>
      <c r="G85" s="9">
        <v>70</v>
      </c>
      <c r="H85" s="9">
        <v>465553</v>
      </c>
      <c r="I85" s="9">
        <f>YEAR([1]!Engagement_Summary[[#This Row],[Week_Start_Date]])</f>
        <v>2025</v>
      </c>
      <c r="J85" s="9">
        <f>MONTH([1]!Engagement_Summary[[#This Row],[Week_Start_Date]])</f>
        <v>1</v>
      </c>
      <c r="K85" s="9">
        <f t="shared" si="3"/>
        <v>3</v>
      </c>
      <c r="L85" s="9">
        <f t="shared" si="5"/>
        <v>1432</v>
      </c>
      <c r="BV85" s="8">
        <v>45642</v>
      </c>
      <c r="BW85" s="9" t="s">
        <v>33</v>
      </c>
      <c r="BX85" s="9">
        <v>1502</v>
      </c>
      <c r="BY85" s="9">
        <v>70</v>
      </c>
      <c r="BZ85" s="9">
        <v>465553</v>
      </c>
      <c r="CA85" s="11">
        <v>3.32E-2</v>
      </c>
      <c r="CB85" s="12">
        <v>20692</v>
      </c>
      <c r="CC85" s="9">
        <f>YEAR([1]!Engagement_Summary[[#This Row],[Week_Start_Date]])</f>
        <v>2025</v>
      </c>
      <c r="CD85" s="9">
        <f>MONTH([1]!Engagement_Summary[[#This Row],[Week_Start_Date]])</f>
        <v>1</v>
      </c>
      <c r="CE85" s="9">
        <f t="shared" si="4"/>
        <v>3</v>
      </c>
      <c r="CF85" s="9">
        <v>1432</v>
      </c>
      <c r="CH85" s="4">
        <v>20692</v>
      </c>
      <c r="CI85">
        <f>[1]!Engagement_Summary[[#This Row],[New_Followers]]-[1]!Engagement_Summary[[#This Row],[Unfollows]]</f>
        <v>1572</v>
      </c>
    </row>
    <row r="86" spans="4:87" x14ac:dyDescent="0.25">
      <c r="D86" s="8">
        <v>45649</v>
      </c>
      <c r="E86" s="9" t="s">
        <v>33</v>
      </c>
      <c r="F86" s="9">
        <v>1092</v>
      </c>
      <c r="G86" s="9">
        <v>408</v>
      </c>
      <c r="H86" s="9">
        <v>280795</v>
      </c>
      <c r="I86" s="9">
        <f>YEAR([1]!Engagement_Summary[[#This Row],[Week_Start_Date]])</f>
        <v>2025</v>
      </c>
      <c r="J86" s="9">
        <f>MONTH([1]!Engagement_Summary[[#This Row],[Week_Start_Date]])</f>
        <v>1</v>
      </c>
      <c r="K86" s="9">
        <f t="shared" si="3"/>
        <v>4</v>
      </c>
      <c r="L86" s="9">
        <f t="shared" si="5"/>
        <v>684</v>
      </c>
      <c r="BV86" s="8">
        <v>45649</v>
      </c>
      <c r="BW86" s="9" t="s">
        <v>33</v>
      </c>
      <c r="BX86" s="9">
        <v>1092</v>
      </c>
      <c r="BY86" s="9">
        <v>408</v>
      </c>
      <c r="BZ86" s="9">
        <v>280795</v>
      </c>
      <c r="CA86" s="11">
        <v>8.4399999999999989E-2</v>
      </c>
      <c r="CB86" s="12">
        <v>4683</v>
      </c>
      <c r="CC86" s="9">
        <f>YEAR([1]!Engagement_Summary[[#This Row],[Week_Start_Date]])</f>
        <v>2025</v>
      </c>
      <c r="CD86" s="9">
        <f>MONTH([1]!Engagement_Summary[[#This Row],[Week_Start_Date]])</f>
        <v>1</v>
      </c>
      <c r="CE86" s="9">
        <f t="shared" si="4"/>
        <v>4</v>
      </c>
      <c r="CF86" s="9">
        <v>684</v>
      </c>
      <c r="CH86" s="4">
        <v>4683</v>
      </c>
      <c r="CI86">
        <f>[1]!Engagement_Summary[[#This Row],[New_Followers]]-[1]!Engagement_Summary[[#This Row],[Unfollows]]</f>
        <v>-166</v>
      </c>
    </row>
    <row r="87" spans="4:87" x14ac:dyDescent="0.25">
      <c r="D87" s="8">
        <v>45656</v>
      </c>
      <c r="E87" s="9" t="s">
        <v>33</v>
      </c>
      <c r="F87" s="9">
        <v>1814</v>
      </c>
      <c r="G87" s="9">
        <v>49</v>
      </c>
      <c r="H87" s="9">
        <v>140804</v>
      </c>
      <c r="I87" s="9">
        <f>YEAR([1]!Engagement_Summary[[#This Row],[Week_Start_Date]])</f>
        <v>2025</v>
      </c>
      <c r="J87" s="9">
        <f>MONTH([1]!Engagement_Summary[[#This Row],[Week_Start_Date]])</f>
        <v>2</v>
      </c>
      <c r="K87" s="9">
        <f t="shared" si="3"/>
        <v>5</v>
      </c>
      <c r="L87" s="9">
        <f t="shared" si="5"/>
        <v>1765</v>
      </c>
      <c r="BV87" s="8">
        <v>45656</v>
      </c>
      <c r="BW87" s="9" t="s">
        <v>33</v>
      </c>
      <c r="BX87" s="9">
        <v>1814</v>
      </c>
      <c r="BY87" s="9">
        <v>49</v>
      </c>
      <c r="BZ87" s="9">
        <v>140804</v>
      </c>
      <c r="CA87" s="11">
        <v>1.7600000000000001E-2</v>
      </c>
      <c r="CB87" s="12">
        <v>4313</v>
      </c>
      <c r="CC87" s="9">
        <f>YEAR([1]!Engagement_Summary[[#This Row],[Week_Start_Date]])</f>
        <v>2025</v>
      </c>
      <c r="CD87" s="9">
        <f>MONTH([1]!Engagement_Summary[[#This Row],[Week_Start_Date]])</f>
        <v>2</v>
      </c>
      <c r="CE87" s="9">
        <f t="shared" si="4"/>
        <v>5</v>
      </c>
      <c r="CF87" s="9">
        <v>1765</v>
      </c>
      <c r="CH87" s="4">
        <v>4313</v>
      </c>
      <c r="CI87">
        <f>[1]!Engagement_Summary[[#This Row],[New_Followers]]-[1]!Engagement_Summary[[#This Row],[Unfollows]]</f>
        <v>1080</v>
      </c>
    </row>
    <row r="88" spans="4:87" x14ac:dyDescent="0.25">
      <c r="D88" s="8">
        <v>45663</v>
      </c>
      <c r="E88" s="9" t="s">
        <v>33</v>
      </c>
      <c r="F88" s="9">
        <v>1013</v>
      </c>
      <c r="G88" s="9">
        <v>110</v>
      </c>
      <c r="H88" s="9">
        <v>466382</v>
      </c>
      <c r="I88" s="9">
        <f>YEAR([1]!Engagement_Summary[[#This Row],[Week_Start_Date]])</f>
        <v>2025</v>
      </c>
      <c r="J88" s="9">
        <f>MONTH([1]!Engagement_Summary[[#This Row],[Week_Start_Date]])</f>
        <v>2</v>
      </c>
      <c r="K88" s="9">
        <f t="shared" si="3"/>
        <v>1</v>
      </c>
      <c r="L88" s="9">
        <f t="shared" si="5"/>
        <v>903</v>
      </c>
      <c r="BV88" s="8">
        <v>45663</v>
      </c>
      <c r="BW88" s="9" t="s">
        <v>33</v>
      </c>
      <c r="BX88" s="9">
        <v>1013</v>
      </c>
      <c r="BY88" s="9">
        <v>110</v>
      </c>
      <c r="BZ88" s="9">
        <v>466382</v>
      </c>
      <c r="CA88" s="11">
        <v>5.2999999999999999E-2</v>
      </c>
      <c r="CB88" s="12">
        <v>37132</v>
      </c>
      <c r="CC88" s="9">
        <f>YEAR([1]!Engagement_Summary[[#This Row],[Week_Start_Date]])</f>
        <v>2025</v>
      </c>
      <c r="CD88" s="9">
        <f>MONTH([1]!Engagement_Summary[[#This Row],[Week_Start_Date]])</f>
        <v>2</v>
      </c>
      <c r="CE88" s="9">
        <f t="shared" si="4"/>
        <v>1</v>
      </c>
      <c r="CF88" s="9">
        <v>903</v>
      </c>
      <c r="CH88" s="4">
        <v>37132</v>
      </c>
      <c r="CI88">
        <f>[1]!Engagement_Summary[[#This Row],[New_Followers]]-[1]!Engagement_Summary[[#This Row],[Unfollows]]</f>
        <v>1723</v>
      </c>
    </row>
    <row r="89" spans="4:87" x14ac:dyDescent="0.25">
      <c r="D89" s="8">
        <v>45670</v>
      </c>
      <c r="E89" s="9" t="s">
        <v>33</v>
      </c>
      <c r="F89" s="9">
        <v>1855</v>
      </c>
      <c r="G89" s="9">
        <v>133</v>
      </c>
      <c r="H89" s="9">
        <v>349413</v>
      </c>
      <c r="I89" s="9">
        <f>YEAR([1]!Engagement_Summary[[#This Row],[Week_Start_Date]])</f>
        <v>2025</v>
      </c>
      <c r="J89" s="9">
        <f>MONTH([1]!Engagement_Summary[[#This Row],[Week_Start_Date]])</f>
        <v>2</v>
      </c>
      <c r="K89" s="9">
        <f t="shared" si="3"/>
        <v>2</v>
      </c>
      <c r="L89" s="9">
        <f t="shared" si="5"/>
        <v>1722</v>
      </c>
      <c r="BV89" s="8">
        <v>45670</v>
      </c>
      <c r="BW89" s="9" t="s">
        <v>33</v>
      </c>
      <c r="BX89" s="9">
        <v>1855</v>
      </c>
      <c r="BY89" s="9">
        <v>133</v>
      </c>
      <c r="BZ89" s="9">
        <v>349413</v>
      </c>
      <c r="CA89" s="11">
        <v>3.3000000000000002E-2</v>
      </c>
      <c r="CB89" s="12">
        <v>14548</v>
      </c>
      <c r="CC89" s="9">
        <f>YEAR([1]!Engagement_Summary[[#This Row],[Week_Start_Date]])</f>
        <v>2025</v>
      </c>
      <c r="CD89" s="9">
        <f>MONTH([1]!Engagement_Summary[[#This Row],[Week_Start_Date]])</f>
        <v>2</v>
      </c>
      <c r="CE89" s="9">
        <f t="shared" si="4"/>
        <v>2</v>
      </c>
      <c r="CF89" s="9">
        <v>1722</v>
      </c>
      <c r="CH89" s="4">
        <v>14548</v>
      </c>
      <c r="CI89">
        <f>[1]!Engagement_Summary[[#This Row],[New_Followers]]-[1]!Engagement_Summary[[#This Row],[Unfollows]]</f>
        <v>965</v>
      </c>
    </row>
    <row r="90" spans="4:87" x14ac:dyDescent="0.25">
      <c r="D90" s="8">
        <v>45677</v>
      </c>
      <c r="E90" s="9" t="s">
        <v>33</v>
      </c>
      <c r="F90" s="9">
        <v>1748</v>
      </c>
      <c r="G90" s="9">
        <v>176</v>
      </c>
      <c r="H90" s="9">
        <v>383681</v>
      </c>
      <c r="I90" s="9">
        <f>YEAR([1]!Engagement_Summary[[#This Row],[Week_Start_Date]])</f>
        <v>2025</v>
      </c>
      <c r="J90" s="9">
        <f>MONTH([1]!Engagement_Summary[[#This Row],[Week_Start_Date]])</f>
        <v>2</v>
      </c>
      <c r="K90" s="9">
        <f t="shared" si="3"/>
        <v>3</v>
      </c>
      <c r="L90" s="9">
        <f t="shared" si="5"/>
        <v>1572</v>
      </c>
      <c r="BV90" s="8">
        <v>45677</v>
      </c>
      <c r="BW90" s="9" t="s">
        <v>33</v>
      </c>
      <c r="BX90" s="9">
        <v>1748</v>
      </c>
      <c r="BY90" s="9">
        <v>176</v>
      </c>
      <c r="BZ90" s="9">
        <v>383681</v>
      </c>
      <c r="CA90" s="11">
        <v>9.2399999999999996E-2</v>
      </c>
      <c r="CB90" s="12">
        <v>43122</v>
      </c>
      <c r="CC90" s="9">
        <f>YEAR([1]!Engagement_Summary[[#This Row],[Week_Start_Date]])</f>
        <v>2025</v>
      </c>
      <c r="CD90" s="9">
        <f>MONTH([1]!Engagement_Summary[[#This Row],[Week_Start_Date]])</f>
        <v>2</v>
      </c>
      <c r="CE90" s="9">
        <f t="shared" si="4"/>
        <v>3</v>
      </c>
      <c r="CF90" s="9">
        <v>1572</v>
      </c>
      <c r="CH90" s="4">
        <v>43122</v>
      </c>
      <c r="CI90">
        <f>[1]!Engagement_Summary[[#This Row],[New_Followers]]-[1]!Engagement_Summary[[#This Row],[Unfollows]]</f>
        <v>1375</v>
      </c>
    </row>
    <row r="91" spans="4:87" x14ac:dyDescent="0.25">
      <c r="D91" s="8">
        <v>45684</v>
      </c>
      <c r="E91" s="9" t="s">
        <v>33</v>
      </c>
      <c r="F91" s="9">
        <v>115</v>
      </c>
      <c r="G91" s="9">
        <v>281</v>
      </c>
      <c r="H91" s="9">
        <v>357265</v>
      </c>
      <c r="I91" s="9">
        <f>YEAR([1]!Engagement_Summary[[#This Row],[Week_Start_Date]])</f>
        <v>2025</v>
      </c>
      <c r="J91" s="9">
        <f>MONTH([1]!Engagement_Summary[[#This Row],[Week_Start_Date]])</f>
        <v>3</v>
      </c>
      <c r="K91" s="9">
        <f t="shared" si="3"/>
        <v>4</v>
      </c>
      <c r="L91" s="9">
        <f t="shared" si="5"/>
        <v>-166</v>
      </c>
      <c r="BV91" s="8">
        <v>45684</v>
      </c>
      <c r="BW91" s="9" t="s">
        <v>33</v>
      </c>
      <c r="BX91" s="9">
        <v>115</v>
      </c>
      <c r="BY91" s="9">
        <v>281</v>
      </c>
      <c r="BZ91" s="9">
        <v>357265</v>
      </c>
      <c r="CA91" s="11">
        <v>9.2300000000000007E-2</v>
      </c>
      <c r="CB91" s="12">
        <v>25525</v>
      </c>
      <c r="CC91" s="9">
        <f>YEAR([1]!Engagement_Summary[[#This Row],[Week_Start_Date]])</f>
        <v>2025</v>
      </c>
      <c r="CD91" s="9">
        <f>MONTH([1]!Engagement_Summary[[#This Row],[Week_Start_Date]])</f>
        <v>3</v>
      </c>
      <c r="CE91" s="9">
        <f t="shared" si="4"/>
        <v>4</v>
      </c>
      <c r="CF91" s="9">
        <v>-166</v>
      </c>
      <c r="CH91" s="4">
        <v>25525</v>
      </c>
      <c r="CI91">
        <f>[1]!Engagement_Summary[[#This Row],[New_Followers]]-[1]!Engagement_Summary[[#This Row],[Unfollows]]</f>
        <v>1315</v>
      </c>
    </row>
    <row r="92" spans="4:87" x14ac:dyDescent="0.25">
      <c r="D92" s="8">
        <v>45691</v>
      </c>
      <c r="E92" s="9" t="s">
        <v>33</v>
      </c>
      <c r="F92" s="9">
        <v>1556</v>
      </c>
      <c r="G92" s="9">
        <v>476</v>
      </c>
      <c r="H92" s="9">
        <v>351556</v>
      </c>
      <c r="I92" s="9">
        <f>YEAR([1]!Engagement_Summary[[#This Row],[Week_Start_Date]])</f>
        <v>2025</v>
      </c>
      <c r="J92" s="9">
        <f>MONTH([1]!Engagement_Summary[[#This Row],[Week_Start_Date]])</f>
        <v>3</v>
      </c>
      <c r="K92" s="9">
        <f t="shared" si="3"/>
        <v>1</v>
      </c>
      <c r="L92" s="9">
        <f t="shared" si="5"/>
        <v>1080</v>
      </c>
      <c r="BV92" s="8">
        <v>45691</v>
      </c>
      <c r="BW92" s="9" t="s">
        <v>33</v>
      </c>
      <c r="BX92" s="9">
        <v>1556</v>
      </c>
      <c r="BY92" s="9">
        <v>476</v>
      </c>
      <c r="BZ92" s="9">
        <v>351556</v>
      </c>
      <c r="CA92" s="11">
        <v>3.8900000000000004E-2</v>
      </c>
      <c r="CB92" s="12">
        <v>10825</v>
      </c>
      <c r="CC92" s="9">
        <f>YEAR([1]!Engagement_Summary[[#This Row],[Week_Start_Date]])</f>
        <v>2025</v>
      </c>
      <c r="CD92" s="9">
        <f>MONTH([1]!Engagement_Summary[[#This Row],[Week_Start_Date]])</f>
        <v>3</v>
      </c>
      <c r="CE92" s="9">
        <f t="shared" si="4"/>
        <v>1</v>
      </c>
      <c r="CF92" s="9">
        <v>1080</v>
      </c>
      <c r="CH92" s="4">
        <v>10825</v>
      </c>
      <c r="CI92">
        <f>[1]!Engagement_Summary[[#This Row],[New_Followers]]-[1]!Engagement_Summary[[#This Row],[Unfollows]]</f>
        <v>212</v>
      </c>
    </row>
    <row r="93" spans="4:87" x14ac:dyDescent="0.25">
      <c r="D93" s="8">
        <v>45698</v>
      </c>
      <c r="E93" s="9" t="s">
        <v>33</v>
      </c>
      <c r="F93" s="9">
        <v>1957</v>
      </c>
      <c r="G93" s="9">
        <v>234</v>
      </c>
      <c r="H93" s="9">
        <v>222126</v>
      </c>
      <c r="I93" s="9">
        <f>YEAR([1]!Engagement_Summary[[#This Row],[Week_Start_Date]])</f>
        <v>2025</v>
      </c>
      <c r="J93" s="9">
        <f>MONTH([1]!Engagement_Summary[[#This Row],[Week_Start_Date]])</f>
        <v>3</v>
      </c>
      <c r="K93" s="9">
        <f t="shared" si="3"/>
        <v>2</v>
      </c>
      <c r="L93" s="9">
        <f t="shared" si="5"/>
        <v>1723</v>
      </c>
      <c r="BV93" s="8">
        <v>45698</v>
      </c>
      <c r="BW93" s="9" t="s">
        <v>33</v>
      </c>
      <c r="BX93" s="9">
        <v>1957</v>
      </c>
      <c r="BY93" s="9">
        <v>234</v>
      </c>
      <c r="BZ93" s="9">
        <v>222126</v>
      </c>
      <c r="CA93" s="11">
        <v>4.6100000000000002E-2</v>
      </c>
      <c r="CB93" s="12">
        <v>3314</v>
      </c>
      <c r="CC93" s="9">
        <f>YEAR([1]!Engagement_Summary[[#This Row],[Week_Start_Date]])</f>
        <v>2025</v>
      </c>
      <c r="CD93" s="9">
        <f>MONTH([1]!Engagement_Summary[[#This Row],[Week_Start_Date]])</f>
        <v>3</v>
      </c>
      <c r="CE93" s="9">
        <f t="shared" si="4"/>
        <v>2</v>
      </c>
      <c r="CF93" s="9">
        <v>1723</v>
      </c>
      <c r="CH93" s="4">
        <v>3314</v>
      </c>
      <c r="CI93">
        <f>[1]!Engagement_Summary[[#This Row],[New_Followers]]-[1]!Engagement_Summary[[#This Row],[Unfollows]]</f>
        <v>680</v>
      </c>
    </row>
    <row r="94" spans="4:87" x14ac:dyDescent="0.25">
      <c r="D94" s="8">
        <v>45705</v>
      </c>
      <c r="E94" s="9" t="s">
        <v>33</v>
      </c>
      <c r="F94" s="9">
        <v>1138</v>
      </c>
      <c r="G94" s="9">
        <v>173</v>
      </c>
      <c r="H94" s="9">
        <v>453243</v>
      </c>
      <c r="I94" s="9">
        <f>YEAR([1]!Engagement_Summary[[#This Row],[Week_Start_Date]])</f>
        <v>2025</v>
      </c>
      <c r="J94" s="9">
        <f>MONTH([1]!Engagement_Summary[[#This Row],[Week_Start_Date]])</f>
        <v>3</v>
      </c>
      <c r="K94" s="9">
        <f t="shared" si="3"/>
        <v>3</v>
      </c>
      <c r="L94" s="9">
        <f t="shared" si="5"/>
        <v>965</v>
      </c>
      <c r="BV94" s="8">
        <v>45705</v>
      </c>
      <c r="BW94" s="9" t="s">
        <v>33</v>
      </c>
      <c r="BX94" s="9">
        <v>1138</v>
      </c>
      <c r="BY94" s="9">
        <v>173</v>
      </c>
      <c r="BZ94" s="9">
        <v>453243</v>
      </c>
      <c r="CA94" s="11">
        <v>2.86E-2</v>
      </c>
      <c r="CB94" s="12">
        <v>44097</v>
      </c>
      <c r="CC94" s="9">
        <f>YEAR([1]!Engagement_Summary[[#This Row],[Week_Start_Date]])</f>
        <v>2025</v>
      </c>
      <c r="CD94" s="9">
        <f>MONTH([1]!Engagement_Summary[[#This Row],[Week_Start_Date]])</f>
        <v>3</v>
      </c>
      <c r="CE94" s="9">
        <f t="shared" si="4"/>
        <v>3</v>
      </c>
      <c r="CF94" s="9">
        <v>965</v>
      </c>
      <c r="CH94" s="4">
        <v>44097</v>
      </c>
      <c r="CI94">
        <f>[1]!Engagement_Summary[[#This Row],[New_Followers]]-[1]!Engagement_Summary[[#This Row],[Unfollows]]</f>
        <v>461</v>
      </c>
    </row>
    <row r="95" spans="4:87" x14ac:dyDescent="0.25">
      <c r="D95" s="8">
        <v>45712</v>
      </c>
      <c r="E95" s="9" t="s">
        <v>33</v>
      </c>
      <c r="F95" s="9">
        <v>1440</v>
      </c>
      <c r="G95" s="9">
        <v>65</v>
      </c>
      <c r="H95" s="9">
        <v>126524</v>
      </c>
      <c r="I95" s="9">
        <f>YEAR([1]!Engagement_Summary[[#This Row],[Week_Start_Date]])</f>
        <v>2025</v>
      </c>
      <c r="J95" s="9">
        <f>MONTH([1]!Engagement_Summary[[#This Row],[Week_Start_Date]])</f>
        <v>3</v>
      </c>
      <c r="K95" s="9">
        <f t="shared" si="3"/>
        <v>4</v>
      </c>
      <c r="L95" s="9">
        <f t="shared" si="5"/>
        <v>1375</v>
      </c>
      <c r="BV95" s="8">
        <v>45712</v>
      </c>
      <c r="BW95" s="9" t="s">
        <v>33</v>
      </c>
      <c r="BX95" s="9">
        <v>1440</v>
      </c>
      <c r="BY95" s="9">
        <v>65</v>
      </c>
      <c r="BZ95" s="9">
        <v>126524</v>
      </c>
      <c r="CA95" s="11">
        <v>4.3400000000000001E-2</v>
      </c>
      <c r="CB95" s="12">
        <v>49772</v>
      </c>
      <c r="CC95" s="9">
        <f>YEAR([1]!Engagement_Summary[[#This Row],[Week_Start_Date]])</f>
        <v>2025</v>
      </c>
      <c r="CD95" s="9">
        <f>MONTH([1]!Engagement_Summary[[#This Row],[Week_Start_Date]])</f>
        <v>3</v>
      </c>
      <c r="CE95" s="9">
        <f t="shared" si="4"/>
        <v>4</v>
      </c>
      <c r="CF95" s="9">
        <v>1375</v>
      </c>
      <c r="CH95" s="4">
        <v>49772</v>
      </c>
      <c r="CI95">
        <f>[1]!Engagement_Summary[[#This Row],[New_Followers]]-[1]!Engagement_Summary[[#This Row],[Unfollows]]</f>
        <v>641</v>
      </c>
    </row>
    <row r="96" spans="4:87" x14ac:dyDescent="0.25">
      <c r="D96" s="8">
        <v>45719</v>
      </c>
      <c r="E96" s="9" t="s">
        <v>33</v>
      </c>
      <c r="F96" s="9">
        <v>1371</v>
      </c>
      <c r="G96" s="9">
        <v>56</v>
      </c>
      <c r="H96" s="9">
        <v>257579</v>
      </c>
      <c r="I96" s="9">
        <f>YEAR([1]!Engagement_Summary[[#This Row],[Week_Start_Date]])</f>
        <v>2025</v>
      </c>
      <c r="J96" s="9">
        <f>MONTH([1]!Engagement_Summary[[#This Row],[Week_Start_Date]])</f>
        <v>4</v>
      </c>
      <c r="K96" s="9">
        <f t="shared" si="3"/>
        <v>1</v>
      </c>
      <c r="L96" s="9">
        <f t="shared" si="5"/>
        <v>1315</v>
      </c>
      <c r="BV96" s="8">
        <v>45719</v>
      </c>
      <c r="BW96" s="9" t="s">
        <v>33</v>
      </c>
      <c r="BX96" s="9">
        <v>1371</v>
      </c>
      <c r="BY96" s="9">
        <v>56</v>
      </c>
      <c r="BZ96" s="9">
        <v>257579</v>
      </c>
      <c r="CA96" s="11">
        <v>8.6199999999999999E-2</v>
      </c>
      <c r="CB96" s="12">
        <v>33799</v>
      </c>
      <c r="CC96" s="9">
        <f>YEAR([1]!Engagement_Summary[[#This Row],[Week_Start_Date]])</f>
        <v>2025</v>
      </c>
      <c r="CD96" s="9">
        <f>MONTH([1]!Engagement_Summary[[#This Row],[Week_Start_Date]])</f>
        <v>4</v>
      </c>
      <c r="CE96" s="9">
        <f t="shared" si="4"/>
        <v>1</v>
      </c>
      <c r="CF96" s="9">
        <v>1315</v>
      </c>
      <c r="CH96" s="4">
        <v>33799</v>
      </c>
      <c r="CI96">
        <f>[1]!Engagement_Summary[[#This Row],[New_Followers]]-[1]!Engagement_Summary[[#This Row],[Unfollows]]</f>
        <v>167</v>
      </c>
    </row>
    <row r="97" spans="4:87" x14ac:dyDescent="0.25">
      <c r="D97" s="8">
        <v>45726</v>
      </c>
      <c r="E97" s="9" t="s">
        <v>33</v>
      </c>
      <c r="F97" s="9">
        <v>393</v>
      </c>
      <c r="G97" s="9">
        <v>181</v>
      </c>
      <c r="H97" s="9">
        <v>462142</v>
      </c>
      <c r="I97" s="9">
        <f>YEAR([1]!Engagement_Summary[[#This Row],[Week_Start_Date]])</f>
        <v>2025</v>
      </c>
      <c r="J97" s="9">
        <f>MONTH([1]!Engagement_Summary[[#This Row],[Week_Start_Date]])</f>
        <v>4</v>
      </c>
      <c r="K97" s="9">
        <f t="shared" si="3"/>
        <v>2</v>
      </c>
      <c r="L97" s="9">
        <f t="shared" si="5"/>
        <v>212</v>
      </c>
      <c r="BV97" s="8">
        <v>45726</v>
      </c>
      <c r="BW97" s="9" t="s">
        <v>33</v>
      </c>
      <c r="BX97" s="9">
        <v>393</v>
      </c>
      <c r="BY97" s="9">
        <v>181</v>
      </c>
      <c r="BZ97" s="9">
        <v>462142</v>
      </c>
      <c r="CA97" s="11">
        <v>7.2300000000000003E-2</v>
      </c>
      <c r="CB97" s="12">
        <v>6296</v>
      </c>
      <c r="CC97" s="9">
        <f>YEAR([1]!Engagement_Summary[[#This Row],[Week_Start_Date]])</f>
        <v>2025</v>
      </c>
      <c r="CD97" s="9">
        <f>MONTH([1]!Engagement_Summary[[#This Row],[Week_Start_Date]])</f>
        <v>4</v>
      </c>
      <c r="CE97" s="9">
        <f t="shared" si="4"/>
        <v>2</v>
      </c>
      <c r="CF97" s="9">
        <v>212</v>
      </c>
      <c r="CH97" s="4">
        <v>6296</v>
      </c>
      <c r="CI97">
        <f>[1]!Engagement_Summary[[#This Row],[New_Followers]]-[1]!Engagement_Summary[[#This Row],[Unfollows]]</f>
        <v>-160</v>
      </c>
    </row>
    <row r="98" spans="4:87" x14ac:dyDescent="0.25">
      <c r="D98" s="8">
        <v>45733</v>
      </c>
      <c r="E98" s="9" t="s">
        <v>33</v>
      </c>
      <c r="F98" s="9">
        <v>1102</v>
      </c>
      <c r="G98" s="9">
        <v>422</v>
      </c>
      <c r="H98" s="9">
        <v>410330</v>
      </c>
      <c r="I98" s="9">
        <f>YEAR([1]!Engagement_Summary[[#This Row],[Week_Start_Date]])</f>
        <v>2025</v>
      </c>
      <c r="J98" s="9">
        <f>MONTH([1]!Engagement_Summary[[#This Row],[Week_Start_Date]])</f>
        <v>4</v>
      </c>
      <c r="K98" s="9">
        <f t="shared" si="3"/>
        <v>3</v>
      </c>
      <c r="L98" s="9">
        <f t="shared" si="5"/>
        <v>680</v>
      </c>
      <c r="BV98" s="8">
        <v>45733</v>
      </c>
      <c r="BW98" s="9" t="s">
        <v>33</v>
      </c>
      <c r="BX98" s="9">
        <v>1102</v>
      </c>
      <c r="BY98" s="9">
        <v>422</v>
      </c>
      <c r="BZ98" s="9">
        <v>410330</v>
      </c>
      <c r="CA98" s="11">
        <v>7.7399999999999997E-2</v>
      </c>
      <c r="CB98" s="12">
        <v>9480</v>
      </c>
      <c r="CC98" s="9">
        <f>YEAR([1]!Engagement_Summary[[#This Row],[Week_Start_Date]])</f>
        <v>2025</v>
      </c>
      <c r="CD98" s="9">
        <f>MONTH([1]!Engagement_Summary[[#This Row],[Week_Start_Date]])</f>
        <v>4</v>
      </c>
      <c r="CE98" s="9">
        <f t="shared" si="4"/>
        <v>3</v>
      </c>
      <c r="CF98" s="9">
        <v>680</v>
      </c>
      <c r="CH98" s="4">
        <v>9480</v>
      </c>
      <c r="CI98">
        <f>[1]!Engagement_Summary[[#This Row],[New_Followers]]-[1]!Engagement_Summary[[#This Row],[Unfollows]]</f>
        <v>603</v>
      </c>
    </row>
    <row r="99" spans="4:87" x14ac:dyDescent="0.25">
      <c r="D99" s="8">
        <v>45740</v>
      </c>
      <c r="E99" s="9" t="s">
        <v>33</v>
      </c>
      <c r="F99" s="9">
        <v>490</v>
      </c>
      <c r="G99" s="9">
        <v>29</v>
      </c>
      <c r="H99" s="9">
        <v>364810</v>
      </c>
      <c r="I99" s="9">
        <f>YEAR([1]!Engagement_Summary[[#This Row],[Week_Start_Date]])</f>
        <v>2025</v>
      </c>
      <c r="J99" s="9">
        <f>MONTH([1]!Engagement_Summary[[#This Row],[Week_Start_Date]])</f>
        <v>4</v>
      </c>
      <c r="K99" s="9">
        <f t="shared" si="3"/>
        <v>4</v>
      </c>
      <c r="L99" s="9">
        <f t="shared" si="5"/>
        <v>461</v>
      </c>
      <c r="BV99" s="8">
        <v>45740</v>
      </c>
      <c r="BW99" s="9" t="s">
        <v>33</v>
      </c>
      <c r="BX99" s="9">
        <v>490</v>
      </c>
      <c r="BY99" s="9">
        <v>29</v>
      </c>
      <c r="BZ99" s="9">
        <v>364810</v>
      </c>
      <c r="CA99" s="11">
        <v>1.5300000000000001E-2</v>
      </c>
      <c r="CB99" s="12">
        <v>49077</v>
      </c>
      <c r="CC99" s="9">
        <f>YEAR([1]!Engagement_Summary[[#This Row],[Week_Start_Date]])</f>
        <v>2025</v>
      </c>
      <c r="CD99" s="9">
        <f>MONTH([1]!Engagement_Summary[[#This Row],[Week_Start_Date]])</f>
        <v>4</v>
      </c>
      <c r="CE99" s="9">
        <f t="shared" si="4"/>
        <v>4</v>
      </c>
      <c r="CF99" s="9">
        <v>461</v>
      </c>
      <c r="CH99" s="4">
        <v>49077</v>
      </c>
      <c r="CI99">
        <f>[1]!Engagement_Summary[[#This Row],[New_Followers]]-[1]!Engagement_Summary[[#This Row],[Unfollows]]</f>
        <v>1539</v>
      </c>
    </row>
    <row r="100" spans="4:87" x14ac:dyDescent="0.25">
      <c r="D100" s="8">
        <v>45747</v>
      </c>
      <c r="E100" s="9" t="s">
        <v>33</v>
      </c>
      <c r="F100" s="9">
        <v>1033</v>
      </c>
      <c r="G100" s="9">
        <v>392</v>
      </c>
      <c r="H100" s="9">
        <v>282780</v>
      </c>
      <c r="I100" s="9">
        <f>YEAR([1]!Engagement_Summary[[#This Row],[Week_Start_Date]])</f>
        <v>2025</v>
      </c>
      <c r="J100" s="9">
        <f>MONTH([1]!Engagement_Summary[[#This Row],[Week_Start_Date]])</f>
        <v>5</v>
      </c>
      <c r="K100" s="9">
        <f t="shared" si="3"/>
        <v>5</v>
      </c>
      <c r="L100" s="9">
        <f t="shared" si="5"/>
        <v>641</v>
      </c>
      <c r="BV100" s="8">
        <v>45747</v>
      </c>
      <c r="BW100" s="9" t="s">
        <v>33</v>
      </c>
      <c r="BX100" s="9">
        <v>1033</v>
      </c>
      <c r="BY100" s="9">
        <v>392</v>
      </c>
      <c r="BZ100" s="9">
        <v>282780</v>
      </c>
      <c r="CA100" s="11">
        <v>6.2699999999999992E-2</v>
      </c>
      <c r="CB100" s="12">
        <v>23140</v>
      </c>
      <c r="CC100" s="9">
        <f>YEAR([1]!Engagement_Summary[[#This Row],[Week_Start_Date]])</f>
        <v>2025</v>
      </c>
      <c r="CD100" s="9">
        <f>MONTH([1]!Engagement_Summary[[#This Row],[Week_Start_Date]])</f>
        <v>5</v>
      </c>
      <c r="CE100" s="9">
        <f t="shared" si="4"/>
        <v>5</v>
      </c>
      <c r="CF100" s="9">
        <v>641</v>
      </c>
      <c r="CH100" s="4">
        <v>23140</v>
      </c>
      <c r="CI100">
        <f>[1]!Engagement_Summary[[#This Row],[New_Followers]]-[1]!Engagement_Summary[[#This Row],[Unfollows]]</f>
        <v>1881</v>
      </c>
    </row>
    <row r="101" spans="4:87" x14ac:dyDescent="0.25">
      <c r="D101" s="8">
        <v>45754</v>
      </c>
      <c r="E101" s="9" t="s">
        <v>33</v>
      </c>
      <c r="F101" s="9">
        <v>559</v>
      </c>
      <c r="G101" s="9">
        <v>392</v>
      </c>
      <c r="H101" s="9">
        <v>78789</v>
      </c>
      <c r="I101" s="9">
        <f>YEAR([1]!Engagement_Summary[[#This Row],[Week_Start_Date]])</f>
        <v>2025</v>
      </c>
      <c r="J101" s="9">
        <f>MONTH([1]!Engagement_Summary[[#This Row],[Week_Start_Date]])</f>
        <v>5</v>
      </c>
      <c r="K101" s="9">
        <f t="shared" si="3"/>
        <v>1</v>
      </c>
      <c r="L101" s="9">
        <f t="shared" si="5"/>
        <v>167</v>
      </c>
      <c r="BV101" s="8">
        <v>45754</v>
      </c>
      <c r="BW101" s="9" t="s">
        <v>33</v>
      </c>
      <c r="BX101" s="9">
        <v>559</v>
      </c>
      <c r="BY101" s="9">
        <v>392</v>
      </c>
      <c r="BZ101" s="9">
        <v>78789</v>
      </c>
      <c r="CA101" s="11">
        <v>3.1899999999999998E-2</v>
      </c>
      <c r="CB101" s="12">
        <v>2436</v>
      </c>
      <c r="CC101" s="9">
        <f>YEAR([1]!Engagement_Summary[[#This Row],[Week_Start_Date]])</f>
        <v>2025</v>
      </c>
      <c r="CD101" s="9">
        <f>MONTH([1]!Engagement_Summary[[#This Row],[Week_Start_Date]])</f>
        <v>5</v>
      </c>
      <c r="CE101" s="9">
        <f t="shared" si="4"/>
        <v>1</v>
      </c>
      <c r="CF101" s="9">
        <v>167</v>
      </c>
      <c r="CH101" s="4">
        <v>2436</v>
      </c>
      <c r="CI101">
        <f>[1]!Engagement_Summary[[#This Row],[New_Followers]]-[1]!Engagement_Summary[[#This Row],[Unfollows]]</f>
        <v>1656</v>
      </c>
    </row>
    <row r="102" spans="4:87" x14ac:dyDescent="0.25">
      <c r="D102" s="8">
        <v>45761</v>
      </c>
      <c r="E102" s="9" t="s">
        <v>33</v>
      </c>
      <c r="F102" s="9">
        <v>198</v>
      </c>
      <c r="G102" s="9">
        <v>358</v>
      </c>
      <c r="H102" s="9">
        <v>66682</v>
      </c>
      <c r="I102" s="9">
        <f>YEAR([1]!Engagement_Summary[[#This Row],[Week_Start_Date]])</f>
        <v>2024</v>
      </c>
      <c r="J102" s="9">
        <f>MONTH([1]!Engagement_Summary[[#This Row],[Week_Start_Date]])</f>
        <v>6</v>
      </c>
      <c r="K102" s="9">
        <f t="shared" si="3"/>
        <v>2</v>
      </c>
      <c r="L102" s="9">
        <f t="shared" si="5"/>
        <v>-160</v>
      </c>
      <c r="BV102" s="8">
        <v>45761</v>
      </c>
      <c r="BW102" s="9" t="s">
        <v>33</v>
      </c>
      <c r="BX102" s="9">
        <v>198</v>
      </c>
      <c r="BY102" s="9">
        <v>358</v>
      </c>
      <c r="BZ102" s="9">
        <v>66682</v>
      </c>
      <c r="CA102" s="11">
        <v>6.7299999999999999E-2</v>
      </c>
      <c r="CB102" s="12">
        <v>2293</v>
      </c>
      <c r="CC102" s="9">
        <f>YEAR([1]!Engagement_Summary[[#This Row],[Week_Start_Date]])</f>
        <v>2024</v>
      </c>
      <c r="CD102" s="9">
        <f>MONTH([1]!Engagement_Summary[[#This Row],[Week_Start_Date]])</f>
        <v>6</v>
      </c>
      <c r="CE102" s="9">
        <f t="shared" si="4"/>
        <v>2</v>
      </c>
      <c r="CF102" s="9">
        <v>-160</v>
      </c>
      <c r="CH102" s="4">
        <v>2293</v>
      </c>
      <c r="CI102">
        <f>[1]!Engagement_Summary[[#This Row],[New_Followers]]-[1]!Engagement_Summary[[#This Row],[Unfollows]]</f>
        <v>415</v>
      </c>
    </row>
    <row r="103" spans="4:87" x14ac:dyDescent="0.25">
      <c r="D103" s="8">
        <v>45768</v>
      </c>
      <c r="E103" s="9" t="s">
        <v>33</v>
      </c>
      <c r="F103" s="9">
        <v>961</v>
      </c>
      <c r="G103" s="9">
        <v>358</v>
      </c>
      <c r="H103" s="9">
        <v>62942</v>
      </c>
      <c r="I103" s="9">
        <f>YEAR([1]!Engagement_Summary[[#This Row],[Week_Start_Date]])</f>
        <v>2024</v>
      </c>
      <c r="J103" s="9">
        <f>MONTH([1]!Engagement_Summary[[#This Row],[Week_Start_Date]])</f>
        <v>6</v>
      </c>
      <c r="K103" s="9">
        <f t="shared" si="3"/>
        <v>3</v>
      </c>
      <c r="L103" s="9">
        <f t="shared" si="5"/>
        <v>603</v>
      </c>
      <c r="BV103" s="8">
        <v>45768</v>
      </c>
      <c r="BW103" s="9" t="s">
        <v>33</v>
      </c>
      <c r="BX103" s="9">
        <v>961</v>
      </c>
      <c r="BY103" s="9">
        <v>358</v>
      </c>
      <c r="BZ103" s="9">
        <v>62942</v>
      </c>
      <c r="CA103" s="11">
        <v>6.8000000000000005E-2</v>
      </c>
      <c r="CB103" s="12">
        <v>18693</v>
      </c>
      <c r="CC103" s="9">
        <f>YEAR([1]!Engagement_Summary[[#This Row],[Week_Start_Date]])</f>
        <v>2024</v>
      </c>
      <c r="CD103" s="9">
        <f>MONTH([1]!Engagement_Summary[[#This Row],[Week_Start_Date]])</f>
        <v>6</v>
      </c>
      <c r="CE103" s="9">
        <f t="shared" si="4"/>
        <v>3</v>
      </c>
      <c r="CF103" s="9">
        <v>603</v>
      </c>
      <c r="CH103" s="4">
        <v>18693</v>
      </c>
      <c r="CI103">
        <f>[1]!Engagement_Summary[[#This Row],[New_Followers]]-[1]!Engagement_Summary[[#This Row],[Unfollows]]</f>
        <v>186</v>
      </c>
    </row>
    <row r="104" spans="4:87" x14ac:dyDescent="0.25">
      <c r="D104" s="8">
        <v>45775</v>
      </c>
      <c r="E104" s="9" t="s">
        <v>33</v>
      </c>
      <c r="F104" s="9">
        <v>1693</v>
      </c>
      <c r="G104" s="9">
        <v>154</v>
      </c>
      <c r="H104" s="9">
        <v>445944</v>
      </c>
      <c r="I104" s="9">
        <f>YEAR([1]!Engagement_Summary[[#This Row],[Week_Start_Date]])</f>
        <v>2024</v>
      </c>
      <c r="J104" s="9">
        <f>MONTH([1]!Engagement_Summary[[#This Row],[Week_Start_Date]])</f>
        <v>6</v>
      </c>
      <c r="K104" s="9">
        <f t="shared" si="3"/>
        <v>4</v>
      </c>
      <c r="L104" s="9">
        <f t="shared" si="5"/>
        <v>1539</v>
      </c>
      <c r="BV104" s="8">
        <v>45775</v>
      </c>
      <c r="BW104" s="9" t="s">
        <v>33</v>
      </c>
      <c r="BX104" s="9">
        <v>1693</v>
      </c>
      <c r="BY104" s="9">
        <v>154</v>
      </c>
      <c r="BZ104" s="9">
        <v>445944</v>
      </c>
      <c r="CA104" s="11">
        <v>5.6900000000000006E-2</v>
      </c>
      <c r="CB104" s="12">
        <v>14216</v>
      </c>
      <c r="CC104" s="9">
        <f>YEAR([1]!Engagement_Summary[[#This Row],[Week_Start_Date]])</f>
        <v>2024</v>
      </c>
      <c r="CD104" s="9">
        <f>MONTH([1]!Engagement_Summary[[#This Row],[Week_Start_Date]])</f>
        <v>6</v>
      </c>
      <c r="CE104" s="9">
        <f t="shared" si="4"/>
        <v>4</v>
      </c>
      <c r="CF104" s="9">
        <v>1539</v>
      </c>
      <c r="CH104" s="4">
        <v>14216</v>
      </c>
      <c r="CI104">
        <f>[1]!Engagement_Summary[[#This Row],[New_Followers]]-[1]!Engagement_Summary[[#This Row],[Unfollows]]</f>
        <v>1295</v>
      </c>
    </row>
    <row r="105" spans="4:87" x14ac:dyDescent="0.25">
      <c r="D105" s="8">
        <v>45782</v>
      </c>
      <c r="E105" s="9" t="s">
        <v>33</v>
      </c>
      <c r="F105" s="9">
        <v>1957</v>
      </c>
      <c r="G105" s="9">
        <v>76</v>
      </c>
      <c r="H105" s="9">
        <v>447902</v>
      </c>
      <c r="I105" s="9">
        <f>YEAR([1]!Engagement_Summary[[#This Row],[Week_Start_Date]])</f>
        <v>2024</v>
      </c>
      <c r="J105" s="9">
        <f>MONTH([1]!Engagement_Summary[[#This Row],[Week_Start_Date]])</f>
        <v>6</v>
      </c>
      <c r="K105" s="9">
        <f t="shared" si="3"/>
        <v>1</v>
      </c>
      <c r="L105" s="9">
        <f t="shared" si="5"/>
        <v>1881</v>
      </c>
      <c r="BV105" s="8">
        <v>45782</v>
      </c>
      <c r="BW105" s="9" t="s">
        <v>33</v>
      </c>
      <c r="BX105" s="9">
        <v>1957</v>
      </c>
      <c r="BY105" s="9">
        <v>76</v>
      </c>
      <c r="BZ105" s="9">
        <v>447902</v>
      </c>
      <c r="CA105" s="11">
        <v>6.0899999999999996E-2</v>
      </c>
      <c r="CB105" s="12">
        <v>33381</v>
      </c>
      <c r="CC105" s="9">
        <f>YEAR([1]!Engagement_Summary[[#This Row],[Week_Start_Date]])</f>
        <v>2024</v>
      </c>
      <c r="CD105" s="9">
        <f>MONTH([1]!Engagement_Summary[[#This Row],[Week_Start_Date]])</f>
        <v>6</v>
      </c>
      <c r="CE105" s="9">
        <f t="shared" si="4"/>
        <v>1</v>
      </c>
      <c r="CF105" s="9">
        <v>1881</v>
      </c>
      <c r="CH105" s="4">
        <v>33381</v>
      </c>
      <c r="CI105">
        <f>[1]!Engagement_Summary[[#This Row],[New_Followers]]-[1]!Engagement_Summary[[#This Row],[Unfollows]]</f>
        <v>835</v>
      </c>
    </row>
    <row r="106" spans="4:87" x14ac:dyDescent="0.25">
      <c r="D106" s="8">
        <v>45789</v>
      </c>
      <c r="E106" s="9" t="s">
        <v>33</v>
      </c>
      <c r="F106" s="9">
        <v>1765</v>
      </c>
      <c r="G106" s="9">
        <v>109</v>
      </c>
      <c r="H106" s="9">
        <v>468301</v>
      </c>
      <c r="I106" s="9">
        <f>YEAR([1]!Engagement_Summary[[#This Row],[Week_Start_Date]])</f>
        <v>2024</v>
      </c>
      <c r="J106" s="9">
        <f>MONTH([1]!Engagement_Summary[[#This Row],[Week_Start_Date]])</f>
        <v>7</v>
      </c>
      <c r="K106" s="9">
        <f t="shared" si="3"/>
        <v>2</v>
      </c>
      <c r="L106" s="9">
        <f t="shared" si="5"/>
        <v>1656</v>
      </c>
      <c r="BV106" s="8">
        <v>45789</v>
      </c>
      <c r="BW106" s="9" t="s">
        <v>33</v>
      </c>
      <c r="BX106" s="9">
        <v>1765</v>
      </c>
      <c r="BY106" s="9">
        <v>109</v>
      </c>
      <c r="BZ106" s="9">
        <v>468301</v>
      </c>
      <c r="CA106" s="11">
        <v>1.8200000000000001E-2</v>
      </c>
      <c r="CB106" s="12">
        <v>20042</v>
      </c>
      <c r="CC106" s="9">
        <f>YEAR([1]!Engagement_Summary[[#This Row],[Week_Start_Date]])</f>
        <v>2024</v>
      </c>
      <c r="CD106" s="9">
        <f>MONTH([1]!Engagement_Summary[[#This Row],[Week_Start_Date]])</f>
        <v>7</v>
      </c>
      <c r="CE106" s="9">
        <f t="shared" si="4"/>
        <v>2</v>
      </c>
      <c r="CF106" s="9">
        <v>1656</v>
      </c>
      <c r="CH106" s="4">
        <v>20042</v>
      </c>
      <c r="CI106">
        <f>[1]!Engagement_Summary[[#This Row],[New_Followers]]-[1]!Engagement_Summary[[#This Row],[Unfollows]]</f>
        <v>1357</v>
      </c>
    </row>
    <row r="107" spans="4:87" x14ac:dyDescent="0.25">
      <c r="D107" s="8">
        <v>45446</v>
      </c>
      <c r="E107" s="9" t="s">
        <v>34</v>
      </c>
      <c r="F107" s="9">
        <v>584</v>
      </c>
      <c r="G107" s="9">
        <v>169</v>
      </c>
      <c r="H107" s="9">
        <v>146834</v>
      </c>
      <c r="I107" s="9">
        <f>YEAR([1]!Engagement_Summary[[#This Row],[Week_Start_Date]])</f>
        <v>2024</v>
      </c>
      <c r="J107" s="9">
        <f>MONTH([1]!Engagement_Summary[[#This Row],[Week_Start_Date]])</f>
        <v>7</v>
      </c>
      <c r="K107" s="9">
        <f t="shared" si="3"/>
        <v>1</v>
      </c>
      <c r="L107" s="9">
        <f t="shared" si="5"/>
        <v>415</v>
      </c>
      <c r="BV107" s="8">
        <v>45446</v>
      </c>
      <c r="BW107" s="9" t="s">
        <v>34</v>
      </c>
      <c r="BX107" s="9">
        <v>584</v>
      </c>
      <c r="BY107" s="9">
        <v>169</v>
      </c>
      <c r="BZ107" s="9">
        <v>146834</v>
      </c>
      <c r="CA107" s="11">
        <v>8.3100000000000007E-2</v>
      </c>
      <c r="CB107" s="12">
        <v>26752</v>
      </c>
      <c r="CC107" s="9">
        <f>YEAR([1]!Engagement_Summary[[#This Row],[Week_Start_Date]])</f>
        <v>2024</v>
      </c>
      <c r="CD107" s="9">
        <f>MONTH([1]!Engagement_Summary[[#This Row],[Week_Start_Date]])</f>
        <v>7</v>
      </c>
      <c r="CE107" s="9">
        <f t="shared" si="4"/>
        <v>1</v>
      </c>
      <c r="CF107" s="9">
        <v>415</v>
      </c>
      <c r="CH107" s="4">
        <v>26752</v>
      </c>
      <c r="CI107">
        <f>[1]!Engagement_Summary[[#This Row],[New_Followers]]-[1]!Engagement_Summary[[#This Row],[Unfollows]]</f>
        <v>547</v>
      </c>
    </row>
    <row r="108" spans="4:87" x14ac:dyDescent="0.25">
      <c r="D108" s="8">
        <v>45453</v>
      </c>
      <c r="E108" s="9" t="s">
        <v>34</v>
      </c>
      <c r="F108" s="9">
        <v>436</v>
      </c>
      <c r="G108" s="9">
        <v>250</v>
      </c>
      <c r="H108" s="9">
        <v>254347</v>
      </c>
      <c r="I108" s="9">
        <f>YEAR([1]!Engagement_Summary[[#This Row],[Week_Start_Date]])</f>
        <v>2024</v>
      </c>
      <c r="J108" s="9">
        <f>MONTH([1]!Engagement_Summary[[#This Row],[Week_Start_Date]])</f>
        <v>7</v>
      </c>
      <c r="K108" s="9">
        <f t="shared" si="3"/>
        <v>2</v>
      </c>
      <c r="L108" s="9">
        <f t="shared" si="5"/>
        <v>186</v>
      </c>
      <c r="BV108" s="8">
        <v>45453</v>
      </c>
      <c r="BW108" s="9" t="s">
        <v>34</v>
      </c>
      <c r="BX108" s="9">
        <v>436</v>
      </c>
      <c r="BY108" s="9">
        <v>250</v>
      </c>
      <c r="BZ108" s="9">
        <v>254347</v>
      </c>
      <c r="CA108" s="11">
        <v>4.0099999999999997E-2</v>
      </c>
      <c r="CB108" s="12">
        <v>8912</v>
      </c>
      <c r="CC108" s="9">
        <f>YEAR([1]!Engagement_Summary[[#This Row],[Week_Start_Date]])</f>
        <v>2024</v>
      </c>
      <c r="CD108" s="9">
        <f>MONTH([1]!Engagement_Summary[[#This Row],[Week_Start_Date]])</f>
        <v>7</v>
      </c>
      <c r="CE108" s="9">
        <f t="shared" si="4"/>
        <v>2</v>
      </c>
      <c r="CF108" s="9">
        <v>186</v>
      </c>
      <c r="CH108" s="4">
        <v>8912</v>
      </c>
      <c r="CI108">
        <f>[1]!Engagement_Summary[[#This Row],[New_Followers]]-[1]!Engagement_Summary[[#This Row],[Unfollows]]</f>
        <v>429</v>
      </c>
    </row>
    <row r="109" spans="4:87" x14ac:dyDescent="0.25">
      <c r="D109" s="8">
        <v>45460</v>
      </c>
      <c r="E109" s="9" t="s">
        <v>34</v>
      </c>
      <c r="F109" s="9">
        <v>1335</v>
      </c>
      <c r="G109" s="9">
        <v>40</v>
      </c>
      <c r="H109" s="9">
        <v>122732</v>
      </c>
      <c r="I109" s="9">
        <f>YEAR([1]!Engagement_Summary[[#This Row],[Week_Start_Date]])</f>
        <v>2024</v>
      </c>
      <c r="J109" s="9">
        <f>MONTH([1]!Engagement_Summary[[#This Row],[Week_Start_Date]])</f>
        <v>7</v>
      </c>
      <c r="K109" s="9">
        <f t="shared" si="3"/>
        <v>3</v>
      </c>
      <c r="L109" s="9">
        <f t="shared" si="5"/>
        <v>1295</v>
      </c>
      <c r="BV109" s="8">
        <v>45460</v>
      </c>
      <c r="BW109" s="9" t="s">
        <v>34</v>
      </c>
      <c r="BX109" s="9">
        <v>1335</v>
      </c>
      <c r="BY109" s="9">
        <v>40</v>
      </c>
      <c r="BZ109" s="9">
        <v>122732</v>
      </c>
      <c r="CA109" s="11">
        <v>8.1900000000000001E-2</v>
      </c>
      <c r="CB109" s="12">
        <v>22482</v>
      </c>
      <c r="CC109" s="9">
        <f>YEAR([1]!Engagement_Summary[[#This Row],[Week_Start_Date]])</f>
        <v>2024</v>
      </c>
      <c r="CD109" s="9">
        <f>MONTH([1]!Engagement_Summary[[#This Row],[Week_Start_Date]])</f>
        <v>7</v>
      </c>
      <c r="CE109" s="9">
        <f t="shared" si="4"/>
        <v>3</v>
      </c>
      <c r="CF109" s="9">
        <v>1295</v>
      </c>
      <c r="CH109" s="4">
        <v>22482</v>
      </c>
      <c r="CI109">
        <f>[1]!Engagement_Summary[[#This Row],[New_Followers]]-[1]!Engagement_Summary[[#This Row],[Unfollows]]</f>
        <v>1316</v>
      </c>
    </row>
    <row r="110" spans="4:87" x14ac:dyDescent="0.25">
      <c r="D110" s="8">
        <v>45467</v>
      </c>
      <c r="E110" s="9" t="s">
        <v>34</v>
      </c>
      <c r="F110" s="9">
        <v>1238</v>
      </c>
      <c r="G110" s="9">
        <v>403</v>
      </c>
      <c r="H110" s="9">
        <v>298421</v>
      </c>
      <c r="I110" s="9">
        <f>YEAR([1]!Engagement_Summary[[#This Row],[Week_Start_Date]])</f>
        <v>2024</v>
      </c>
      <c r="J110" s="9">
        <f>MONTH([1]!Engagement_Summary[[#This Row],[Week_Start_Date]])</f>
        <v>7</v>
      </c>
      <c r="K110" s="9">
        <f t="shared" si="3"/>
        <v>4</v>
      </c>
      <c r="L110" s="9">
        <f t="shared" si="5"/>
        <v>835</v>
      </c>
      <c r="BV110" s="8">
        <v>45467</v>
      </c>
      <c r="BW110" s="9" t="s">
        <v>34</v>
      </c>
      <c r="BX110" s="9">
        <v>1238</v>
      </c>
      <c r="BY110" s="9">
        <v>403</v>
      </c>
      <c r="BZ110" s="9">
        <v>298421</v>
      </c>
      <c r="CA110" s="11">
        <v>3.5000000000000003E-2</v>
      </c>
      <c r="CB110" s="12">
        <v>31280</v>
      </c>
      <c r="CC110" s="9">
        <f>YEAR([1]!Engagement_Summary[[#This Row],[Week_Start_Date]])</f>
        <v>2024</v>
      </c>
      <c r="CD110" s="9">
        <f>MONTH([1]!Engagement_Summary[[#This Row],[Week_Start_Date]])</f>
        <v>7</v>
      </c>
      <c r="CE110" s="9">
        <f t="shared" si="4"/>
        <v>4</v>
      </c>
      <c r="CF110" s="9">
        <v>835</v>
      </c>
      <c r="CH110" s="4">
        <v>31280</v>
      </c>
      <c r="CI110">
        <f>[1]!Engagement_Summary[[#This Row],[New_Followers]]-[1]!Engagement_Summary[[#This Row],[Unfollows]]</f>
        <v>1495</v>
      </c>
    </row>
    <row r="111" spans="4:87" x14ac:dyDescent="0.25">
      <c r="D111" s="8">
        <v>45474</v>
      </c>
      <c r="E111" s="9" t="s">
        <v>34</v>
      </c>
      <c r="F111" s="9">
        <v>1420</v>
      </c>
      <c r="G111" s="9">
        <v>63</v>
      </c>
      <c r="H111" s="9">
        <v>315305</v>
      </c>
      <c r="I111" s="9">
        <f>YEAR([1]!Engagement_Summary[[#This Row],[Week_Start_Date]])</f>
        <v>2024</v>
      </c>
      <c r="J111" s="9">
        <f>MONTH([1]!Engagement_Summary[[#This Row],[Week_Start_Date]])</f>
        <v>8</v>
      </c>
      <c r="K111" s="9">
        <f t="shared" si="3"/>
        <v>1</v>
      </c>
      <c r="L111" s="9">
        <f t="shared" si="5"/>
        <v>1357</v>
      </c>
      <c r="BV111" s="8">
        <v>45474</v>
      </c>
      <c r="BW111" s="9" t="s">
        <v>34</v>
      </c>
      <c r="BX111" s="9">
        <v>1420</v>
      </c>
      <c r="BY111" s="9">
        <v>63</v>
      </c>
      <c r="BZ111" s="9">
        <v>315305</v>
      </c>
      <c r="CA111" s="11">
        <v>6.1900000000000004E-2</v>
      </c>
      <c r="CB111" s="12">
        <v>5914</v>
      </c>
      <c r="CC111" s="9">
        <f>YEAR([1]!Engagement_Summary[[#This Row],[Week_Start_Date]])</f>
        <v>2024</v>
      </c>
      <c r="CD111" s="9">
        <f>MONTH([1]!Engagement_Summary[[#This Row],[Week_Start_Date]])</f>
        <v>8</v>
      </c>
      <c r="CE111" s="9">
        <f t="shared" si="4"/>
        <v>1</v>
      </c>
      <c r="CF111" s="9">
        <v>1357</v>
      </c>
      <c r="CH111" s="4">
        <v>5914</v>
      </c>
      <c r="CI111">
        <f>[1]!Engagement_Summary[[#This Row],[New_Followers]]-[1]!Engagement_Summary[[#This Row],[Unfollows]]</f>
        <v>328</v>
      </c>
    </row>
    <row r="112" spans="4:87" x14ac:dyDescent="0.25">
      <c r="D112" s="8">
        <v>45481</v>
      </c>
      <c r="E112" s="9" t="s">
        <v>34</v>
      </c>
      <c r="F112" s="9">
        <v>987</v>
      </c>
      <c r="G112" s="9">
        <v>440</v>
      </c>
      <c r="H112" s="9">
        <v>389810</v>
      </c>
      <c r="I112" s="9">
        <f>YEAR([1]!Engagement_Summary[[#This Row],[Week_Start_Date]])</f>
        <v>2024</v>
      </c>
      <c r="J112" s="9">
        <f>MONTH([1]!Engagement_Summary[[#This Row],[Week_Start_Date]])</f>
        <v>8</v>
      </c>
      <c r="K112" s="9">
        <f t="shared" si="3"/>
        <v>2</v>
      </c>
      <c r="L112" s="9">
        <f t="shared" si="5"/>
        <v>547</v>
      </c>
      <c r="BV112" s="8">
        <v>45481</v>
      </c>
      <c r="BW112" s="9" t="s">
        <v>34</v>
      </c>
      <c r="BX112" s="9">
        <v>987</v>
      </c>
      <c r="BY112" s="9">
        <v>440</v>
      </c>
      <c r="BZ112" s="9">
        <v>389810</v>
      </c>
      <c r="CA112" s="11">
        <v>4.6600000000000003E-2</v>
      </c>
      <c r="CB112" s="12">
        <v>2932</v>
      </c>
      <c r="CC112" s="9">
        <f>YEAR([1]!Engagement_Summary[[#This Row],[Week_Start_Date]])</f>
        <v>2024</v>
      </c>
      <c r="CD112" s="9">
        <f>MONTH([1]!Engagement_Summary[[#This Row],[Week_Start_Date]])</f>
        <v>8</v>
      </c>
      <c r="CE112" s="9">
        <f t="shared" si="4"/>
        <v>2</v>
      </c>
      <c r="CF112" s="9">
        <v>547</v>
      </c>
      <c r="CH112" s="4">
        <v>2932</v>
      </c>
      <c r="CI112">
        <f>[1]!Engagement_Summary[[#This Row],[New_Followers]]-[1]!Engagement_Summary[[#This Row],[Unfollows]]</f>
        <v>37</v>
      </c>
    </row>
    <row r="113" spans="4:87" x14ac:dyDescent="0.25">
      <c r="D113" s="8">
        <v>45488</v>
      </c>
      <c r="E113" s="9" t="s">
        <v>34</v>
      </c>
      <c r="F113" s="9">
        <v>704</v>
      </c>
      <c r="G113" s="9">
        <v>275</v>
      </c>
      <c r="H113" s="9">
        <v>226002</v>
      </c>
      <c r="I113" s="9">
        <f>YEAR([1]!Engagement_Summary[[#This Row],[Week_Start_Date]])</f>
        <v>2024</v>
      </c>
      <c r="J113" s="9">
        <f>MONTH([1]!Engagement_Summary[[#This Row],[Week_Start_Date]])</f>
        <v>8</v>
      </c>
      <c r="K113" s="9">
        <f t="shared" si="3"/>
        <v>3</v>
      </c>
      <c r="L113" s="9">
        <f t="shared" si="5"/>
        <v>429</v>
      </c>
      <c r="BV113" s="8">
        <v>45488</v>
      </c>
      <c r="BW113" s="9" t="s">
        <v>34</v>
      </c>
      <c r="BX113" s="9">
        <v>704</v>
      </c>
      <c r="BY113" s="9">
        <v>275</v>
      </c>
      <c r="BZ113" s="9">
        <v>226002</v>
      </c>
      <c r="CA113" s="11">
        <v>8.5600000000000009E-2</v>
      </c>
      <c r="CB113" s="12">
        <v>32393</v>
      </c>
      <c r="CC113" s="9">
        <f>YEAR([1]!Engagement_Summary[[#This Row],[Week_Start_Date]])</f>
        <v>2024</v>
      </c>
      <c r="CD113" s="9">
        <f>MONTH([1]!Engagement_Summary[[#This Row],[Week_Start_Date]])</f>
        <v>8</v>
      </c>
      <c r="CE113" s="9">
        <f t="shared" si="4"/>
        <v>3</v>
      </c>
      <c r="CF113" s="9">
        <v>429</v>
      </c>
      <c r="CH113" s="4">
        <v>32393</v>
      </c>
      <c r="CI113">
        <f>[1]!Engagement_Summary[[#This Row],[New_Followers]]-[1]!Engagement_Summary[[#This Row],[Unfollows]]</f>
        <v>1665</v>
      </c>
    </row>
    <row r="114" spans="4:87" x14ac:dyDescent="0.25">
      <c r="D114" s="8">
        <v>45495</v>
      </c>
      <c r="E114" s="9" t="s">
        <v>34</v>
      </c>
      <c r="F114" s="9">
        <v>1701</v>
      </c>
      <c r="G114" s="9">
        <v>385</v>
      </c>
      <c r="H114" s="9">
        <v>198278</v>
      </c>
      <c r="I114" s="9">
        <f>YEAR([1]!Engagement_Summary[[#This Row],[Week_Start_Date]])</f>
        <v>2024</v>
      </c>
      <c r="J114" s="9">
        <f>MONTH([1]!Engagement_Summary[[#This Row],[Week_Start_Date]])</f>
        <v>8</v>
      </c>
      <c r="K114" s="9">
        <f t="shared" si="3"/>
        <v>4</v>
      </c>
      <c r="L114" s="9">
        <f t="shared" si="5"/>
        <v>1316</v>
      </c>
      <c r="BV114" s="8">
        <v>45495</v>
      </c>
      <c r="BW114" s="9" t="s">
        <v>34</v>
      </c>
      <c r="BX114" s="9">
        <v>1701</v>
      </c>
      <c r="BY114" s="9">
        <v>385</v>
      </c>
      <c r="BZ114" s="9">
        <v>198278</v>
      </c>
      <c r="CA114" s="11">
        <v>5.3399999999999996E-2</v>
      </c>
      <c r="CB114" s="12">
        <v>32763</v>
      </c>
      <c r="CC114" s="9">
        <f>YEAR([1]!Engagement_Summary[[#This Row],[Week_Start_Date]])</f>
        <v>2024</v>
      </c>
      <c r="CD114" s="9">
        <f>MONTH([1]!Engagement_Summary[[#This Row],[Week_Start_Date]])</f>
        <v>8</v>
      </c>
      <c r="CE114" s="9">
        <f t="shared" si="4"/>
        <v>4</v>
      </c>
      <c r="CF114" s="9">
        <v>1316</v>
      </c>
      <c r="CH114" s="4">
        <v>32763</v>
      </c>
      <c r="CI114">
        <f>[1]!Engagement_Summary[[#This Row],[New_Followers]]-[1]!Engagement_Summary[[#This Row],[Unfollows]]</f>
        <v>1229</v>
      </c>
    </row>
    <row r="115" spans="4:87" x14ac:dyDescent="0.25">
      <c r="D115" s="8">
        <v>45502</v>
      </c>
      <c r="E115" s="9" t="s">
        <v>34</v>
      </c>
      <c r="F115" s="9">
        <v>1756</v>
      </c>
      <c r="G115" s="9">
        <v>261</v>
      </c>
      <c r="H115" s="9">
        <v>287574</v>
      </c>
      <c r="I115" s="9">
        <f>YEAR([1]!Engagement_Summary[[#This Row],[Week_Start_Date]])</f>
        <v>2024</v>
      </c>
      <c r="J115" s="9">
        <f>MONTH([1]!Engagement_Summary[[#This Row],[Week_Start_Date]])</f>
        <v>9</v>
      </c>
      <c r="K115" s="9">
        <f t="shared" si="3"/>
        <v>5</v>
      </c>
      <c r="L115" s="9">
        <f t="shared" si="5"/>
        <v>1495</v>
      </c>
      <c r="BV115" s="8">
        <v>45502</v>
      </c>
      <c r="BW115" s="9" t="s">
        <v>34</v>
      </c>
      <c r="BX115" s="9">
        <v>1756</v>
      </c>
      <c r="BY115" s="9">
        <v>261</v>
      </c>
      <c r="BZ115" s="9">
        <v>287574</v>
      </c>
      <c r="CA115" s="11">
        <v>4.36E-2</v>
      </c>
      <c r="CB115" s="12">
        <v>39272</v>
      </c>
      <c r="CC115" s="9">
        <f>YEAR([1]!Engagement_Summary[[#This Row],[Week_Start_Date]])</f>
        <v>2024</v>
      </c>
      <c r="CD115" s="9">
        <f>MONTH([1]!Engagement_Summary[[#This Row],[Week_Start_Date]])</f>
        <v>9</v>
      </c>
      <c r="CE115" s="9">
        <f t="shared" si="4"/>
        <v>5</v>
      </c>
      <c r="CF115" s="9">
        <v>1495</v>
      </c>
      <c r="CH115" s="4">
        <v>39272</v>
      </c>
      <c r="CI115">
        <f>[1]!Engagement_Summary[[#This Row],[New_Followers]]-[1]!Engagement_Summary[[#This Row],[Unfollows]]</f>
        <v>197</v>
      </c>
    </row>
    <row r="116" spans="4:87" x14ac:dyDescent="0.25">
      <c r="D116" s="8">
        <v>45509</v>
      </c>
      <c r="E116" s="9" t="s">
        <v>34</v>
      </c>
      <c r="F116" s="9">
        <v>826</v>
      </c>
      <c r="G116" s="9">
        <v>498</v>
      </c>
      <c r="H116" s="9">
        <v>449994</v>
      </c>
      <c r="I116" s="9">
        <f>YEAR([1]!Engagement_Summary[[#This Row],[Week_Start_Date]])</f>
        <v>2024</v>
      </c>
      <c r="J116" s="9">
        <f>MONTH([1]!Engagement_Summary[[#This Row],[Week_Start_Date]])</f>
        <v>9</v>
      </c>
      <c r="K116" s="9">
        <f t="shared" si="3"/>
        <v>1</v>
      </c>
      <c r="L116" s="9">
        <f t="shared" si="5"/>
        <v>328</v>
      </c>
      <c r="BV116" s="8">
        <v>45509</v>
      </c>
      <c r="BW116" s="9" t="s">
        <v>34</v>
      </c>
      <c r="BX116" s="9">
        <v>826</v>
      </c>
      <c r="BY116" s="9">
        <v>498</v>
      </c>
      <c r="BZ116" s="9">
        <v>449994</v>
      </c>
      <c r="CA116" s="11">
        <v>9.4299999999999995E-2</v>
      </c>
      <c r="CB116" s="12">
        <v>12384</v>
      </c>
      <c r="CC116" s="9">
        <f>YEAR([1]!Engagement_Summary[[#This Row],[Week_Start_Date]])</f>
        <v>2024</v>
      </c>
      <c r="CD116" s="9">
        <f>MONTH([1]!Engagement_Summary[[#This Row],[Week_Start_Date]])</f>
        <v>9</v>
      </c>
      <c r="CE116" s="9">
        <f t="shared" si="4"/>
        <v>1</v>
      </c>
      <c r="CF116" s="9">
        <v>328</v>
      </c>
      <c r="CH116" s="4">
        <v>12384</v>
      </c>
      <c r="CI116">
        <f>[1]!Engagement_Summary[[#This Row],[New_Followers]]-[1]!Engagement_Summary[[#This Row],[Unfollows]]</f>
        <v>260</v>
      </c>
    </row>
    <row r="117" spans="4:87" x14ac:dyDescent="0.25">
      <c r="D117" s="8">
        <v>45516</v>
      </c>
      <c r="E117" s="9" t="s">
        <v>34</v>
      </c>
      <c r="F117" s="9">
        <v>485</v>
      </c>
      <c r="G117" s="9">
        <v>448</v>
      </c>
      <c r="H117" s="9">
        <v>434883</v>
      </c>
      <c r="I117" s="9">
        <f>YEAR([1]!Engagement_Summary[[#This Row],[Week_Start_Date]])</f>
        <v>2024</v>
      </c>
      <c r="J117" s="9">
        <f>MONTH([1]!Engagement_Summary[[#This Row],[Week_Start_Date]])</f>
        <v>9</v>
      </c>
      <c r="K117" s="9">
        <f t="shared" si="3"/>
        <v>2</v>
      </c>
      <c r="L117" s="9">
        <f t="shared" si="5"/>
        <v>37</v>
      </c>
      <c r="BV117" s="8">
        <v>45516</v>
      </c>
      <c r="BW117" s="9" t="s">
        <v>34</v>
      </c>
      <c r="BX117" s="9">
        <v>485</v>
      </c>
      <c r="BY117" s="9">
        <v>448</v>
      </c>
      <c r="BZ117" s="9">
        <v>434883</v>
      </c>
      <c r="CA117" s="11">
        <v>8.5500000000000007E-2</v>
      </c>
      <c r="CB117" s="12">
        <v>33258</v>
      </c>
      <c r="CC117" s="9">
        <f>YEAR([1]!Engagement_Summary[[#This Row],[Week_Start_Date]])</f>
        <v>2024</v>
      </c>
      <c r="CD117" s="9">
        <f>MONTH([1]!Engagement_Summary[[#This Row],[Week_Start_Date]])</f>
        <v>9</v>
      </c>
      <c r="CE117" s="9">
        <f t="shared" si="4"/>
        <v>2</v>
      </c>
      <c r="CF117" s="9">
        <v>37</v>
      </c>
      <c r="CH117" s="4">
        <v>33258</v>
      </c>
      <c r="CI117">
        <f>[1]!Engagement_Summary[[#This Row],[New_Followers]]-[1]!Engagement_Summary[[#This Row],[Unfollows]]</f>
        <v>1125</v>
      </c>
    </row>
    <row r="118" spans="4:87" x14ac:dyDescent="0.25">
      <c r="D118" s="8">
        <v>45523</v>
      </c>
      <c r="E118" s="9" t="s">
        <v>34</v>
      </c>
      <c r="F118" s="9">
        <v>1751</v>
      </c>
      <c r="G118" s="9">
        <v>86</v>
      </c>
      <c r="H118" s="9">
        <v>188655</v>
      </c>
      <c r="I118" s="9">
        <f>YEAR([1]!Engagement_Summary[[#This Row],[Week_Start_Date]])</f>
        <v>2024</v>
      </c>
      <c r="J118" s="9">
        <f>MONTH([1]!Engagement_Summary[[#This Row],[Week_Start_Date]])</f>
        <v>9</v>
      </c>
      <c r="K118" s="9">
        <f t="shared" si="3"/>
        <v>3</v>
      </c>
      <c r="L118" s="9">
        <f t="shared" si="5"/>
        <v>1665</v>
      </c>
      <c r="BV118" s="8">
        <v>45523</v>
      </c>
      <c r="BW118" s="9" t="s">
        <v>34</v>
      </c>
      <c r="BX118" s="9">
        <v>1751</v>
      </c>
      <c r="BY118" s="9">
        <v>86</v>
      </c>
      <c r="BZ118" s="9">
        <v>188655</v>
      </c>
      <c r="CA118" s="11">
        <v>7.2400000000000006E-2</v>
      </c>
      <c r="CB118" s="12">
        <v>22206</v>
      </c>
      <c r="CC118" s="9">
        <f>YEAR([1]!Engagement_Summary[[#This Row],[Week_Start_Date]])</f>
        <v>2024</v>
      </c>
      <c r="CD118" s="9">
        <f>MONTH([1]!Engagement_Summary[[#This Row],[Week_Start_Date]])</f>
        <v>9</v>
      </c>
      <c r="CE118" s="9">
        <f t="shared" si="4"/>
        <v>3</v>
      </c>
      <c r="CF118" s="9">
        <v>1665</v>
      </c>
      <c r="CH118" s="4">
        <v>22206</v>
      </c>
      <c r="CI118">
        <f>[1]!Engagement_Summary[[#This Row],[New_Followers]]-[1]!Engagement_Summary[[#This Row],[Unfollows]]</f>
        <v>1680</v>
      </c>
    </row>
    <row r="119" spans="4:87" x14ac:dyDescent="0.25">
      <c r="D119" s="8">
        <v>45530</v>
      </c>
      <c r="E119" s="9" t="s">
        <v>34</v>
      </c>
      <c r="F119" s="9">
        <v>1300</v>
      </c>
      <c r="G119" s="9">
        <v>71</v>
      </c>
      <c r="H119" s="9">
        <v>186454</v>
      </c>
      <c r="I119" s="9">
        <f>YEAR([1]!Engagement_Summary[[#This Row],[Week_Start_Date]])</f>
        <v>2024</v>
      </c>
      <c r="J119" s="9">
        <f>MONTH([1]!Engagement_Summary[[#This Row],[Week_Start_Date]])</f>
        <v>9</v>
      </c>
      <c r="K119" s="9">
        <f t="shared" si="3"/>
        <v>4</v>
      </c>
      <c r="L119" s="9">
        <f t="shared" si="5"/>
        <v>1229</v>
      </c>
      <c r="BV119" s="8">
        <v>45530</v>
      </c>
      <c r="BW119" s="9" t="s">
        <v>34</v>
      </c>
      <c r="BX119" s="9">
        <v>1300</v>
      </c>
      <c r="BY119" s="9">
        <v>71</v>
      </c>
      <c r="BZ119" s="9">
        <v>186454</v>
      </c>
      <c r="CA119" s="11">
        <v>3.9100000000000003E-2</v>
      </c>
      <c r="CB119" s="12">
        <v>9942</v>
      </c>
      <c r="CC119" s="9">
        <f>YEAR([1]!Engagement_Summary[[#This Row],[Week_Start_Date]])</f>
        <v>2024</v>
      </c>
      <c r="CD119" s="9">
        <f>MONTH([1]!Engagement_Summary[[#This Row],[Week_Start_Date]])</f>
        <v>9</v>
      </c>
      <c r="CE119" s="9">
        <f t="shared" si="4"/>
        <v>4</v>
      </c>
      <c r="CF119" s="9">
        <v>1229</v>
      </c>
      <c r="CH119" s="4">
        <v>9942</v>
      </c>
      <c r="CI119">
        <f>[1]!Engagement_Summary[[#This Row],[New_Followers]]-[1]!Engagement_Summary[[#This Row],[Unfollows]]</f>
        <v>599</v>
      </c>
    </row>
    <row r="120" spans="4:87" x14ac:dyDescent="0.25">
      <c r="D120" s="8">
        <v>45537</v>
      </c>
      <c r="E120" s="9" t="s">
        <v>34</v>
      </c>
      <c r="F120" s="9">
        <v>557</v>
      </c>
      <c r="G120" s="9">
        <v>360</v>
      </c>
      <c r="H120" s="9">
        <v>318779</v>
      </c>
      <c r="I120" s="9">
        <f>YEAR([1]!Engagement_Summary[[#This Row],[Week_Start_Date]])</f>
        <v>2024</v>
      </c>
      <c r="J120" s="9">
        <f>MONTH([1]!Engagement_Summary[[#This Row],[Week_Start_Date]])</f>
        <v>10</v>
      </c>
      <c r="K120" s="9">
        <f t="shared" si="3"/>
        <v>1</v>
      </c>
      <c r="L120" s="9">
        <f t="shared" si="5"/>
        <v>197</v>
      </c>
      <c r="BV120" s="8">
        <v>45537</v>
      </c>
      <c r="BW120" s="9" t="s">
        <v>34</v>
      </c>
      <c r="BX120" s="9">
        <v>557</v>
      </c>
      <c r="BY120" s="9">
        <v>360</v>
      </c>
      <c r="BZ120" s="9">
        <v>318779</v>
      </c>
      <c r="CA120" s="11">
        <v>8.0199999999999994E-2</v>
      </c>
      <c r="CB120" s="12">
        <v>25797</v>
      </c>
      <c r="CC120" s="9">
        <f>YEAR([1]!Engagement_Summary[[#This Row],[Week_Start_Date]])</f>
        <v>2024</v>
      </c>
      <c r="CD120" s="9">
        <f>MONTH([1]!Engagement_Summary[[#This Row],[Week_Start_Date]])</f>
        <v>10</v>
      </c>
      <c r="CE120" s="9">
        <f t="shared" si="4"/>
        <v>1</v>
      </c>
      <c r="CF120" s="9">
        <v>197</v>
      </c>
      <c r="CH120" s="4">
        <v>25797</v>
      </c>
      <c r="CI120">
        <f>[1]!Engagement_Summary[[#This Row],[New_Followers]]-[1]!Engagement_Summary[[#This Row],[Unfollows]]</f>
        <v>107</v>
      </c>
    </row>
    <row r="121" spans="4:87" x14ac:dyDescent="0.25">
      <c r="D121" s="8">
        <v>45544</v>
      </c>
      <c r="E121" s="9" t="s">
        <v>34</v>
      </c>
      <c r="F121" s="9">
        <v>751</v>
      </c>
      <c r="G121" s="9">
        <v>491</v>
      </c>
      <c r="H121" s="9">
        <v>434047</v>
      </c>
      <c r="I121" s="9">
        <f>YEAR([1]!Engagement_Summary[[#This Row],[Week_Start_Date]])</f>
        <v>2024</v>
      </c>
      <c r="J121" s="9">
        <f>MONTH([1]!Engagement_Summary[[#This Row],[Week_Start_Date]])</f>
        <v>10</v>
      </c>
      <c r="K121" s="9">
        <f t="shared" si="3"/>
        <v>2</v>
      </c>
      <c r="L121" s="9">
        <f t="shared" si="5"/>
        <v>260</v>
      </c>
      <c r="BV121" s="8">
        <v>45544</v>
      </c>
      <c r="BW121" s="9" t="s">
        <v>34</v>
      </c>
      <c r="BX121" s="9">
        <v>751</v>
      </c>
      <c r="BY121" s="9">
        <v>491</v>
      </c>
      <c r="BZ121" s="9">
        <v>434047</v>
      </c>
      <c r="CA121" s="11">
        <v>9.2399999999999996E-2</v>
      </c>
      <c r="CB121" s="12">
        <v>15476</v>
      </c>
      <c r="CC121" s="9">
        <f>YEAR([1]!Engagement_Summary[[#This Row],[Week_Start_Date]])</f>
        <v>2024</v>
      </c>
      <c r="CD121" s="9">
        <f>MONTH([1]!Engagement_Summary[[#This Row],[Week_Start_Date]])</f>
        <v>10</v>
      </c>
      <c r="CE121" s="9">
        <f t="shared" si="4"/>
        <v>2</v>
      </c>
      <c r="CF121" s="9">
        <v>260</v>
      </c>
      <c r="CH121" s="4">
        <v>15476</v>
      </c>
      <c r="CI121">
        <f>[1]!Engagement_Summary[[#This Row],[New_Followers]]-[1]!Engagement_Summary[[#This Row],[Unfollows]]</f>
        <v>-20</v>
      </c>
    </row>
    <row r="122" spans="4:87" x14ac:dyDescent="0.25">
      <c r="D122" s="8">
        <v>45551</v>
      </c>
      <c r="E122" s="9" t="s">
        <v>34</v>
      </c>
      <c r="F122" s="9">
        <v>1472</v>
      </c>
      <c r="G122" s="9">
        <v>347</v>
      </c>
      <c r="H122" s="9">
        <v>392355</v>
      </c>
      <c r="I122" s="9">
        <f>YEAR([1]!Engagement_Summary[[#This Row],[Week_Start_Date]])</f>
        <v>2024</v>
      </c>
      <c r="J122" s="9">
        <f>MONTH([1]!Engagement_Summary[[#This Row],[Week_Start_Date]])</f>
        <v>10</v>
      </c>
      <c r="K122" s="9">
        <f t="shared" si="3"/>
        <v>3</v>
      </c>
      <c r="L122" s="9">
        <f t="shared" si="5"/>
        <v>1125</v>
      </c>
      <c r="BV122" s="8">
        <v>45551</v>
      </c>
      <c r="BW122" s="9" t="s">
        <v>34</v>
      </c>
      <c r="BX122" s="9">
        <v>1472</v>
      </c>
      <c r="BY122" s="9">
        <v>347</v>
      </c>
      <c r="BZ122" s="9">
        <v>392355</v>
      </c>
      <c r="CA122" s="11">
        <v>8.5900000000000004E-2</v>
      </c>
      <c r="CB122" s="12">
        <v>30270</v>
      </c>
      <c r="CC122" s="9">
        <f>YEAR([1]!Engagement_Summary[[#This Row],[Week_Start_Date]])</f>
        <v>2024</v>
      </c>
      <c r="CD122" s="9">
        <f>MONTH([1]!Engagement_Summary[[#This Row],[Week_Start_Date]])</f>
        <v>10</v>
      </c>
      <c r="CE122" s="9">
        <f t="shared" si="4"/>
        <v>3</v>
      </c>
      <c r="CF122" s="9">
        <v>1125</v>
      </c>
      <c r="CH122" s="4">
        <v>30270</v>
      </c>
      <c r="CI122">
        <f>[1]!Engagement_Summary[[#This Row],[New_Followers]]-[1]!Engagement_Summary[[#This Row],[Unfollows]]</f>
        <v>636</v>
      </c>
    </row>
    <row r="123" spans="4:87" x14ac:dyDescent="0.25">
      <c r="D123" s="8">
        <v>45558</v>
      </c>
      <c r="E123" s="9" t="s">
        <v>34</v>
      </c>
      <c r="F123" s="9">
        <v>1911</v>
      </c>
      <c r="G123" s="9">
        <v>231</v>
      </c>
      <c r="H123" s="9">
        <v>268516</v>
      </c>
      <c r="I123" s="9">
        <f>YEAR([1]!Engagement_Summary[[#This Row],[Week_Start_Date]])</f>
        <v>2024</v>
      </c>
      <c r="J123" s="9">
        <f>MONTH([1]!Engagement_Summary[[#This Row],[Week_Start_Date]])</f>
        <v>10</v>
      </c>
      <c r="K123" s="9">
        <f t="shared" si="3"/>
        <v>4</v>
      </c>
      <c r="L123" s="9">
        <f t="shared" si="5"/>
        <v>1680</v>
      </c>
      <c r="BV123" s="8">
        <v>45558</v>
      </c>
      <c r="BW123" s="9" t="s">
        <v>34</v>
      </c>
      <c r="BX123" s="9">
        <v>1911</v>
      </c>
      <c r="BY123" s="9">
        <v>231</v>
      </c>
      <c r="BZ123" s="9">
        <v>268516</v>
      </c>
      <c r="CA123" s="11">
        <v>8.5500000000000007E-2</v>
      </c>
      <c r="CB123" s="12">
        <v>24018</v>
      </c>
      <c r="CC123" s="9">
        <f>YEAR([1]!Engagement_Summary[[#This Row],[Week_Start_Date]])</f>
        <v>2024</v>
      </c>
      <c r="CD123" s="9">
        <f>MONTH([1]!Engagement_Summary[[#This Row],[Week_Start_Date]])</f>
        <v>10</v>
      </c>
      <c r="CE123" s="9">
        <f t="shared" si="4"/>
        <v>4</v>
      </c>
      <c r="CF123" s="9">
        <v>1680</v>
      </c>
      <c r="CH123" s="4">
        <v>24018</v>
      </c>
      <c r="CI123">
        <f>[1]!Engagement_Summary[[#This Row],[New_Followers]]-[1]!Engagement_Summary[[#This Row],[Unfollows]]</f>
        <v>37</v>
      </c>
    </row>
    <row r="124" spans="4:87" x14ac:dyDescent="0.25">
      <c r="D124" s="8">
        <v>45565</v>
      </c>
      <c r="E124" s="9" t="s">
        <v>34</v>
      </c>
      <c r="F124" s="9">
        <v>752</v>
      </c>
      <c r="G124" s="9">
        <v>153</v>
      </c>
      <c r="H124" s="9">
        <v>64906</v>
      </c>
      <c r="I124" s="9">
        <f>YEAR([1]!Engagement_Summary[[#This Row],[Week_Start_Date]])</f>
        <v>2024</v>
      </c>
      <c r="J124" s="9">
        <f>MONTH([1]!Engagement_Summary[[#This Row],[Week_Start_Date]])</f>
        <v>11</v>
      </c>
      <c r="K124" s="9">
        <f t="shared" si="3"/>
        <v>5</v>
      </c>
      <c r="L124" s="9">
        <f t="shared" si="5"/>
        <v>599</v>
      </c>
      <c r="BV124" s="8">
        <v>45565</v>
      </c>
      <c r="BW124" s="9" t="s">
        <v>34</v>
      </c>
      <c r="BX124" s="9">
        <v>752</v>
      </c>
      <c r="BY124" s="9">
        <v>153</v>
      </c>
      <c r="BZ124" s="9">
        <v>64906</v>
      </c>
      <c r="CA124" s="11">
        <v>2.0899999999999998E-2</v>
      </c>
      <c r="CB124" s="12">
        <v>12148</v>
      </c>
      <c r="CC124" s="9">
        <f>YEAR([1]!Engagement_Summary[[#This Row],[Week_Start_Date]])</f>
        <v>2024</v>
      </c>
      <c r="CD124" s="9">
        <f>MONTH([1]!Engagement_Summary[[#This Row],[Week_Start_Date]])</f>
        <v>11</v>
      </c>
      <c r="CE124" s="9">
        <f t="shared" si="4"/>
        <v>5</v>
      </c>
      <c r="CF124" s="9">
        <v>599</v>
      </c>
      <c r="CH124" s="4">
        <v>12148</v>
      </c>
      <c r="CI124">
        <f>[1]!Engagement_Summary[[#This Row],[New_Followers]]-[1]!Engagement_Summary[[#This Row],[Unfollows]]</f>
        <v>1603</v>
      </c>
    </row>
    <row r="125" spans="4:87" x14ac:dyDescent="0.25">
      <c r="D125" s="8">
        <v>45572</v>
      </c>
      <c r="E125" s="9" t="s">
        <v>34</v>
      </c>
      <c r="F125" s="9">
        <v>437</v>
      </c>
      <c r="G125" s="9">
        <v>330</v>
      </c>
      <c r="H125" s="9">
        <v>476486</v>
      </c>
      <c r="I125" s="9">
        <f>YEAR([1]!Engagement_Summary[[#This Row],[Week_Start_Date]])</f>
        <v>2024</v>
      </c>
      <c r="J125" s="9">
        <f>MONTH([1]!Engagement_Summary[[#This Row],[Week_Start_Date]])</f>
        <v>11</v>
      </c>
      <c r="K125" s="9">
        <f t="shared" si="3"/>
        <v>1</v>
      </c>
      <c r="L125" s="9">
        <f t="shared" si="5"/>
        <v>107</v>
      </c>
      <c r="BV125" s="8">
        <v>45572</v>
      </c>
      <c r="BW125" s="9" t="s">
        <v>34</v>
      </c>
      <c r="BX125" s="9">
        <v>437</v>
      </c>
      <c r="BY125" s="9">
        <v>330</v>
      </c>
      <c r="BZ125" s="9">
        <v>476486</v>
      </c>
      <c r="CA125" s="11">
        <v>4.9699999999999994E-2</v>
      </c>
      <c r="CB125" s="12">
        <v>4509</v>
      </c>
      <c r="CC125" s="9">
        <f>YEAR([1]!Engagement_Summary[[#This Row],[Week_Start_Date]])</f>
        <v>2024</v>
      </c>
      <c r="CD125" s="9">
        <f>MONTH([1]!Engagement_Summary[[#This Row],[Week_Start_Date]])</f>
        <v>11</v>
      </c>
      <c r="CE125" s="9">
        <f t="shared" si="4"/>
        <v>1</v>
      </c>
      <c r="CF125" s="9">
        <v>107</v>
      </c>
      <c r="CH125" s="4">
        <v>4509</v>
      </c>
      <c r="CI125">
        <f>[1]!Engagement_Summary[[#This Row],[New_Followers]]-[1]!Engagement_Summary[[#This Row],[Unfollows]]</f>
        <v>1150</v>
      </c>
    </row>
    <row r="126" spans="4:87" x14ac:dyDescent="0.25">
      <c r="D126" s="8">
        <v>45579</v>
      </c>
      <c r="E126" s="9" t="s">
        <v>34</v>
      </c>
      <c r="F126" s="9">
        <v>201</v>
      </c>
      <c r="G126" s="9">
        <v>221</v>
      </c>
      <c r="H126" s="9">
        <v>309772</v>
      </c>
      <c r="I126" s="9">
        <f>YEAR([1]!Engagement_Summary[[#This Row],[Week_Start_Date]])</f>
        <v>2024</v>
      </c>
      <c r="J126" s="9">
        <f>MONTH([1]!Engagement_Summary[[#This Row],[Week_Start_Date]])</f>
        <v>11</v>
      </c>
      <c r="K126" s="9">
        <f t="shared" si="3"/>
        <v>2</v>
      </c>
      <c r="L126" s="9">
        <f t="shared" si="5"/>
        <v>-20</v>
      </c>
      <c r="BV126" s="8">
        <v>45579</v>
      </c>
      <c r="BW126" s="9" t="s">
        <v>34</v>
      </c>
      <c r="BX126" s="9">
        <v>201</v>
      </c>
      <c r="BY126" s="9">
        <v>221</v>
      </c>
      <c r="BZ126" s="9">
        <v>309772</v>
      </c>
      <c r="CA126" s="11">
        <v>5.9000000000000004E-2</v>
      </c>
      <c r="CB126" s="12">
        <v>33174</v>
      </c>
      <c r="CC126" s="9">
        <f>YEAR([1]!Engagement_Summary[[#This Row],[Week_Start_Date]])</f>
        <v>2024</v>
      </c>
      <c r="CD126" s="9">
        <f>MONTH([1]!Engagement_Summary[[#This Row],[Week_Start_Date]])</f>
        <v>11</v>
      </c>
      <c r="CE126" s="9">
        <f t="shared" si="4"/>
        <v>2</v>
      </c>
      <c r="CF126" s="9">
        <v>-20</v>
      </c>
      <c r="CH126" s="4">
        <v>33174</v>
      </c>
      <c r="CI126">
        <f>[1]!Engagement_Summary[[#This Row],[New_Followers]]-[1]!Engagement_Summary[[#This Row],[Unfollows]]</f>
        <v>445</v>
      </c>
    </row>
    <row r="127" spans="4:87" x14ac:dyDescent="0.25">
      <c r="D127" s="8">
        <v>45586</v>
      </c>
      <c r="E127" s="9" t="s">
        <v>34</v>
      </c>
      <c r="F127" s="9">
        <v>697</v>
      </c>
      <c r="G127" s="9">
        <v>61</v>
      </c>
      <c r="H127" s="9">
        <v>258287</v>
      </c>
      <c r="I127" s="9">
        <f>YEAR([1]!Engagement_Summary[[#This Row],[Week_Start_Date]])</f>
        <v>2024</v>
      </c>
      <c r="J127" s="9">
        <f>MONTH([1]!Engagement_Summary[[#This Row],[Week_Start_Date]])</f>
        <v>11</v>
      </c>
      <c r="K127" s="9">
        <f t="shared" si="3"/>
        <v>3</v>
      </c>
      <c r="L127" s="9">
        <f t="shared" si="5"/>
        <v>636</v>
      </c>
      <c r="BV127" s="8">
        <v>45586</v>
      </c>
      <c r="BW127" s="9" t="s">
        <v>34</v>
      </c>
      <c r="BX127" s="9">
        <v>697</v>
      </c>
      <c r="BY127" s="9">
        <v>61</v>
      </c>
      <c r="BZ127" s="9">
        <v>258287</v>
      </c>
      <c r="CA127" s="11">
        <v>8.2500000000000004E-2</v>
      </c>
      <c r="CB127" s="12">
        <v>21208</v>
      </c>
      <c r="CC127" s="9">
        <f>YEAR([1]!Engagement_Summary[[#This Row],[Week_Start_Date]])</f>
        <v>2024</v>
      </c>
      <c r="CD127" s="9">
        <f>MONTH([1]!Engagement_Summary[[#This Row],[Week_Start_Date]])</f>
        <v>11</v>
      </c>
      <c r="CE127" s="9">
        <f t="shared" si="4"/>
        <v>3</v>
      </c>
      <c r="CF127" s="9">
        <v>636</v>
      </c>
      <c r="CH127" s="4">
        <v>21208</v>
      </c>
      <c r="CI127">
        <f>[1]!Engagement_Summary[[#This Row],[New_Followers]]-[1]!Engagement_Summary[[#This Row],[Unfollows]]</f>
        <v>98</v>
      </c>
    </row>
    <row r="128" spans="4:87" x14ac:dyDescent="0.25">
      <c r="D128" s="8">
        <v>45593</v>
      </c>
      <c r="E128" s="9" t="s">
        <v>34</v>
      </c>
      <c r="F128" s="9">
        <v>191</v>
      </c>
      <c r="G128" s="9">
        <v>154</v>
      </c>
      <c r="H128" s="9">
        <v>240550</v>
      </c>
      <c r="I128" s="9">
        <f>YEAR([1]!Engagement_Summary[[#This Row],[Week_Start_Date]])</f>
        <v>2024</v>
      </c>
      <c r="J128" s="9">
        <f>MONTH([1]!Engagement_Summary[[#This Row],[Week_Start_Date]])</f>
        <v>12</v>
      </c>
      <c r="K128" s="9">
        <f t="shared" si="3"/>
        <v>4</v>
      </c>
      <c r="L128" s="9">
        <f t="shared" si="5"/>
        <v>37</v>
      </c>
      <c r="BV128" s="8">
        <v>45593</v>
      </c>
      <c r="BW128" s="9" t="s">
        <v>34</v>
      </c>
      <c r="BX128" s="9">
        <v>191</v>
      </c>
      <c r="BY128" s="9">
        <v>154</v>
      </c>
      <c r="BZ128" s="9">
        <v>240550</v>
      </c>
      <c r="CA128" s="11">
        <v>5.2199999999999996E-2</v>
      </c>
      <c r="CB128" s="12">
        <v>15827</v>
      </c>
      <c r="CC128" s="9">
        <f>YEAR([1]!Engagement_Summary[[#This Row],[Week_Start_Date]])</f>
        <v>2024</v>
      </c>
      <c r="CD128" s="9">
        <f>MONTH([1]!Engagement_Summary[[#This Row],[Week_Start_Date]])</f>
        <v>12</v>
      </c>
      <c r="CE128" s="9">
        <f t="shared" si="4"/>
        <v>4</v>
      </c>
      <c r="CF128" s="9">
        <v>37</v>
      </c>
      <c r="CH128" s="4">
        <v>15827</v>
      </c>
      <c r="CI128">
        <f>[1]!Engagement_Summary[[#This Row],[New_Followers]]-[1]!Engagement_Summary[[#This Row],[Unfollows]]</f>
        <v>1173</v>
      </c>
    </row>
    <row r="129" spans="4:87" x14ac:dyDescent="0.25">
      <c r="D129" s="8">
        <v>45600</v>
      </c>
      <c r="E129" s="9" t="s">
        <v>34</v>
      </c>
      <c r="F129" s="9">
        <v>1821</v>
      </c>
      <c r="G129" s="9">
        <v>218</v>
      </c>
      <c r="H129" s="9">
        <v>439080</v>
      </c>
      <c r="I129" s="9">
        <f>YEAR([1]!Engagement_Summary[[#This Row],[Week_Start_Date]])</f>
        <v>2024</v>
      </c>
      <c r="J129" s="9">
        <f>MONTH([1]!Engagement_Summary[[#This Row],[Week_Start_Date]])</f>
        <v>12</v>
      </c>
      <c r="K129" s="9">
        <f t="shared" si="3"/>
        <v>1</v>
      </c>
      <c r="L129" s="9">
        <f t="shared" si="5"/>
        <v>1603</v>
      </c>
      <c r="BV129" s="8">
        <v>45600</v>
      </c>
      <c r="BW129" s="9" t="s">
        <v>34</v>
      </c>
      <c r="BX129" s="9">
        <v>1821</v>
      </c>
      <c r="BY129" s="9">
        <v>218</v>
      </c>
      <c r="BZ129" s="9">
        <v>439080</v>
      </c>
      <c r="CA129" s="11">
        <v>5.6799999999999996E-2</v>
      </c>
      <c r="CB129" s="12">
        <v>36095</v>
      </c>
      <c r="CC129" s="9">
        <f>YEAR([1]!Engagement_Summary[[#This Row],[Week_Start_Date]])</f>
        <v>2024</v>
      </c>
      <c r="CD129" s="9">
        <f>MONTH([1]!Engagement_Summary[[#This Row],[Week_Start_Date]])</f>
        <v>12</v>
      </c>
      <c r="CE129" s="9">
        <f t="shared" si="4"/>
        <v>1</v>
      </c>
      <c r="CF129" s="9">
        <v>1603</v>
      </c>
      <c r="CH129" s="4">
        <v>36095</v>
      </c>
      <c r="CI129">
        <f>[1]!Engagement_Summary[[#This Row],[New_Followers]]-[1]!Engagement_Summary[[#This Row],[Unfollows]]</f>
        <v>1727</v>
      </c>
    </row>
    <row r="130" spans="4:87" x14ac:dyDescent="0.25">
      <c r="D130" s="8">
        <v>45607</v>
      </c>
      <c r="E130" s="9" t="s">
        <v>34</v>
      </c>
      <c r="F130" s="9">
        <v>1487</v>
      </c>
      <c r="G130" s="9">
        <v>337</v>
      </c>
      <c r="H130" s="9">
        <v>87305</v>
      </c>
      <c r="I130" s="9">
        <f>YEAR([1]!Engagement_Summary[[#This Row],[Week_Start_Date]])</f>
        <v>2024</v>
      </c>
      <c r="J130" s="9">
        <f>MONTH([1]!Engagement_Summary[[#This Row],[Week_Start_Date]])</f>
        <v>12</v>
      </c>
      <c r="K130" s="9">
        <f t="shared" si="3"/>
        <v>2</v>
      </c>
      <c r="L130" s="9">
        <f t="shared" si="5"/>
        <v>1150</v>
      </c>
      <c r="BV130" s="8">
        <v>45607</v>
      </c>
      <c r="BW130" s="9" t="s">
        <v>34</v>
      </c>
      <c r="BX130" s="9">
        <v>1487</v>
      </c>
      <c r="BY130" s="9">
        <v>337</v>
      </c>
      <c r="BZ130" s="9">
        <v>87305</v>
      </c>
      <c r="CA130" s="11">
        <v>2.46E-2</v>
      </c>
      <c r="CB130" s="12">
        <v>30428</v>
      </c>
      <c r="CC130" s="9">
        <f>YEAR([1]!Engagement_Summary[[#This Row],[Week_Start_Date]])</f>
        <v>2024</v>
      </c>
      <c r="CD130" s="9">
        <f>MONTH([1]!Engagement_Summary[[#This Row],[Week_Start_Date]])</f>
        <v>12</v>
      </c>
      <c r="CE130" s="9">
        <f t="shared" si="4"/>
        <v>2</v>
      </c>
      <c r="CF130" s="9">
        <v>1150</v>
      </c>
      <c r="CH130" s="4">
        <v>30428</v>
      </c>
      <c r="CI130">
        <f>[1]!Engagement_Summary[[#This Row],[New_Followers]]-[1]!Engagement_Summary[[#This Row],[Unfollows]]</f>
        <v>1359</v>
      </c>
    </row>
    <row r="131" spans="4:87" x14ac:dyDescent="0.25">
      <c r="D131" s="8">
        <v>45614</v>
      </c>
      <c r="E131" s="9" t="s">
        <v>34</v>
      </c>
      <c r="F131" s="9">
        <v>628</v>
      </c>
      <c r="G131" s="9">
        <v>183</v>
      </c>
      <c r="H131" s="9">
        <v>487523</v>
      </c>
      <c r="I131" s="9">
        <f>YEAR([1]!Engagement_Summary[[#This Row],[Week_Start_Date]])</f>
        <v>2024</v>
      </c>
      <c r="J131" s="9">
        <f>MONTH([1]!Engagement_Summary[[#This Row],[Week_Start_Date]])</f>
        <v>12</v>
      </c>
      <c r="K131" s="9">
        <f t="shared" si="3"/>
        <v>3</v>
      </c>
      <c r="L131" s="9">
        <f t="shared" si="5"/>
        <v>445</v>
      </c>
      <c r="BV131" s="8">
        <v>45614</v>
      </c>
      <c r="BW131" s="9" t="s">
        <v>34</v>
      </c>
      <c r="BX131" s="9">
        <v>628</v>
      </c>
      <c r="BY131" s="9">
        <v>183</v>
      </c>
      <c r="BZ131" s="9">
        <v>487523</v>
      </c>
      <c r="CA131" s="11">
        <v>7.3200000000000001E-2</v>
      </c>
      <c r="CB131" s="12">
        <v>5391</v>
      </c>
      <c r="CC131" s="9">
        <f>YEAR([1]!Engagement_Summary[[#This Row],[Week_Start_Date]])</f>
        <v>2024</v>
      </c>
      <c r="CD131" s="9">
        <f>MONTH([1]!Engagement_Summary[[#This Row],[Week_Start_Date]])</f>
        <v>12</v>
      </c>
      <c r="CE131" s="9">
        <f t="shared" si="4"/>
        <v>3</v>
      </c>
      <c r="CF131" s="9">
        <v>445</v>
      </c>
      <c r="CH131" s="4">
        <v>5391</v>
      </c>
      <c r="CI131">
        <f>[1]!Engagement_Summary[[#This Row],[New_Followers]]-[1]!Engagement_Summary[[#This Row],[Unfollows]]</f>
        <v>911</v>
      </c>
    </row>
    <row r="132" spans="4:87" x14ac:dyDescent="0.25">
      <c r="D132" s="8">
        <v>45621</v>
      </c>
      <c r="E132" s="9" t="s">
        <v>34</v>
      </c>
      <c r="F132" s="9">
        <v>330</v>
      </c>
      <c r="G132" s="9">
        <v>232</v>
      </c>
      <c r="H132" s="9">
        <v>88455</v>
      </c>
      <c r="I132" s="9">
        <f>YEAR([1]!Engagement_Summary[[#This Row],[Week_Start_Date]])</f>
        <v>2024</v>
      </c>
      <c r="J132" s="9">
        <f>MONTH([1]!Engagement_Summary[[#This Row],[Week_Start_Date]])</f>
        <v>12</v>
      </c>
      <c r="K132" s="9">
        <f t="shared" si="3"/>
        <v>4</v>
      </c>
      <c r="L132" s="9">
        <f t="shared" si="5"/>
        <v>98</v>
      </c>
      <c r="BV132" s="8">
        <v>45621</v>
      </c>
      <c r="BW132" s="9" t="s">
        <v>34</v>
      </c>
      <c r="BX132" s="9">
        <v>330</v>
      </c>
      <c r="BY132" s="9">
        <v>232</v>
      </c>
      <c r="BZ132" s="9">
        <v>88455</v>
      </c>
      <c r="CA132" s="11">
        <v>2.69E-2</v>
      </c>
      <c r="CB132" s="12">
        <v>39530</v>
      </c>
      <c r="CC132" s="9">
        <f>YEAR([1]!Engagement_Summary[[#This Row],[Week_Start_Date]])</f>
        <v>2024</v>
      </c>
      <c r="CD132" s="9">
        <f>MONTH([1]!Engagement_Summary[[#This Row],[Week_Start_Date]])</f>
        <v>12</v>
      </c>
      <c r="CE132" s="9">
        <f t="shared" si="4"/>
        <v>4</v>
      </c>
      <c r="CF132" s="9">
        <v>98</v>
      </c>
      <c r="CH132" s="4">
        <v>39530</v>
      </c>
      <c r="CI132">
        <f>[1]!Engagement_Summary[[#This Row],[New_Followers]]-[1]!Engagement_Summary[[#This Row],[Unfollows]]</f>
        <v>1529</v>
      </c>
    </row>
    <row r="133" spans="4:87" x14ac:dyDescent="0.25">
      <c r="D133" s="8">
        <v>45628</v>
      </c>
      <c r="E133" s="9" t="s">
        <v>34</v>
      </c>
      <c r="F133" s="9">
        <v>1441</v>
      </c>
      <c r="G133" s="9">
        <v>268</v>
      </c>
      <c r="H133" s="9">
        <v>309904</v>
      </c>
      <c r="I133" s="9">
        <f>YEAR([1]!Engagement_Summary[[#This Row],[Week_Start_Date]])</f>
        <v>2025</v>
      </c>
      <c r="J133" s="9">
        <f>MONTH([1]!Engagement_Summary[[#This Row],[Week_Start_Date]])</f>
        <v>1</v>
      </c>
      <c r="K133" s="9">
        <f t="shared" si="3"/>
        <v>1</v>
      </c>
      <c r="L133" s="9">
        <f t="shared" si="5"/>
        <v>1173</v>
      </c>
      <c r="BV133" s="8">
        <v>45628</v>
      </c>
      <c r="BW133" s="9" t="s">
        <v>34</v>
      </c>
      <c r="BX133" s="9">
        <v>1441</v>
      </c>
      <c r="BY133" s="9">
        <v>268</v>
      </c>
      <c r="BZ133" s="9">
        <v>309904</v>
      </c>
      <c r="CA133" s="11">
        <v>6.3700000000000007E-2</v>
      </c>
      <c r="CB133" s="12">
        <v>3455</v>
      </c>
      <c r="CC133" s="9">
        <f>YEAR([1]!Engagement_Summary[[#This Row],[Week_Start_Date]])</f>
        <v>2025</v>
      </c>
      <c r="CD133" s="9">
        <f>MONTH([1]!Engagement_Summary[[#This Row],[Week_Start_Date]])</f>
        <v>1</v>
      </c>
      <c r="CE133" s="9">
        <f t="shared" si="4"/>
        <v>1</v>
      </c>
      <c r="CF133" s="9">
        <v>1173</v>
      </c>
      <c r="CH133" s="4">
        <v>3455</v>
      </c>
      <c r="CI133">
        <f>[1]!Engagement_Summary[[#This Row],[New_Followers]]-[1]!Engagement_Summary[[#This Row],[Unfollows]]</f>
        <v>1188</v>
      </c>
    </row>
    <row r="134" spans="4:87" x14ac:dyDescent="0.25">
      <c r="D134" s="8">
        <v>45635</v>
      </c>
      <c r="E134" s="9" t="s">
        <v>34</v>
      </c>
      <c r="F134" s="9">
        <v>1937</v>
      </c>
      <c r="G134" s="9">
        <v>210</v>
      </c>
      <c r="H134" s="9">
        <v>20607</v>
      </c>
      <c r="I134" s="9">
        <f>YEAR([1]!Engagement_Summary[[#This Row],[Week_Start_Date]])</f>
        <v>2025</v>
      </c>
      <c r="J134" s="9">
        <f>MONTH([1]!Engagement_Summary[[#This Row],[Week_Start_Date]])</f>
        <v>1</v>
      </c>
      <c r="K134" s="9">
        <f t="shared" si="3"/>
        <v>2</v>
      </c>
      <c r="L134" s="9">
        <f t="shared" si="5"/>
        <v>1727</v>
      </c>
      <c r="BV134" s="8">
        <v>45635</v>
      </c>
      <c r="BW134" s="9" t="s">
        <v>34</v>
      </c>
      <c r="BX134" s="9">
        <v>1937</v>
      </c>
      <c r="BY134" s="9">
        <v>210</v>
      </c>
      <c r="BZ134" s="9">
        <v>20607</v>
      </c>
      <c r="CA134" s="11">
        <v>4.2000000000000003E-2</v>
      </c>
      <c r="CB134" s="12">
        <v>20861</v>
      </c>
      <c r="CC134" s="9">
        <f>YEAR([1]!Engagement_Summary[[#This Row],[Week_Start_Date]])</f>
        <v>2025</v>
      </c>
      <c r="CD134" s="9">
        <f>MONTH([1]!Engagement_Summary[[#This Row],[Week_Start_Date]])</f>
        <v>1</v>
      </c>
      <c r="CE134" s="9">
        <f t="shared" si="4"/>
        <v>2</v>
      </c>
      <c r="CF134" s="9">
        <v>1727</v>
      </c>
      <c r="CH134" s="4">
        <v>20861</v>
      </c>
      <c r="CI134">
        <f>[1]!Engagement_Summary[[#This Row],[New_Followers]]-[1]!Engagement_Summary[[#This Row],[Unfollows]]</f>
        <v>-144</v>
      </c>
    </row>
    <row r="135" spans="4:87" x14ac:dyDescent="0.25">
      <c r="D135" s="8">
        <v>45642</v>
      </c>
      <c r="E135" s="9" t="s">
        <v>34</v>
      </c>
      <c r="F135" s="9">
        <v>1592</v>
      </c>
      <c r="G135" s="9">
        <v>233</v>
      </c>
      <c r="H135" s="9">
        <v>327183</v>
      </c>
      <c r="I135" s="9">
        <f>YEAR([1]!Engagement_Summary[[#This Row],[Week_Start_Date]])</f>
        <v>2025</v>
      </c>
      <c r="J135" s="9">
        <f>MONTH([1]!Engagement_Summary[[#This Row],[Week_Start_Date]])</f>
        <v>1</v>
      </c>
      <c r="K135" s="9">
        <f t="shared" ref="K135:K198" si="6" xml:space="preserve"> INT((DAY(D135)-1)/7)+1</f>
        <v>3</v>
      </c>
      <c r="L135" s="9">
        <f t="shared" si="5"/>
        <v>1359</v>
      </c>
      <c r="BV135" s="8">
        <v>45642</v>
      </c>
      <c r="BW135" s="9" t="s">
        <v>34</v>
      </c>
      <c r="BX135" s="9">
        <v>1592</v>
      </c>
      <c r="BY135" s="9">
        <v>233</v>
      </c>
      <c r="BZ135" s="9">
        <v>327183</v>
      </c>
      <c r="CA135" s="11">
        <v>6.6600000000000006E-2</v>
      </c>
      <c r="CB135" s="12">
        <v>13316</v>
      </c>
      <c r="CC135" s="9">
        <f>YEAR([1]!Engagement_Summary[[#This Row],[Week_Start_Date]])</f>
        <v>2025</v>
      </c>
      <c r="CD135" s="9">
        <f>MONTH([1]!Engagement_Summary[[#This Row],[Week_Start_Date]])</f>
        <v>1</v>
      </c>
      <c r="CE135" s="9">
        <f t="shared" ref="CE135:CE198" si="7" xml:space="preserve"> INT((DAY(BV135)-1)/7)+1</f>
        <v>3</v>
      </c>
      <c r="CF135" s="9">
        <v>1359</v>
      </c>
      <c r="CH135" s="4">
        <v>13316</v>
      </c>
      <c r="CI135">
        <f>[1]!Engagement_Summary[[#This Row],[New_Followers]]-[1]!Engagement_Summary[[#This Row],[Unfollows]]</f>
        <v>891</v>
      </c>
    </row>
    <row r="136" spans="4:87" x14ac:dyDescent="0.25">
      <c r="D136" s="8">
        <v>45649</v>
      </c>
      <c r="E136" s="9" t="s">
        <v>34</v>
      </c>
      <c r="F136" s="9">
        <v>1137</v>
      </c>
      <c r="G136" s="9">
        <v>226</v>
      </c>
      <c r="H136" s="9">
        <v>81119</v>
      </c>
      <c r="I136" s="9">
        <f>YEAR([1]!Engagement_Summary[[#This Row],[Week_Start_Date]])</f>
        <v>2025</v>
      </c>
      <c r="J136" s="9">
        <f>MONTH([1]!Engagement_Summary[[#This Row],[Week_Start_Date]])</f>
        <v>1</v>
      </c>
      <c r="K136" s="9">
        <f t="shared" si="6"/>
        <v>4</v>
      </c>
      <c r="L136" s="9">
        <f t="shared" ref="L136:L199" si="8">F136-G136</f>
        <v>911</v>
      </c>
      <c r="BV136" s="8">
        <v>45649</v>
      </c>
      <c r="BW136" s="9" t="s">
        <v>34</v>
      </c>
      <c r="BX136" s="9">
        <v>1137</v>
      </c>
      <c r="BY136" s="9">
        <v>226</v>
      </c>
      <c r="BZ136" s="9">
        <v>81119</v>
      </c>
      <c r="CA136" s="11">
        <v>7.7399999999999997E-2</v>
      </c>
      <c r="CB136" s="12">
        <v>35359</v>
      </c>
      <c r="CC136" s="9">
        <f>YEAR([1]!Engagement_Summary[[#This Row],[Week_Start_Date]])</f>
        <v>2025</v>
      </c>
      <c r="CD136" s="9">
        <f>MONTH([1]!Engagement_Summary[[#This Row],[Week_Start_Date]])</f>
        <v>1</v>
      </c>
      <c r="CE136" s="9">
        <f t="shared" si="7"/>
        <v>4</v>
      </c>
      <c r="CF136" s="9">
        <v>911</v>
      </c>
      <c r="CH136" s="4">
        <v>35359</v>
      </c>
      <c r="CI136">
        <f>[1]!Engagement_Summary[[#This Row],[New_Followers]]-[1]!Engagement_Summary[[#This Row],[Unfollows]]</f>
        <v>1426</v>
      </c>
    </row>
    <row r="137" spans="4:87" x14ac:dyDescent="0.25">
      <c r="D137" s="8">
        <v>45656</v>
      </c>
      <c r="E137" s="9" t="s">
        <v>34</v>
      </c>
      <c r="F137" s="9">
        <v>1786</v>
      </c>
      <c r="G137" s="9">
        <v>257</v>
      </c>
      <c r="H137" s="9">
        <v>274831</v>
      </c>
      <c r="I137" s="9">
        <f>YEAR([1]!Engagement_Summary[[#This Row],[Week_Start_Date]])</f>
        <v>2025</v>
      </c>
      <c r="J137" s="9">
        <f>MONTH([1]!Engagement_Summary[[#This Row],[Week_Start_Date]])</f>
        <v>2</v>
      </c>
      <c r="K137" s="9">
        <f t="shared" si="6"/>
        <v>5</v>
      </c>
      <c r="L137" s="9">
        <f t="shared" si="8"/>
        <v>1529</v>
      </c>
      <c r="BV137" s="8">
        <v>45656</v>
      </c>
      <c r="BW137" s="9" t="s">
        <v>34</v>
      </c>
      <c r="BX137" s="9">
        <v>1786</v>
      </c>
      <c r="BY137" s="9">
        <v>257</v>
      </c>
      <c r="BZ137" s="9">
        <v>274831</v>
      </c>
      <c r="CA137" s="11">
        <v>4.6799999999999994E-2</v>
      </c>
      <c r="CB137" s="12">
        <v>9118</v>
      </c>
      <c r="CC137" s="9">
        <f>YEAR([1]!Engagement_Summary[[#This Row],[Week_Start_Date]])</f>
        <v>2025</v>
      </c>
      <c r="CD137" s="9">
        <f>MONTH([1]!Engagement_Summary[[#This Row],[Week_Start_Date]])</f>
        <v>2</v>
      </c>
      <c r="CE137" s="9">
        <f t="shared" si="7"/>
        <v>5</v>
      </c>
      <c r="CF137" s="9">
        <v>1529</v>
      </c>
      <c r="CH137" s="4">
        <v>9118</v>
      </c>
      <c r="CI137">
        <f>[1]!Engagement_Summary[[#This Row],[New_Followers]]-[1]!Engagement_Summary[[#This Row],[Unfollows]]</f>
        <v>569</v>
      </c>
    </row>
    <row r="138" spans="4:87" x14ac:dyDescent="0.25">
      <c r="D138" s="8">
        <v>45663</v>
      </c>
      <c r="E138" s="9" t="s">
        <v>34</v>
      </c>
      <c r="F138" s="9">
        <v>1633</v>
      </c>
      <c r="G138" s="9">
        <v>445</v>
      </c>
      <c r="H138" s="9">
        <v>371156</v>
      </c>
      <c r="I138" s="9">
        <f>YEAR([1]!Engagement_Summary[[#This Row],[Week_Start_Date]])</f>
        <v>2025</v>
      </c>
      <c r="J138" s="9">
        <f>MONTH([1]!Engagement_Summary[[#This Row],[Week_Start_Date]])</f>
        <v>2</v>
      </c>
      <c r="K138" s="9">
        <f t="shared" si="6"/>
        <v>1</v>
      </c>
      <c r="L138" s="9">
        <f t="shared" si="8"/>
        <v>1188</v>
      </c>
      <c r="BV138" s="8">
        <v>45663</v>
      </c>
      <c r="BW138" s="9" t="s">
        <v>34</v>
      </c>
      <c r="BX138" s="9">
        <v>1633</v>
      </c>
      <c r="BY138" s="9">
        <v>445</v>
      </c>
      <c r="BZ138" s="9">
        <v>371156</v>
      </c>
      <c r="CA138" s="11">
        <v>2.2200000000000001E-2</v>
      </c>
      <c r="CB138" s="12">
        <v>2798</v>
      </c>
      <c r="CC138" s="9">
        <f>YEAR([1]!Engagement_Summary[[#This Row],[Week_Start_Date]])</f>
        <v>2025</v>
      </c>
      <c r="CD138" s="9">
        <f>MONTH([1]!Engagement_Summary[[#This Row],[Week_Start_Date]])</f>
        <v>2</v>
      </c>
      <c r="CE138" s="9">
        <f t="shared" si="7"/>
        <v>1</v>
      </c>
      <c r="CF138" s="9">
        <v>1188</v>
      </c>
      <c r="CH138" s="4">
        <v>2798</v>
      </c>
      <c r="CI138">
        <f>[1]!Engagement_Summary[[#This Row],[New_Followers]]-[1]!Engagement_Summary[[#This Row],[Unfollows]]</f>
        <v>1202</v>
      </c>
    </row>
    <row r="139" spans="4:87" x14ac:dyDescent="0.25">
      <c r="D139" s="8">
        <v>45670</v>
      </c>
      <c r="E139" s="9" t="s">
        <v>34</v>
      </c>
      <c r="F139" s="9">
        <v>118</v>
      </c>
      <c r="G139" s="9">
        <v>262</v>
      </c>
      <c r="H139" s="9">
        <v>487896</v>
      </c>
      <c r="I139" s="9">
        <f>YEAR([1]!Engagement_Summary[[#This Row],[Week_Start_Date]])</f>
        <v>2025</v>
      </c>
      <c r="J139" s="9">
        <f>MONTH([1]!Engagement_Summary[[#This Row],[Week_Start_Date]])</f>
        <v>2</v>
      </c>
      <c r="K139" s="9">
        <f t="shared" si="6"/>
        <v>2</v>
      </c>
      <c r="L139" s="9">
        <f t="shared" si="8"/>
        <v>-144</v>
      </c>
      <c r="BV139" s="8">
        <v>45670</v>
      </c>
      <c r="BW139" s="9" t="s">
        <v>34</v>
      </c>
      <c r="BX139" s="9">
        <v>118</v>
      </c>
      <c r="BY139" s="9">
        <v>262</v>
      </c>
      <c r="BZ139" s="9">
        <v>487896</v>
      </c>
      <c r="CA139" s="11">
        <v>2.5600000000000001E-2</v>
      </c>
      <c r="CB139" s="12">
        <v>12350</v>
      </c>
      <c r="CC139" s="9">
        <f>YEAR([1]!Engagement_Summary[[#This Row],[Week_Start_Date]])</f>
        <v>2025</v>
      </c>
      <c r="CD139" s="9">
        <f>MONTH([1]!Engagement_Summary[[#This Row],[Week_Start_Date]])</f>
        <v>2</v>
      </c>
      <c r="CE139" s="9">
        <f t="shared" si="7"/>
        <v>2</v>
      </c>
      <c r="CF139" s="9">
        <v>-144</v>
      </c>
      <c r="CH139" s="4">
        <v>12350</v>
      </c>
      <c r="CI139">
        <f>[1]!Engagement_Summary[[#This Row],[New_Followers]]-[1]!Engagement_Summary[[#This Row],[Unfollows]]</f>
        <v>-37</v>
      </c>
    </row>
    <row r="140" spans="4:87" x14ac:dyDescent="0.25">
      <c r="D140" s="8">
        <v>45677</v>
      </c>
      <c r="E140" s="9" t="s">
        <v>34</v>
      </c>
      <c r="F140" s="9">
        <v>1040</v>
      </c>
      <c r="G140" s="9">
        <v>149</v>
      </c>
      <c r="H140" s="9">
        <v>124404</v>
      </c>
      <c r="I140" s="9">
        <f>YEAR([1]!Engagement_Summary[[#This Row],[Week_Start_Date]])</f>
        <v>2025</v>
      </c>
      <c r="J140" s="9">
        <f>MONTH([1]!Engagement_Summary[[#This Row],[Week_Start_Date]])</f>
        <v>2</v>
      </c>
      <c r="K140" s="9">
        <f t="shared" si="6"/>
        <v>3</v>
      </c>
      <c r="L140" s="9">
        <f t="shared" si="8"/>
        <v>891</v>
      </c>
      <c r="BV140" s="8">
        <v>45677</v>
      </c>
      <c r="BW140" s="9" t="s">
        <v>34</v>
      </c>
      <c r="BX140" s="9">
        <v>1040</v>
      </c>
      <c r="BY140" s="9">
        <v>149</v>
      </c>
      <c r="BZ140" s="9">
        <v>124404</v>
      </c>
      <c r="CA140" s="11">
        <v>5.2300000000000006E-2</v>
      </c>
      <c r="CB140" s="12">
        <v>45380</v>
      </c>
      <c r="CC140" s="9">
        <f>YEAR([1]!Engagement_Summary[[#This Row],[Week_Start_Date]])</f>
        <v>2025</v>
      </c>
      <c r="CD140" s="9">
        <f>MONTH([1]!Engagement_Summary[[#This Row],[Week_Start_Date]])</f>
        <v>2</v>
      </c>
      <c r="CE140" s="9">
        <f t="shared" si="7"/>
        <v>3</v>
      </c>
      <c r="CF140" s="9">
        <v>891</v>
      </c>
      <c r="CH140" s="4">
        <v>45380</v>
      </c>
      <c r="CI140">
        <f>[1]!Engagement_Summary[[#This Row],[New_Followers]]-[1]!Engagement_Summary[[#This Row],[Unfollows]]</f>
        <v>708</v>
      </c>
    </row>
    <row r="141" spans="4:87" x14ac:dyDescent="0.25">
      <c r="D141" s="8">
        <v>45684</v>
      </c>
      <c r="E141" s="9" t="s">
        <v>34</v>
      </c>
      <c r="F141" s="9">
        <v>1501</v>
      </c>
      <c r="G141" s="9">
        <v>75</v>
      </c>
      <c r="H141" s="9">
        <v>262569</v>
      </c>
      <c r="I141" s="9">
        <f>YEAR([1]!Engagement_Summary[[#This Row],[Week_Start_Date]])</f>
        <v>2025</v>
      </c>
      <c r="J141" s="9">
        <f>MONTH([1]!Engagement_Summary[[#This Row],[Week_Start_Date]])</f>
        <v>3</v>
      </c>
      <c r="K141" s="9">
        <f t="shared" si="6"/>
        <v>4</v>
      </c>
      <c r="L141" s="9">
        <f t="shared" si="8"/>
        <v>1426</v>
      </c>
      <c r="BV141" s="8">
        <v>45684</v>
      </c>
      <c r="BW141" s="9" t="s">
        <v>34</v>
      </c>
      <c r="BX141" s="9">
        <v>1501</v>
      </c>
      <c r="BY141" s="9">
        <v>75</v>
      </c>
      <c r="BZ141" s="9">
        <v>262569</v>
      </c>
      <c r="CA141" s="11">
        <v>2.0099999999999996E-2</v>
      </c>
      <c r="CB141" s="12">
        <v>19119</v>
      </c>
      <c r="CC141" s="9">
        <f>YEAR([1]!Engagement_Summary[[#This Row],[Week_Start_Date]])</f>
        <v>2025</v>
      </c>
      <c r="CD141" s="9">
        <f>MONTH([1]!Engagement_Summary[[#This Row],[Week_Start_Date]])</f>
        <v>3</v>
      </c>
      <c r="CE141" s="9">
        <f t="shared" si="7"/>
        <v>4</v>
      </c>
      <c r="CF141" s="9">
        <v>1426</v>
      </c>
      <c r="CH141" s="4">
        <v>19119</v>
      </c>
      <c r="CI141">
        <f>[1]!Engagement_Summary[[#This Row],[New_Followers]]-[1]!Engagement_Summary[[#This Row],[Unfollows]]</f>
        <v>899</v>
      </c>
    </row>
    <row r="142" spans="4:87" x14ac:dyDescent="0.25">
      <c r="D142" s="8">
        <v>45691</v>
      </c>
      <c r="E142" s="9" t="s">
        <v>34</v>
      </c>
      <c r="F142" s="9">
        <v>927</v>
      </c>
      <c r="G142" s="9">
        <v>358</v>
      </c>
      <c r="H142" s="9">
        <v>177554</v>
      </c>
      <c r="I142" s="9">
        <f>YEAR([1]!Engagement_Summary[[#This Row],[Week_Start_Date]])</f>
        <v>2025</v>
      </c>
      <c r="J142" s="9">
        <f>MONTH([1]!Engagement_Summary[[#This Row],[Week_Start_Date]])</f>
        <v>3</v>
      </c>
      <c r="K142" s="9">
        <f t="shared" si="6"/>
        <v>1</v>
      </c>
      <c r="L142" s="9">
        <f t="shared" si="8"/>
        <v>569</v>
      </c>
      <c r="BV142" s="8">
        <v>45691</v>
      </c>
      <c r="BW142" s="9" t="s">
        <v>34</v>
      </c>
      <c r="BX142" s="9">
        <v>927</v>
      </c>
      <c r="BY142" s="9">
        <v>358</v>
      </c>
      <c r="BZ142" s="9">
        <v>177554</v>
      </c>
      <c r="CA142" s="11">
        <v>6.9500000000000006E-2</v>
      </c>
      <c r="CB142" s="12">
        <v>48270</v>
      </c>
      <c r="CC142" s="9">
        <f>YEAR([1]!Engagement_Summary[[#This Row],[Week_Start_Date]])</f>
        <v>2025</v>
      </c>
      <c r="CD142" s="9">
        <f>MONTH([1]!Engagement_Summary[[#This Row],[Week_Start_Date]])</f>
        <v>3</v>
      </c>
      <c r="CE142" s="9">
        <f t="shared" si="7"/>
        <v>1</v>
      </c>
      <c r="CF142" s="9">
        <v>569</v>
      </c>
      <c r="CH142" s="4">
        <v>48270</v>
      </c>
      <c r="CI142">
        <f>[1]!Engagement_Summary[[#This Row],[New_Followers]]-[1]!Engagement_Summary[[#This Row],[Unfollows]]</f>
        <v>1350</v>
      </c>
    </row>
    <row r="143" spans="4:87" x14ac:dyDescent="0.25">
      <c r="D143" s="8">
        <v>45698</v>
      </c>
      <c r="E143" s="9" t="s">
        <v>34</v>
      </c>
      <c r="F143" s="9">
        <v>1587</v>
      </c>
      <c r="G143" s="9">
        <v>385</v>
      </c>
      <c r="H143" s="9">
        <v>126582</v>
      </c>
      <c r="I143" s="9">
        <f>YEAR([1]!Engagement_Summary[[#This Row],[Week_Start_Date]])</f>
        <v>2025</v>
      </c>
      <c r="J143" s="9">
        <f>MONTH([1]!Engagement_Summary[[#This Row],[Week_Start_Date]])</f>
        <v>3</v>
      </c>
      <c r="K143" s="9">
        <f t="shared" si="6"/>
        <v>2</v>
      </c>
      <c r="L143" s="9">
        <f t="shared" si="8"/>
        <v>1202</v>
      </c>
      <c r="BV143" s="8">
        <v>45698</v>
      </c>
      <c r="BW143" s="9" t="s">
        <v>34</v>
      </c>
      <c r="BX143" s="9">
        <v>1587</v>
      </c>
      <c r="BY143" s="9">
        <v>385</v>
      </c>
      <c r="BZ143" s="9">
        <v>126582</v>
      </c>
      <c r="CA143" s="11">
        <v>6.9900000000000004E-2</v>
      </c>
      <c r="CB143" s="12">
        <v>42832</v>
      </c>
      <c r="CC143" s="9">
        <f>YEAR([1]!Engagement_Summary[[#This Row],[Week_Start_Date]])</f>
        <v>2025</v>
      </c>
      <c r="CD143" s="9">
        <f>MONTH([1]!Engagement_Summary[[#This Row],[Week_Start_Date]])</f>
        <v>3</v>
      </c>
      <c r="CE143" s="9">
        <f t="shared" si="7"/>
        <v>2</v>
      </c>
      <c r="CF143" s="9">
        <v>1202</v>
      </c>
      <c r="CH143" s="4">
        <v>42832</v>
      </c>
      <c r="CI143">
        <f>[1]!Engagement_Summary[[#This Row],[New_Followers]]-[1]!Engagement_Summary[[#This Row],[Unfollows]]</f>
        <v>861</v>
      </c>
    </row>
    <row r="144" spans="4:87" x14ac:dyDescent="0.25">
      <c r="D144" s="8">
        <v>45705</v>
      </c>
      <c r="E144" s="9" t="s">
        <v>34</v>
      </c>
      <c r="F144" s="9">
        <v>362</v>
      </c>
      <c r="G144" s="9">
        <v>399</v>
      </c>
      <c r="H144" s="9">
        <v>145608</v>
      </c>
      <c r="I144" s="9">
        <f>YEAR([1]!Engagement_Summary[[#This Row],[Week_Start_Date]])</f>
        <v>2025</v>
      </c>
      <c r="J144" s="9">
        <f>MONTH([1]!Engagement_Summary[[#This Row],[Week_Start_Date]])</f>
        <v>3</v>
      </c>
      <c r="K144" s="9">
        <f t="shared" si="6"/>
        <v>3</v>
      </c>
      <c r="L144" s="9">
        <f t="shared" si="8"/>
        <v>-37</v>
      </c>
      <c r="BV144" s="8">
        <v>45705</v>
      </c>
      <c r="BW144" s="9" t="s">
        <v>34</v>
      </c>
      <c r="BX144" s="9">
        <v>362</v>
      </c>
      <c r="BY144" s="9">
        <v>399</v>
      </c>
      <c r="BZ144" s="9">
        <v>145608</v>
      </c>
      <c r="CA144" s="11">
        <v>7.2999999999999995E-2</v>
      </c>
      <c r="CB144" s="12">
        <v>37636</v>
      </c>
      <c r="CC144" s="9">
        <f>YEAR([1]!Engagement_Summary[[#This Row],[Week_Start_Date]])</f>
        <v>2025</v>
      </c>
      <c r="CD144" s="9">
        <f>MONTH([1]!Engagement_Summary[[#This Row],[Week_Start_Date]])</f>
        <v>3</v>
      </c>
      <c r="CE144" s="9">
        <f t="shared" si="7"/>
        <v>3</v>
      </c>
      <c r="CF144" s="9">
        <v>-37</v>
      </c>
      <c r="CH144" s="4">
        <v>37636</v>
      </c>
      <c r="CI144">
        <f>[1]!Engagement_Summary[[#This Row],[New_Followers]]-[1]!Engagement_Summary[[#This Row],[Unfollows]]</f>
        <v>292</v>
      </c>
    </row>
    <row r="145" spans="4:87" x14ac:dyDescent="0.25">
      <c r="D145" s="8">
        <v>45712</v>
      </c>
      <c r="E145" s="9" t="s">
        <v>34</v>
      </c>
      <c r="F145" s="9">
        <v>861</v>
      </c>
      <c r="G145" s="9">
        <v>153</v>
      </c>
      <c r="H145" s="9">
        <v>317007</v>
      </c>
      <c r="I145" s="9">
        <f>YEAR([1]!Engagement_Summary[[#This Row],[Week_Start_Date]])</f>
        <v>2025</v>
      </c>
      <c r="J145" s="9">
        <f>MONTH([1]!Engagement_Summary[[#This Row],[Week_Start_Date]])</f>
        <v>3</v>
      </c>
      <c r="K145" s="9">
        <f t="shared" si="6"/>
        <v>4</v>
      </c>
      <c r="L145" s="9">
        <f t="shared" si="8"/>
        <v>708</v>
      </c>
      <c r="BV145" s="8">
        <v>45712</v>
      </c>
      <c r="BW145" s="9" t="s">
        <v>34</v>
      </c>
      <c r="BX145" s="9">
        <v>861</v>
      </c>
      <c r="BY145" s="9">
        <v>153</v>
      </c>
      <c r="BZ145" s="9">
        <v>317007</v>
      </c>
      <c r="CA145" s="11">
        <v>3.85E-2</v>
      </c>
      <c r="CB145" s="12">
        <v>8718</v>
      </c>
      <c r="CC145" s="9">
        <f>YEAR([1]!Engagement_Summary[[#This Row],[Week_Start_Date]])</f>
        <v>2025</v>
      </c>
      <c r="CD145" s="9">
        <f>MONTH([1]!Engagement_Summary[[#This Row],[Week_Start_Date]])</f>
        <v>3</v>
      </c>
      <c r="CE145" s="9">
        <f t="shared" si="7"/>
        <v>4</v>
      </c>
      <c r="CF145" s="9">
        <v>708</v>
      </c>
      <c r="CH145" s="4">
        <v>8718</v>
      </c>
      <c r="CI145">
        <f>[1]!Engagement_Summary[[#This Row],[New_Followers]]-[1]!Engagement_Summary[[#This Row],[Unfollows]]</f>
        <v>1676</v>
      </c>
    </row>
    <row r="146" spans="4:87" x14ac:dyDescent="0.25">
      <c r="D146" s="8">
        <v>45719</v>
      </c>
      <c r="E146" s="9" t="s">
        <v>34</v>
      </c>
      <c r="F146" s="9">
        <v>946</v>
      </c>
      <c r="G146" s="9">
        <v>47</v>
      </c>
      <c r="H146" s="9">
        <v>466575</v>
      </c>
      <c r="I146" s="9">
        <f>YEAR([1]!Engagement_Summary[[#This Row],[Week_Start_Date]])</f>
        <v>2025</v>
      </c>
      <c r="J146" s="9">
        <f>MONTH([1]!Engagement_Summary[[#This Row],[Week_Start_Date]])</f>
        <v>4</v>
      </c>
      <c r="K146" s="9">
        <f t="shared" si="6"/>
        <v>1</v>
      </c>
      <c r="L146" s="9">
        <f t="shared" si="8"/>
        <v>899</v>
      </c>
      <c r="BV146" s="8">
        <v>45719</v>
      </c>
      <c r="BW146" s="9" t="s">
        <v>34</v>
      </c>
      <c r="BX146" s="9">
        <v>946</v>
      </c>
      <c r="BY146" s="9">
        <v>47</v>
      </c>
      <c r="BZ146" s="9">
        <v>466575</v>
      </c>
      <c r="CA146" s="11">
        <v>8.3299999999999999E-2</v>
      </c>
      <c r="CB146" s="12">
        <v>10002</v>
      </c>
      <c r="CC146" s="9">
        <f>YEAR([1]!Engagement_Summary[[#This Row],[Week_Start_Date]])</f>
        <v>2025</v>
      </c>
      <c r="CD146" s="9">
        <f>MONTH([1]!Engagement_Summary[[#This Row],[Week_Start_Date]])</f>
        <v>4</v>
      </c>
      <c r="CE146" s="9">
        <f t="shared" si="7"/>
        <v>1</v>
      </c>
      <c r="CF146" s="9">
        <v>899</v>
      </c>
      <c r="CH146" s="4">
        <v>10002</v>
      </c>
      <c r="CI146">
        <f>[1]!Engagement_Summary[[#This Row],[New_Followers]]-[1]!Engagement_Summary[[#This Row],[Unfollows]]</f>
        <v>1007</v>
      </c>
    </row>
    <row r="147" spans="4:87" x14ac:dyDescent="0.25">
      <c r="D147" s="8">
        <v>45726</v>
      </c>
      <c r="E147" s="9" t="s">
        <v>34</v>
      </c>
      <c r="F147" s="9">
        <v>1399</v>
      </c>
      <c r="G147" s="9">
        <v>49</v>
      </c>
      <c r="H147" s="9">
        <v>12471</v>
      </c>
      <c r="I147" s="9">
        <f>YEAR([1]!Engagement_Summary[[#This Row],[Week_Start_Date]])</f>
        <v>2025</v>
      </c>
      <c r="J147" s="9">
        <f>MONTH([1]!Engagement_Summary[[#This Row],[Week_Start_Date]])</f>
        <v>4</v>
      </c>
      <c r="K147" s="9">
        <f t="shared" si="6"/>
        <v>2</v>
      </c>
      <c r="L147" s="9">
        <f t="shared" si="8"/>
        <v>1350</v>
      </c>
      <c r="BV147" s="8">
        <v>45726</v>
      </c>
      <c r="BW147" s="9" t="s">
        <v>34</v>
      </c>
      <c r="BX147" s="9">
        <v>1399</v>
      </c>
      <c r="BY147" s="9">
        <v>49</v>
      </c>
      <c r="BZ147" s="9">
        <v>12471</v>
      </c>
      <c r="CA147" s="11">
        <v>5.1200000000000002E-2</v>
      </c>
      <c r="CB147" s="12">
        <v>14722</v>
      </c>
      <c r="CC147" s="9">
        <f>YEAR([1]!Engagement_Summary[[#This Row],[Week_Start_Date]])</f>
        <v>2025</v>
      </c>
      <c r="CD147" s="9">
        <f>MONTH([1]!Engagement_Summary[[#This Row],[Week_Start_Date]])</f>
        <v>4</v>
      </c>
      <c r="CE147" s="9">
        <f t="shared" si="7"/>
        <v>2</v>
      </c>
      <c r="CF147" s="9">
        <v>1350</v>
      </c>
      <c r="CH147" s="4">
        <v>14722</v>
      </c>
      <c r="CI147">
        <f>[1]!Engagement_Summary[[#This Row],[New_Followers]]-[1]!Engagement_Summary[[#This Row],[Unfollows]]</f>
        <v>53</v>
      </c>
    </row>
    <row r="148" spans="4:87" x14ac:dyDescent="0.25">
      <c r="D148" s="8">
        <v>45733</v>
      </c>
      <c r="E148" s="9" t="s">
        <v>34</v>
      </c>
      <c r="F148" s="9">
        <v>1077</v>
      </c>
      <c r="G148" s="9">
        <v>216</v>
      </c>
      <c r="H148" s="9">
        <v>12447</v>
      </c>
      <c r="I148" s="9">
        <f>YEAR([1]!Engagement_Summary[[#This Row],[Week_Start_Date]])</f>
        <v>2025</v>
      </c>
      <c r="J148" s="9">
        <f>MONTH([1]!Engagement_Summary[[#This Row],[Week_Start_Date]])</f>
        <v>4</v>
      </c>
      <c r="K148" s="9">
        <f t="shared" si="6"/>
        <v>3</v>
      </c>
      <c r="L148" s="9">
        <f t="shared" si="8"/>
        <v>861</v>
      </c>
      <c r="BV148" s="8">
        <v>45733</v>
      </c>
      <c r="BW148" s="9" t="s">
        <v>34</v>
      </c>
      <c r="BX148" s="9">
        <v>1077</v>
      </c>
      <c r="BY148" s="9">
        <v>216</v>
      </c>
      <c r="BZ148" s="9">
        <v>12447</v>
      </c>
      <c r="CA148" s="11">
        <v>1.8000000000000002E-2</v>
      </c>
      <c r="CB148" s="12">
        <v>14068</v>
      </c>
      <c r="CC148" s="9">
        <f>YEAR([1]!Engagement_Summary[[#This Row],[Week_Start_Date]])</f>
        <v>2025</v>
      </c>
      <c r="CD148" s="9">
        <f>MONTH([1]!Engagement_Summary[[#This Row],[Week_Start_Date]])</f>
        <v>4</v>
      </c>
      <c r="CE148" s="9">
        <f t="shared" si="7"/>
        <v>3</v>
      </c>
      <c r="CF148" s="9">
        <v>861</v>
      </c>
      <c r="CH148" s="4">
        <v>14068</v>
      </c>
      <c r="CI148">
        <f>[1]!Engagement_Summary[[#This Row],[New_Followers]]-[1]!Engagement_Summary[[#This Row],[Unfollows]]</f>
        <v>759</v>
      </c>
    </row>
    <row r="149" spans="4:87" x14ac:dyDescent="0.25">
      <c r="D149" s="8">
        <v>45740</v>
      </c>
      <c r="E149" s="9" t="s">
        <v>34</v>
      </c>
      <c r="F149" s="9">
        <v>364</v>
      </c>
      <c r="G149" s="9">
        <v>72</v>
      </c>
      <c r="H149" s="9">
        <v>211090</v>
      </c>
      <c r="I149" s="9">
        <f>YEAR([1]!Engagement_Summary[[#This Row],[Week_Start_Date]])</f>
        <v>2025</v>
      </c>
      <c r="J149" s="9">
        <f>MONTH([1]!Engagement_Summary[[#This Row],[Week_Start_Date]])</f>
        <v>4</v>
      </c>
      <c r="K149" s="9">
        <f t="shared" si="6"/>
        <v>4</v>
      </c>
      <c r="L149" s="9">
        <f t="shared" si="8"/>
        <v>292</v>
      </c>
      <c r="BV149" s="8">
        <v>45740</v>
      </c>
      <c r="BW149" s="9" t="s">
        <v>34</v>
      </c>
      <c r="BX149" s="9">
        <v>364</v>
      </c>
      <c r="BY149" s="9">
        <v>72</v>
      </c>
      <c r="BZ149" s="9">
        <v>211090</v>
      </c>
      <c r="CA149" s="11">
        <v>5.5300000000000002E-2</v>
      </c>
      <c r="CB149" s="12">
        <v>21061</v>
      </c>
      <c r="CC149" s="9">
        <f>YEAR([1]!Engagement_Summary[[#This Row],[Week_Start_Date]])</f>
        <v>2025</v>
      </c>
      <c r="CD149" s="9">
        <f>MONTH([1]!Engagement_Summary[[#This Row],[Week_Start_Date]])</f>
        <v>4</v>
      </c>
      <c r="CE149" s="9">
        <f t="shared" si="7"/>
        <v>4</v>
      </c>
      <c r="CF149" s="9">
        <v>292</v>
      </c>
      <c r="CH149" s="4">
        <v>21061</v>
      </c>
      <c r="CI149">
        <f>[1]!Engagement_Summary[[#This Row],[New_Followers]]-[1]!Engagement_Summary[[#This Row],[Unfollows]]</f>
        <v>948</v>
      </c>
    </row>
    <row r="150" spans="4:87" x14ac:dyDescent="0.25">
      <c r="D150" s="8">
        <v>45747</v>
      </c>
      <c r="E150" s="9" t="s">
        <v>34</v>
      </c>
      <c r="F150" s="9">
        <v>1946</v>
      </c>
      <c r="G150" s="9">
        <v>270</v>
      </c>
      <c r="H150" s="9">
        <v>198350</v>
      </c>
      <c r="I150" s="9">
        <f>YEAR([1]!Engagement_Summary[[#This Row],[Week_Start_Date]])</f>
        <v>2025</v>
      </c>
      <c r="J150" s="9">
        <f>MONTH([1]!Engagement_Summary[[#This Row],[Week_Start_Date]])</f>
        <v>5</v>
      </c>
      <c r="K150" s="9">
        <f t="shared" si="6"/>
        <v>5</v>
      </c>
      <c r="L150" s="9">
        <f t="shared" si="8"/>
        <v>1676</v>
      </c>
      <c r="BV150" s="8">
        <v>45747</v>
      </c>
      <c r="BW150" s="9" t="s">
        <v>34</v>
      </c>
      <c r="BX150" s="9">
        <v>1946</v>
      </c>
      <c r="BY150" s="9">
        <v>270</v>
      </c>
      <c r="BZ150" s="9">
        <v>198350</v>
      </c>
      <c r="CA150" s="11">
        <v>7.4999999999999997E-2</v>
      </c>
      <c r="CB150" s="12">
        <v>11805</v>
      </c>
      <c r="CC150" s="9">
        <f>YEAR([1]!Engagement_Summary[[#This Row],[Week_Start_Date]])</f>
        <v>2025</v>
      </c>
      <c r="CD150" s="9">
        <f>MONTH([1]!Engagement_Summary[[#This Row],[Week_Start_Date]])</f>
        <v>5</v>
      </c>
      <c r="CE150" s="9">
        <f t="shared" si="7"/>
        <v>5</v>
      </c>
      <c r="CF150" s="9">
        <v>1676</v>
      </c>
      <c r="CH150" s="4">
        <v>11805</v>
      </c>
      <c r="CI150">
        <f>[1]!Engagement_Summary[[#This Row],[New_Followers]]-[1]!Engagement_Summary[[#This Row],[Unfollows]]</f>
        <v>1510</v>
      </c>
    </row>
    <row r="151" spans="4:87" x14ac:dyDescent="0.25">
      <c r="D151" s="8">
        <v>45754</v>
      </c>
      <c r="E151" s="9" t="s">
        <v>34</v>
      </c>
      <c r="F151" s="9">
        <v>1432</v>
      </c>
      <c r="G151" s="9">
        <v>425</v>
      </c>
      <c r="H151" s="9">
        <v>29589</v>
      </c>
      <c r="I151" s="9">
        <f>YEAR([1]!Engagement_Summary[[#This Row],[Week_Start_Date]])</f>
        <v>2025</v>
      </c>
      <c r="J151" s="9">
        <f>MONTH([1]!Engagement_Summary[[#This Row],[Week_Start_Date]])</f>
        <v>5</v>
      </c>
      <c r="K151" s="9">
        <f t="shared" si="6"/>
        <v>1</v>
      </c>
      <c r="L151" s="9">
        <f t="shared" si="8"/>
        <v>1007</v>
      </c>
      <c r="BV151" s="8">
        <v>45754</v>
      </c>
      <c r="BW151" s="9" t="s">
        <v>34</v>
      </c>
      <c r="BX151" s="9">
        <v>1432</v>
      </c>
      <c r="BY151" s="9">
        <v>425</v>
      </c>
      <c r="BZ151" s="9">
        <v>29589</v>
      </c>
      <c r="CA151" s="11">
        <v>4.4999999999999998E-2</v>
      </c>
      <c r="CB151" s="12">
        <v>42964</v>
      </c>
      <c r="CC151" s="9">
        <f>YEAR([1]!Engagement_Summary[[#This Row],[Week_Start_Date]])</f>
        <v>2025</v>
      </c>
      <c r="CD151" s="9">
        <f>MONTH([1]!Engagement_Summary[[#This Row],[Week_Start_Date]])</f>
        <v>5</v>
      </c>
      <c r="CE151" s="9">
        <f t="shared" si="7"/>
        <v>1</v>
      </c>
      <c r="CF151" s="9">
        <v>1007</v>
      </c>
      <c r="CH151" s="4">
        <v>42964</v>
      </c>
      <c r="CI151">
        <f>[1]!Engagement_Summary[[#This Row],[New_Followers]]-[1]!Engagement_Summary[[#This Row],[Unfollows]]</f>
        <v>269</v>
      </c>
    </row>
    <row r="152" spans="4:87" x14ac:dyDescent="0.25">
      <c r="D152" s="8">
        <v>45761</v>
      </c>
      <c r="E152" s="9" t="s">
        <v>34</v>
      </c>
      <c r="F152" s="9">
        <v>353</v>
      </c>
      <c r="G152" s="9">
        <v>300</v>
      </c>
      <c r="H152" s="9">
        <v>142507</v>
      </c>
      <c r="I152" s="9">
        <f>YEAR([1]!Engagement_Summary[[#This Row],[Week_Start_Date]])</f>
        <v>2024</v>
      </c>
      <c r="J152" s="9">
        <f>MONTH([1]!Engagement_Summary[[#This Row],[Week_Start_Date]])</f>
        <v>6</v>
      </c>
      <c r="K152" s="9">
        <f t="shared" si="6"/>
        <v>2</v>
      </c>
      <c r="L152" s="9">
        <f t="shared" si="8"/>
        <v>53</v>
      </c>
      <c r="BV152" s="8">
        <v>45761</v>
      </c>
      <c r="BW152" s="9" t="s">
        <v>34</v>
      </c>
      <c r="BX152" s="9">
        <v>353</v>
      </c>
      <c r="BY152" s="9">
        <v>300</v>
      </c>
      <c r="BZ152" s="9">
        <v>142507</v>
      </c>
      <c r="CA152" s="11">
        <v>5.2999999999999999E-2</v>
      </c>
      <c r="CB152" s="12">
        <v>11035</v>
      </c>
      <c r="CC152" s="9">
        <f>YEAR([1]!Engagement_Summary[[#This Row],[Week_Start_Date]])</f>
        <v>2024</v>
      </c>
      <c r="CD152" s="9">
        <f>MONTH([1]!Engagement_Summary[[#This Row],[Week_Start_Date]])</f>
        <v>6</v>
      </c>
      <c r="CE152" s="9">
        <f t="shared" si="7"/>
        <v>2</v>
      </c>
      <c r="CF152" s="9">
        <v>53</v>
      </c>
      <c r="CH152" s="4">
        <v>11035</v>
      </c>
      <c r="CI152">
        <f>[1]!Engagement_Summary[[#This Row],[New_Followers]]-[1]!Engagement_Summary[[#This Row],[Unfollows]]</f>
        <v>1090</v>
      </c>
    </row>
    <row r="153" spans="4:87" x14ac:dyDescent="0.25">
      <c r="D153" s="8">
        <v>45768</v>
      </c>
      <c r="E153" s="9" t="s">
        <v>34</v>
      </c>
      <c r="F153" s="9">
        <v>1147</v>
      </c>
      <c r="G153" s="9">
        <v>388</v>
      </c>
      <c r="H153" s="9">
        <v>333851</v>
      </c>
      <c r="I153" s="9">
        <f>YEAR([1]!Engagement_Summary[[#This Row],[Week_Start_Date]])</f>
        <v>2024</v>
      </c>
      <c r="J153" s="9">
        <f>MONTH([1]!Engagement_Summary[[#This Row],[Week_Start_Date]])</f>
        <v>6</v>
      </c>
      <c r="K153" s="9">
        <f t="shared" si="6"/>
        <v>3</v>
      </c>
      <c r="L153" s="9">
        <f t="shared" si="8"/>
        <v>759</v>
      </c>
      <c r="BV153" s="8">
        <v>45768</v>
      </c>
      <c r="BW153" s="9" t="s">
        <v>34</v>
      </c>
      <c r="BX153" s="9">
        <v>1147</v>
      </c>
      <c r="BY153" s="9">
        <v>388</v>
      </c>
      <c r="BZ153" s="9">
        <v>333851</v>
      </c>
      <c r="CA153" s="11">
        <v>2.4399999999999998E-2</v>
      </c>
      <c r="CB153" s="12">
        <v>8471</v>
      </c>
      <c r="CC153" s="9">
        <f>YEAR([1]!Engagement_Summary[[#This Row],[Week_Start_Date]])</f>
        <v>2024</v>
      </c>
      <c r="CD153" s="9">
        <f>MONTH([1]!Engagement_Summary[[#This Row],[Week_Start_Date]])</f>
        <v>6</v>
      </c>
      <c r="CE153" s="9">
        <f t="shared" si="7"/>
        <v>3</v>
      </c>
      <c r="CF153" s="9">
        <v>759</v>
      </c>
      <c r="CH153" s="4">
        <v>8471</v>
      </c>
      <c r="CI153">
        <f>[1]!Engagement_Summary[[#This Row],[New_Followers]]-[1]!Engagement_Summary[[#This Row],[Unfollows]]</f>
        <v>994</v>
      </c>
    </row>
    <row r="154" spans="4:87" x14ac:dyDescent="0.25">
      <c r="D154" s="8">
        <v>45775</v>
      </c>
      <c r="E154" s="9" t="s">
        <v>34</v>
      </c>
      <c r="F154" s="9">
        <v>1222</v>
      </c>
      <c r="G154" s="9">
        <v>274</v>
      </c>
      <c r="H154" s="9">
        <v>487289</v>
      </c>
      <c r="I154" s="9">
        <f>YEAR([1]!Engagement_Summary[[#This Row],[Week_Start_Date]])</f>
        <v>2024</v>
      </c>
      <c r="J154" s="9">
        <f>MONTH([1]!Engagement_Summary[[#This Row],[Week_Start_Date]])</f>
        <v>6</v>
      </c>
      <c r="K154" s="9">
        <f t="shared" si="6"/>
        <v>4</v>
      </c>
      <c r="L154" s="9">
        <f t="shared" si="8"/>
        <v>948</v>
      </c>
      <c r="BV154" s="8">
        <v>45775</v>
      </c>
      <c r="BW154" s="9" t="s">
        <v>34</v>
      </c>
      <c r="BX154" s="9">
        <v>1222</v>
      </c>
      <c r="BY154" s="9">
        <v>274</v>
      </c>
      <c r="BZ154" s="9">
        <v>487289</v>
      </c>
      <c r="CA154" s="11">
        <v>3.1600000000000003E-2</v>
      </c>
      <c r="CB154" s="12">
        <v>32500</v>
      </c>
      <c r="CC154" s="9">
        <f>YEAR([1]!Engagement_Summary[[#This Row],[Week_Start_Date]])</f>
        <v>2024</v>
      </c>
      <c r="CD154" s="9">
        <f>MONTH([1]!Engagement_Summary[[#This Row],[Week_Start_Date]])</f>
        <v>6</v>
      </c>
      <c r="CE154" s="9">
        <f t="shared" si="7"/>
        <v>4</v>
      </c>
      <c r="CF154" s="9">
        <v>948</v>
      </c>
      <c r="CH154" s="4">
        <v>32500</v>
      </c>
      <c r="CI154">
        <f>[1]!Engagement_Summary[[#This Row],[New_Followers]]-[1]!Engagement_Summary[[#This Row],[Unfollows]]</f>
        <v>337</v>
      </c>
    </row>
    <row r="155" spans="4:87" x14ac:dyDescent="0.25">
      <c r="D155" s="8">
        <v>45782</v>
      </c>
      <c r="E155" s="9" t="s">
        <v>34</v>
      </c>
      <c r="F155" s="9">
        <v>1581</v>
      </c>
      <c r="G155" s="9">
        <v>71</v>
      </c>
      <c r="H155" s="9">
        <v>484364</v>
      </c>
      <c r="I155" s="9">
        <f>YEAR([1]!Engagement_Summary[[#This Row],[Week_Start_Date]])</f>
        <v>2024</v>
      </c>
      <c r="J155" s="9">
        <f>MONTH([1]!Engagement_Summary[[#This Row],[Week_Start_Date]])</f>
        <v>6</v>
      </c>
      <c r="K155" s="9">
        <f t="shared" si="6"/>
        <v>1</v>
      </c>
      <c r="L155" s="9">
        <f t="shared" si="8"/>
        <v>1510</v>
      </c>
      <c r="BV155" s="8">
        <v>45782</v>
      </c>
      <c r="BW155" s="9" t="s">
        <v>34</v>
      </c>
      <c r="BX155" s="9">
        <v>1581</v>
      </c>
      <c r="BY155" s="9">
        <v>71</v>
      </c>
      <c r="BZ155" s="9">
        <v>484364</v>
      </c>
      <c r="CA155" s="11">
        <v>3.5499999999999997E-2</v>
      </c>
      <c r="CB155" s="12">
        <v>16149</v>
      </c>
      <c r="CC155" s="9">
        <f>YEAR([1]!Engagement_Summary[[#This Row],[Week_Start_Date]])</f>
        <v>2024</v>
      </c>
      <c r="CD155" s="9">
        <f>MONTH([1]!Engagement_Summary[[#This Row],[Week_Start_Date]])</f>
        <v>6</v>
      </c>
      <c r="CE155" s="9">
        <f t="shared" si="7"/>
        <v>1</v>
      </c>
      <c r="CF155" s="9">
        <v>1510</v>
      </c>
      <c r="CH155" s="4">
        <v>16149</v>
      </c>
      <c r="CI155">
        <f>[1]!Engagement_Summary[[#This Row],[New_Followers]]-[1]!Engagement_Summary[[#This Row],[Unfollows]]</f>
        <v>-123</v>
      </c>
    </row>
    <row r="156" spans="4:87" x14ac:dyDescent="0.25">
      <c r="D156" s="8">
        <v>45789</v>
      </c>
      <c r="E156" s="9" t="s">
        <v>34</v>
      </c>
      <c r="F156" s="9">
        <v>337</v>
      </c>
      <c r="G156" s="9">
        <v>68</v>
      </c>
      <c r="H156" s="9">
        <v>456298</v>
      </c>
      <c r="I156" s="9">
        <f>YEAR([1]!Engagement_Summary[[#This Row],[Week_Start_Date]])</f>
        <v>2024</v>
      </c>
      <c r="J156" s="9">
        <f>MONTH([1]!Engagement_Summary[[#This Row],[Week_Start_Date]])</f>
        <v>7</v>
      </c>
      <c r="K156" s="9">
        <f t="shared" si="6"/>
        <v>2</v>
      </c>
      <c r="L156" s="9">
        <f t="shared" si="8"/>
        <v>269</v>
      </c>
      <c r="BV156" s="8">
        <v>45789</v>
      </c>
      <c r="BW156" s="9" t="s">
        <v>34</v>
      </c>
      <c r="BX156" s="9">
        <v>337</v>
      </c>
      <c r="BY156" s="9">
        <v>68</v>
      </c>
      <c r="BZ156" s="9">
        <v>456298</v>
      </c>
      <c r="CA156" s="11">
        <v>7.5700000000000003E-2</v>
      </c>
      <c r="CB156" s="12">
        <v>4007</v>
      </c>
      <c r="CC156" s="9">
        <f>YEAR([1]!Engagement_Summary[[#This Row],[Week_Start_Date]])</f>
        <v>2024</v>
      </c>
      <c r="CD156" s="9">
        <f>MONTH([1]!Engagement_Summary[[#This Row],[Week_Start_Date]])</f>
        <v>7</v>
      </c>
      <c r="CE156" s="9">
        <f t="shared" si="7"/>
        <v>2</v>
      </c>
      <c r="CF156" s="9">
        <v>269</v>
      </c>
      <c r="CH156" s="4">
        <v>4007</v>
      </c>
      <c r="CI156">
        <f>[1]!Engagement_Summary[[#This Row],[New_Followers]]-[1]!Engagement_Summary[[#This Row],[Unfollows]]</f>
        <v>91</v>
      </c>
    </row>
    <row r="157" spans="4:87" x14ac:dyDescent="0.25">
      <c r="D157" s="8">
        <v>45446</v>
      </c>
      <c r="E157" s="9" t="s">
        <v>35</v>
      </c>
      <c r="F157" s="9">
        <v>1535</v>
      </c>
      <c r="G157" s="9">
        <v>445</v>
      </c>
      <c r="H157" s="9">
        <v>395536</v>
      </c>
      <c r="I157" s="9">
        <f>YEAR([1]!Engagement_Summary[[#This Row],[Week_Start_Date]])</f>
        <v>2024</v>
      </c>
      <c r="J157" s="9">
        <f>MONTH([1]!Engagement_Summary[[#This Row],[Week_Start_Date]])</f>
        <v>7</v>
      </c>
      <c r="K157" s="9">
        <f t="shared" si="6"/>
        <v>1</v>
      </c>
      <c r="L157" s="9">
        <f t="shared" si="8"/>
        <v>1090</v>
      </c>
      <c r="BV157" s="8">
        <v>45446</v>
      </c>
      <c r="BW157" s="9" t="s">
        <v>35</v>
      </c>
      <c r="BX157" s="9">
        <v>1535</v>
      </c>
      <c r="BY157" s="9">
        <v>445</v>
      </c>
      <c r="BZ157" s="9">
        <v>395536</v>
      </c>
      <c r="CA157" s="11">
        <v>4.1100000000000005E-2</v>
      </c>
      <c r="CB157" s="12">
        <v>30671</v>
      </c>
      <c r="CC157" s="9">
        <f>YEAR([1]!Engagement_Summary[[#This Row],[Week_Start_Date]])</f>
        <v>2024</v>
      </c>
      <c r="CD157" s="9">
        <f>MONTH([1]!Engagement_Summary[[#This Row],[Week_Start_Date]])</f>
        <v>7</v>
      </c>
      <c r="CE157" s="9">
        <f t="shared" si="7"/>
        <v>1</v>
      </c>
      <c r="CF157" s="9">
        <v>1090</v>
      </c>
      <c r="CH157" s="4">
        <v>30671</v>
      </c>
      <c r="CI157">
        <f>[1]!Engagement_Summary[[#This Row],[New_Followers]]-[1]!Engagement_Summary[[#This Row],[Unfollows]]</f>
        <v>514</v>
      </c>
    </row>
    <row r="158" spans="4:87" x14ac:dyDescent="0.25">
      <c r="D158" s="8">
        <v>45453</v>
      </c>
      <c r="E158" s="9" t="s">
        <v>35</v>
      </c>
      <c r="F158" s="9">
        <v>1197</v>
      </c>
      <c r="G158" s="9">
        <v>203</v>
      </c>
      <c r="H158" s="9">
        <v>413878</v>
      </c>
      <c r="I158" s="9">
        <f>YEAR([1]!Engagement_Summary[[#This Row],[Week_Start_Date]])</f>
        <v>2024</v>
      </c>
      <c r="J158" s="9">
        <f>MONTH([1]!Engagement_Summary[[#This Row],[Week_Start_Date]])</f>
        <v>7</v>
      </c>
      <c r="K158" s="9">
        <f t="shared" si="6"/>
        <v>2</v>
      </c>
      <c r="L158" s="9">
        <f t="shared" si="8"/>
        <v>994</v>
      </c>
      <c r="BV158" s="8">
        <v>45453</v>
      </c>
      <c r="BW158" s="9" t="s">
        <v>35</v>
      </c>
      <c r="BX158" s="9">
        <v>1197</v>
      </c>
      <c r="BY158" s="9">
        <v>203</v>
      </c>
      <c r="BZ158" s="9">
        <v>413878</v>
      </c>
      <c r="CA158" s="11">
        <v>3.1600000000000003E-2</v>
      </c>
      <c r="CB158" s="12">
        <v>21205</v>
      </c>
      <c r="CC158" s="9">
        <f>YEAR([1]!Engagement_Summary[[#This Row],[Week_Start_Date]])</f>
        <v>2024</v>
      </c>
      <c r="CD158" s="9">
        <f>MONTH([1]!Engagement_Summary[[#This Row],[Week_Start_Date]])</f>
        <v>7</v>
      </c>
      <c r="CE158" s="9">
        <f t="shared" si="7"/>
        <v>2</v>
      </c>
      <c r="CF158" s="9">
        <v>994</v>
      </c>
      <c r="CH158" s="4">
        <v>21205</v>
      </c>
      <c r="CI158">
        <f>[1]!Engagement_Summary[[#This Row],[New_Followers]]-[1]!Engagement_Summary[[#This Row],[Unfollows]]</f>
        <v>160</v>
      </c>
    </row>
    <row r="159" spans="4:87" x14ac:dyDescent="0.25">
      <c r="D159" s="8">
        <v>45460</v>
      </c>
      <c r="E159" s="9" t="s">
        <v>35</v>
      </c>
      <c r="F159" s="9">
        <v>403</v>
      </c>
      <c r="G159" s="9">
        <v>66</v>
      </c>
      <c r="H159" s="9">
        <v>382851</v>
      </c>
      <c r="I159" s="9">
        <f>YEAR([1]!Engagement_Summary[[#This Row],[Week_Start_Date]])</f>
        <v>2024</v>
      </c>
      <c r="J159" s="9">
        <f>MONTH([1]!Engagement_Summary[[#This Row],[Week_Start_Date]])</f>
        <v>7</v>
      </c>
      <c r="K159" s="9">
        <f t="shared" si="6"/>
        <v>3</v>
      </c>
      <c r="L159" s="9">
        <f t="shared" si="8"/>
        <v>337</v>
      </c>
      <c r="BV159" s="8">
        <v>45460</v>
      </c>
      <c r="BW159" s="9" t="s">
        <v>35</v>
      </c>
      <c r="BX159" s="9">
        <v>403</v>
      </c>
      <c r="BY159" s="9">
        <v>66</v>
      </c>
      <c r="BZ159" s="9">
        <v>382851</v>
      </c>
      <c r="CA159" s="11">
        <v>3.49E-2</v>
      </c>
      <c r="CB159" s="12">
        <v>24313</v>
      </c>
      <c r="CC159" s="9">
        <f>YEAR([1]!Engagement_Summary[[#This Row],[Week_Start_Date]])</f>
        <v>2024</v>
      </c>
      <c r="CD159" s="9">
        <f>MONTH([1]!Engagement_Summary[[#This Row],[Week_Start_Date]])</f>
        <v>7</v>
      </c>
      <c r="CE159" s="9">
        <f t="shared" si="7"/>
        <v>3</v>
      </c>
      <c r="CF159" s="9">
        <v>337</v>
      </c>
      <c r="CH159" s="4">
        <v>24313</v>
      </c>
      <c r="CI159">
        <f>[1]!Engagement_Summary[[#This Row],[New_Followers]]-[1]!Engagement_Summary[[#This Row],[Unfollows]]</f>
        <v>317</v>
      </c>
    </row>
    <row r="160" spans="4:87" x14ac:dyDescent="0.25">
      <c r="D160" s="8">
        <v>45467</v>
      </c>
      <c r="E160" s="9" t="s">
        <v>35</v>
      </c>
      <c r="F160" s="9">
        <v>308</v>
      </c>
      <c r="G160" s="9">
        <v>431</v>
      </c>
      <c r="H160" s="9">
        <v>426184</v>
      </c>
      <c r="I160" s="9">
        <f>YEAR([1]!Engagement_Summary[[#This Row],[Week_Start_Date]])</f>
        <v>2024</v>
      </c>
      <c r="J160" s="9">
        <f>MONTH([1]!Engagement_Summary[[#This Row],[Week_Start_Date]])</f>
        <v>7</v>
      </c>
      <c r="K160" s="9">
        <f t="shared" si="6"/>
        <v>4</v>
      </c>
      <c r="L160" s="9">
        <f t="shared" si="8"/>
        <v>-123</v>
      </c>
      <c r="BV160" s="8">
        <v>45467</v>
      </c>
      <c r="BW160" s="9" t="s">
        <v>35</v>
      </c>
      <c r="BX160" s="9">
        <v>308</v>
      </c>
      <c r="BY160" s="9">
        <v>431</v>
      </c>
      <c r="BZ160" s="9">
        <v>426184</v>
      </c>
      <c r="CA160" s="11">
        <v>2.6200000000000001E-2</v>
      </c>
      <c r="CB160" s="12">
        <v>1783</v>
      </c>
      <c r="CC160" s="9">
        <f>YEAR([1]!Engagement_Summary[[#This Row],[Week_Start_Date]])</f>
        <v>2024</v>
      </c>
      <c r="CD160" s="9">
        <f>MONTH([1]!Engagement_Summary[[#This Row],[Week_Start_Date]])</f>
        <v>7</v>
      </c>
      <c r="CE160" s="9">
        <f t="shared" si="7"/>
        <v>4</v>
      </c>
      <c r="CF160" s="9">
        <v>-123</v>
      </c>
      <c r="CH160" s="4">
        <v>1783</v>
      </c>
      <c r="CI160">
        <f>[1]!Engagement_Summary[[#This Row],[New_Followers]]-[1]!Engagement_Summary[[#This Row],[Unfollows]]</f>
        <v>475</v>
      </c>
    </row>
    <row r="161" spans="4:87" x14ac:dyDescent="0.25">
      <c r="D161" s="8">
        <v>45474</v>
      </c>
      <c r="E161" s="9" t="s">
        <v>35</v>
      </c>
      <c r="F161" s="9">
        <v>144</v>
      </c>
      <c r="G161" s="9">
        <v>53</v>
      </c>
      <c r="H161" s="9">
        <v>113678</v>
      </c>
      <c r="I161" s="9">
        <f>YEAR([1]!Engagement_Summary[[#This Row],[Week_Start_Date]])</f>
        <v>2024</v>
      </c>
      <c r="J161" s="9">
        <f>MONTH([1]!Engagement_Summary[[#This Row],[Week_Start_Date]])</f>
        <v>8</v>
      </c>
      <c r="K161" s="9">
        <f t="shared" si="6"/>
        <v>1</v>
      </c>
      <c r="L161" s="9">
        <f t="shared" si="8"/>
        <v>91</v>
      </c>
      <c r="BV161" s="8">
        <v>45474</v>
      </c>
      <c r="BW161" s="9" t="s">
        <v>35</v>
      </c>
      <c r="BX161" s="9">
        <v>144</v>
      </c>
      <c r="BY161" s="9">
        <v>53</v>
      </c>
      <c r="BZ161" s="9">
        <v>113678</v>
      </c>
      <c r="CA161" s="11">
        <v>8.72E-2</v>
      </c>
      <c r="CB161" s="12">
        <v>30060</v>
      </c>
      <c r="CC161" s="9">
        <f>YEAR([1]!Engagement_Summary[[#This Row],[Week_Start_Date]])</f>
        <v>2024</v>
      </c>
      <c r="CD161" s="9">
        <f>MONTH([1]!Engagement_Summary[[#This Row],[Week_Start_Date]])</f>
        <v>8</v>
      </c>
      <c r="CE161" s="9">
        <f t="shared" si="7"/>
        <v>1</v>
      </c>
      <c r="CF161" s="9">
        <v>91</v>
      </c>
      <c r="CH161" s="4">
        <v>30060</v>
      </c>
      <c r="CI161">
        <f>[1]!Engagement_Summary[[#This Row],[New_Followers]]-[1]!Engagement_Summary[[#This Row],[Unfollows]]</f>
        <v>319</v>
      </c>
    </row>
    <row r="162" spans="4:87" x14ac:dyDescent="0.25">
      <c r="D162" s="8">
        <v>45481</v>
      </c>
      <c r="E162" s="9" t="s">
        <v>35</v>
      </c>
      <c r="F162" s="9">
        <v>883</v>
      </c>
      <c r="G162" s="9">
        <v>369</v>
      </c>
      <c r="H162" s="9">
        <v>233694</v>
      </c>
      <c r="I162" s="9">
        <f>YEAR([1]!Engagement_Summary[[#This Row],[Week_Start_Date]])</f>
        <v>2024</v>
      </c>
      <c r="J162" s="9">
        <f>MONTH([1]!Engagement_Summary[[#This Row],[Week_Start_Date]])</f>
        <v>8</v>
      </c>
      <c r="K162" s="9">
        <f t="shared" si="6"/>
        <v>2</v>
      </c>
      <c r="L162" s="9">
        <f t="shared" si="8"/>
        <v>514</v>
      </c>
      <c r="BV162" s="8">
        <v>45481</v>
      </c>
      <c r="BW162" s="9" t="s">
        <v>35</v>
      </c>
      <c r="BX162" s="9">
        <v>883</v>
      </c>
      <c r="BY162" s="9">
        <v>369</v>
      </c>
      <c r="BZ162" s="9">
        <v>233694</v>
      </c>
      <c r="CA162" s="11">
        <v>2.8799999999999999E-2</v>
      </c>
      <c r="CB162" s="12">
        <v>15071</v>
      </c>
      <c r="CC162" s="9">
        <f>YEAR([1]!Engagement_Summary[[#This Row],[Week_Start_Date]])</f>
        <v>2024</v>
      </c>
      <c r="CD162" s="9">
        <f>MONTH([1]!Engagement_Summary[[#This Row],[Week_Start_Date]])</f>
        <v>8</v>
      </c>
      <c r="CE162" s="9">
        <f t="shared" si="7"/>
        <v>2</v>
      </c>
      <c r="CF162" s="9">
        <v>514</v>
      </c>
      <c r="CH162" s="4">
        <v>15071</v>
      </c>
      <c r="CI162">
        <f>[1]!Engagement_Summary[[#This Row],[New_Followers]]-[1]!Engagement_Summary[[#This Row],[Unfollows]]</f>
        <v>1032</v>
      </c>
    </row>
    <row r="163" spans="4:87" x14ac:dyDescent="0.25">
      <c r="D163" s="8">
        <v>45488</v>
      </c>
      <c r="E163" s="9" t="s">
        <v>35</v>
      </c>
      <c r="F163" s="9">
        <v>224</v>
      </c>
      <c r="G163" s="9">
        <v>64</v>
      </c>
      <c r="H163" s="9">
        <v>156683</v>
      </c>
      <c r="I163" s="9">
        <f>YEAR([1]!Engagement_Summary[[#This Row],[Week_Start_Date]])</f>
        <v>2024</v>
      </c>
      <c r="J163" s="9">
        <f>MONTH([1]!Engagement_Summary[[#This Row],[Week_Start_Date]])</f>
        <v>8</v>
      </c>
      <c r="K163" s="9">
        <f t="shared" si="6"/>
        <v>3</v>
      </c>
      <c r="L163" s="9">
        <f t="shared" si="8"/>
        <v>160</v>
      </c>
      <c r="BV163" s="8">
        <v>45488</v>
      </c>
      <c r="BW163" s="9" t="s">
        <v>35</v>
      </c>
      <c r="BX163" s="9">
        <v>224</v>
      </c>
      <c r="BY163" s="9">
        <v>64</v>
      </c>
      <c r="BZ163" s="9">
        <v>156683</v>
      </c>
      <c r="CA163" s="11">
        <v>4.5599999999999995E-2</v>
      </c>
      <c r="CB163" s="12">
        <v>28474</v>
      </c>
      <c r="CC163" s="9">
        <f>YEAR([1]!Engagement_Summary[[#This Row],[Week_Start_Date]])</f>
        <v>2024</v>
      </c>
      <c r="CD163" s="9">
        <f>MONTH([1]!Engagement_Summary[[#This Row],[Week_Start_Date]])</f>
        <v>8</v>
      </c>
      <c r="CE163" s="9">
        <f t="shared" si="7"/>
        <v>3</v>
      </c>
      <c r="CF163" s="9">
        <v>160</v>
      </c>
      <c r="CH163" s="4">
        <v>28474</v>
      </c>
      <c r="CI163">
        <f>[1]!Engagement_Summary[[#This Row],[New_Followers]]-[1]!Engagement_Summary[[#This Row],[Unfollows]]</f>
        <v>190</v>
      </c>
    </row>
    <row r="164" spans="4:87" x14ac:dyDescent="0.25">
      <c r="D164" s="8">
        <v>45495</v>
      </c>
      <c r="E164" s="9" t="s">
        <v>35</v>
      </c>
      <c r="F164" s="9">
        <v>804</v>
      </c>
      <c r="G164" s="9">
        <v>487</v>
      </c>
      <c r="H164" s="9">
        <v>306564</v>
      </c>
      <c r="I164" s="9">
        <f>YEAR([1]!Engagement_Summary[[#This Row],[Week_Start_Date]])</f>
        <v>2024</v>
      </c>
      <c r="J164" s="9">
        <f>MONTH([1]!Engagement_Summary[[#This Row],[Week_Start_Date]])</f>
        <v>8</v>
      </c>
      <c r="K164" s="9">
        <f t="shared" si="6"/>
        <v>4</v>
      </c>
      <c r="L164" s="9">
        <f t="shared" si="8"/>
        <v>317</v>
      </c>
      <c r="BV164" s="8">
        <v>45495</v>
      </c>
      <c r="BW164" s="9" t="s">
        <v>35</v>
      </c>
      <c r="BX164" s="9">
        <v>804</v>
      </c>
      <c r="BY164" s="9">
        <v>487</v>
      </c>
      <c r="BZ164" s="9">
        <v>306564</v>
      </c>
      <c r="CA164" s="11">
        <v>5.5199999999999999E-2</v>
      </c>
      <c r="CB164" s="12">
        <v>26452</v>
      </c>
      <c r="CC164" s="9">
        <f>YEAR([1]!Engagement_Summary[[#This Row],[Week_Start_Date]])</f>
        <v>2024</v>
      </c>
      <c r="CD164" s="9">
        <f>MONTH([1]!Engagement_Summary[[#This Row],[Week_Start_Date]])</f>
        <v>8</v>
      </c>
      <c r="CE164" s="9">
        <f t="shared" si="7"/>
        <v>4</v>
      </c>
      <c r="CF164" s="9">
        <v>317</v>
      </c>
      <c r="CH164" s="4">
        <v>26452</v>
      </c>
      <c r="CI164">
        <f>[1]!Engagement_Summary[[#This Row],[New_Followers]]-[1]!Engagement_Summary[[#This Row],[Unfollows]]</f>
        <v>28</v>
      </c>
    </row>
    <row r="165" spans="4:87" x14ac:dyDescent="0.25">
      <c r="D165" s="8">
        <v>45502</v>
      </c>
      <c r="E165" s="9" t="s">
        <v>35</v>
      </c>
      <c r="F165" s="9">
        <v>576</v>
      </c>
      <c r="G165" s="9">
        <v>101</v>
      </c>
      <c r="H165" s="9">
        <v>62499</v>
      </c>
      <c r="I165" s="9">
        <f>YEAR([1]!Engagement_Summary[[#This Row],[Week_Start_Date]])</f>
        <v>2024</v>
      </c>
      <c r="J165" s="9">
        <f>MONTH([1]!Engagement_Summary[[#This Row],[Week_Start_Date]])</f>
        <v>9</v>
      </c>
      <c r="K165" s="9">
        <f t="shared" si="6"/>
        <v>5</v>
      </c>
      <c r="L165" s="9">
        <f t="shared" si="8"/>
        <v>475</v>
      </c>
      <c r="BV165" s="8">
        <v>45502</v>
      </c>
      <c r="BW165" s="9" t="s">
        <v>35</v>
      </c>
      <c r="BX165" s="9">
        <v>576</v>
      </c>
      <c r="BY165" s="9">
        <v>101</v>
      </c>
      <c r="BZ165" s="9">
        <v>62499</v>
      </c>
      <c r="CA165" s="11">
        <v>3.4799999999999998E-2</v>
      </c>
      <c r="CB165" s="12">
        <v>16804</v>
      </c>
      <c r="CC165" s="9">
        <f>YEAR([1]!Engagement_Summary[[#This Row],[Week_Start_Date]])</f>
        <v>2024</v>
      </c>
      <c r="CD165" s="9">
        <f>MONTH([1]!Engagement_Summary[[#This Row],[Week_Start_Date]])</f>
        <v>9</v>
      </c>
      <c r="CE165" s="9">
        <f t="shared" si="7"/>
        <v>5</v>
      </c>
      <c r="CF165" s="9">
        <v>475</v>
      </c>
      <c r="CH165" s="4">
        <v>16804</v>
      </c>
      <c r="CI165">
        <f>[1]!Engagement_Summary[[#This Row],[New_Followers]]-[1]!Engagement_Summary[[#This Row],[Unfollows]]</f>
        <v>333</v>
      </c>
    </row>
    <row r="166" spans="4:87" x14ac:dyDescent="0.25">
      <c r="D166" s="8">
        <v>45509</v>
      </c>
      <c r="E166" s="9" t="s">
        <v>35</v>
      </c>
      <c r="F166" s="9">
        <v>460</v>
      </c>
      <c r="G166" s="9">
        <v>141</v>
      </c>
      <c r="H166" s="9">
        <v>320650</v>
      </c>
      <c r="I166" s="9">
        <f>YEAR([1]!Engagement_Summary[[#This Row],[Week_Start_Date]])</f>
        <v>2024</v>
      </c>
      <c r="J166" s="9">
        <f>MONTH([1]!Engagement_Summary[[#This Row],[Week_Start_Date]])</f>
        <v>9</v>
      </c>
      <c r="K166" s="9">
        <f t="shared" si="6"/>
        <v>1</v>
      </c>
      <c r="L166" s="9">
        <f t="shared" si="8"/>
        <v>319</v>
      </c>
      <c r="BV166" s="8">
        <v>45509</v>
      </c>
      <c r="BW166" s="9" t="s">
        <v>35</v>
      </c>
      <c r="BX166" s="9">
        <v>460</v>
      </c>
      <c r="BY166" s="9">
        <v>141</v>
      </c>
      <c r="BZ166" s="9">
        <v>320650</v>
      </c>
      <c r="CA166" s="11">
        <v>4.0399999999999998E-2</v>
      </c>
      <c r="CB166" s="12">
        <v>49372</v>
      </c>
      <c r="CC166" s="9">
        <f>YEAR([1]!Engagement_Summary[[#This Row],[Week_Start_Date]])</f>
        <v>2024</v>
      </c>
      <c r="CD166" s="9">
        <f>MONTH([1]!Engagement_Summary[[#This Row],[Week_Start_Date]])</f>
        <v>9</v>
      </c>
      <c r="CE166" s="9">
        <f t="shared" si="7"/>
        <v>1</v>
      </c>
      <c r="CF166" s="9">
        <v>319</v>
      </c>
      <c r="CH166" s="4">
        <v>49372</v>
      </c>
      <c r="CI166">
        <f>[1]!Engagement_Summary[[#This Row],[New_Followers]]-[1]!Engagement_Summary[[#This Row],[Unfollows]]</f>
        <v>1100</v>
      </c>
    </row>
    <row r="167" spans="4:87" x14ac:dyDescent="0.25">
      <c r="D167" s="8">
        <v>45516</v>
      </c>
      <c r="E167" s="9" t="s">
        <v>35</v>
      </c>
      <c r="F167" s="9">
        <v>1210</v>
      </c>
      <c r="G167" s="9">
        <v>178</v>
      </c>
      <c r="H167" s="9">
        <v>102042</v>
      </c>
      <c r="I167" s="9">
        <f>YEAR([1]!Engagement_Summary[[#This Row],[Week_Start_Date]])</f>
        <v>2024</v>
      </c>
      <c r="J167" s="9">
        <f>MONTH([1]!Engagement_Summary[[#This Row],[Week_Start_Date]])</f>
        <v>9</v>
      </c>
      <c r="K167" s="9">
        <f t="shared" si="6"/>
        <v>2</v>
      </c>
      <c r="L167" s="9">
        <f t="shared" si="8"/>
        <v>1032</v>
      </c>
      <c r="BV167" s="8">
        <v>45516</v>
      </c>
      <c r="BW167" s="9" t="s">
        <v>35</v>
      </c>
      <c r="BX167" s="9">
        <v>1210</v>
      </c>
      <c r="BY167" s="9">
        <v>178</v>
      </c>
      <c r="BZ167" s="9">
        <v>102042</v>
      </c>
      <c r="CA167" s="11">
        <v>5.4199999999999998E-2</v>
      </c>
      <c r="CB167" s="12">
        <v>6915</v>
      </c>
      <c r="CC167" s="9">
        <f>YEAR([1]!Engagement_Summary[[#This Row],[Week_Start_Date]])</f>
        <v>2024</v>
      </c>
      <c r="CD167" s="9">
        <f>MONTH([1]!Engagement_Summary[[#This Row],[Week_Start_Date]])</f>
        <v>9</v>
      </c>
      <c r="CE167" s="9">
        <f t="shared" si="7"/>
        <v>2</v>
      </c>
      <c r="CF167" s="9">
        <v>1032</v>
      </c>
      <c r="CH167" s="4">
        <v>6915</v>
      </c>
      <c r="CI167">
        <f>[1]!Engagement_Summary[[#This Row],[New_Followers]]-[1]!Engagement_Summary[[#This Row],[Unfollows]]</f>
        <v>-32</v>
      </c>
    </row>
    <row r="168" spans="4:87" x14ac:dyDescent="0.25">
      <c r="D168" s="8">
        <v>45523</v>
      </c>
      <c r="E168" s="9" t="s">
        <v>35</v>
      </c>
      <c r="F168" s="9">
        <v>221</v>
      </c>
      <c r="G168" s="9">
        <v>31</v>
      </c>
      <c r="H168" s="9">
        <v>87443</v>
      </c>
      <c r="I168" s="9">
        <f>YEAR([1]!Engagement_Summary[[#This Row],[Week_Start_Date]])</f>
        <v>2024</v>
      </c>
      <c r="J168" s="9">
        <f>MONTH([1]!Engagement_Summary[[#This Row],[Week_Start_Date]])</f>
        <v>9</v>
      </c>
      <c r="K168" s="9">
        <f t="shared" si="6"/>
        <v>3</v>
      </c>
      <c r="L168" s="9">
        <f t="shared" si="8"/>
        <v>190</v>
      </c>
      <c r="BV168" s="8">
        <v>45523</v>
      </c>
      <c r="BW168" s="9" t="s">
        <v>35</v>
      </c>
      <c r="BX168" s="9">
        <v>221</v>
      </c>
      <c r="BY168" s="9">
        <v>31</v>
      </c>
      <c r="BZ168" s="9">
        <v>87443</v>
      </c>
      <c r="CA168" s="11">
        <v>6.1900000000000004E-2</v>
      </c>
      <c r="CB168" s="12">
        <v>10283</v>
      </c>
      <c r="CC168" s="9">
        <f>YEAR([1]!Engagement_Summary[[#This Row],[Week_Start_Date]])</f>
        <v>2024</v>
      </c>
      <c r="CD168" s="9">
        <f>MONTH([1]!Engagement_Summary[[#This Row],[Week_Start_Date]])</f>
        <v>9</v>
      </c>
      <c r="CE168" s="9">
        <f t="shared" si="7"/>
        <v>3</v>
      </c>
      <c r="CF168" s="9">
        <v>190</v>
      </c>
      <c r="CH168" s="4">
        <v>10283</v>
      </c>
      <c r="CI168">
        <f>[1]!Engagement_Summary[[#This Row],[New_Followers]]-[1]!Engagement_Summary[[#This Row],[Unfollows]]</f>
        <v>1006</v>
      </c>
    </row>
    <row r="169" spans="4:87" x14ac:dyDescent="0.25">
      <c r="D169" s="8">
        <v>45530</v>
      </c>
      <c r="E169" s="9" t="s">
        <v>35</v>
      </c>
      <c r="F169" s="9">
        <v>422</v>
      </c>
      <c r="G169" s="9">
        <v>394</v>
      </c>
      <c r="H169" s="9">
        <v>239044</v>
      </c>
      <c r="I169" s="9">
        <f>YEAR([1]!Engagement_Summary[[#This Row],[Week_Start_Date]])</f>
        <v>2024</v>
      </c>
      <c r="J169" s="9">
        <f>MONTH([1]!Engagement_Summary[[#This Row],[Week_Start_Date]])</f>
        <v>9</v>
      </c>
      <c r="K169" s="9">
        <f t="shared" si="6"/>
        <v>4</v>
      </c>
      <c r="L169" s="9">
        <f t="shared" si="8"/>
        <v>28</v>
      </c>
      <c r="BV169" s="8">
        <v>45530</v>
      </c>
      <c r="BW169" s="9" t="s">
        <v>35</v>
      </c>
      <c r="BX169" s="9">
        <v>422</v>
      </c>
      <c r="BY169" s="9">
        <v>394</v>
      </c>
      <c r="BZ169" s="9">
        <v>239044</v>
      </c>
      <c r="CA169" s="11">
        <v>7.8299999999999995E-2</v>
      </c>
      <c r="CB169" s="12">
        <v>32929</v>
      </c>
      <c r="CC169" s="9">
        <f>YEAR([1]!Engagement_Summary[[#This Row],[Week_Start_Date]])</f>
        <v>2024</v>
      </c>
      <c r="CD169" s="9">
        <f>MONTH([1]!Engagement_Summary[[#This Row],[Week_Start_Date]])</f>
        <v>9</v>
      </c>
      <c r="CE169" s="9">
        <f t="shared" si="7"/>
        <v>4</v>
      </c>
      <c r="CF169" s="9">
        <v>28</v>
      </c>
      <c r="CH169" s="4">
        <v>32929</v>
      </c>
      <c r="CI169">
        <f>[1]!Engagement_Summary[[#This Row],[New_Followers]]-[1]!Engagement_Summary[[#This Row],[Unfollows]]</f>
        <v>1706</v>
      </c>
    </row>
    <row r="170" spans="4:87" x14ac:dyDescent="0.25">
      <c r="D170" s="8">
        <v>45537</v>
      </c>
      <c r="E170" s="9" t="s">
        <v>35</v>
      </c>
      <c r="F170" s="9">
        <v>728</v>
      </c>
      <c r="G170" s="9">
        <v>395</v>
      </c>
      <c r="H170" s="9">
        <v>370971</v>
      </c>
      <c r="I170" s="9">
        <f>YEAR([1]!Engagement_Summary[[#This Row],[Week_Start_Date]])</f>
        <v>2024</v>
      </c>
      <c r="J170" s="9">
        <f>MONTH([1]!Engagement_Summary[[#This Row],[Week_Start_Date]])</f>
        <v>10</v>
      </c>
      <c r="K170" s="9">
        <f t="shared" si="6"/>
        <v>1</v>
      </c>
      <c r="L170" s="9">
        <f t="shared" si="8"/>
        <v>333</v>
      </c>
      <c r="BV170" s="8">
        <v>45537</v>
      </c>
      <c r="BW170" s="9" t="s">
        <v>35</v>
      </c>
      <c r="BX170" s="9">
        <v>728</v>
      </c>
      <c r="BY170" s="9">
        <v>395</v>
      </c>
      <c r="BZ170" s="9">
        <v>370971</v>
      </c>
      <c r="CA170" s="11">
        <v>3.8599999999999995E-2</v>
      </c>
      <c r="CB170" s="12">
        <v>12646</v>
      </c>
      <c r="CC170" s="9">
        <f>YEAR([1]!Engagement_Summary[[#This Row],[Week_Start_Date]])</f>
        <v>2024</v>
      </c>
      <c r="CD170" s="9">
        <f>MONTH([1]!Engagement_Summary[[#This Row],[Week_Start_Date]])</f>
        <v>10</v>
      </c>
      <c r="CE170" s="9">
        <f t="shared" si="7"/>
        <v>1</v>
      </c>
      <c r="CF170" s="9">
        <v>333</v>
      </c>
      <c r="CH170" s="4">
        <v>12646</v>
      </c>
      <c r="CI170">
        <f>[1]!Engagement_Summary[[#This Row],[New_Followers]]-[1]!Engagement_Summary[[#This Row],[Unfollows]]</f>
        <v>118</v>
      </c>
    </row>
    <row r="171" spans="4:87" x14ac:dyDescent="0.25">
      <c r="D171" s="8">
        <v>45544</v>
      </c>
      <c r="E171" s="9" t="s">
        <v>35</v>
      </c>
      <c r="F171" s="9">
        <v>1409</v>
      </c>
      <c r="G171" s="9">
        <v>309</v>
      </c>
      <c r="H171" s="9">
        <v>64583</v>
      </c>
      <c r="I171" s="9">
        <f>YEAR([1]!Engagement_Summary[[#This Row],[Week_Start_Date]])</f>
        <v>2024</v>
      </c>
      <c r="J171" s="9">
        <f>MONTH([1]!Engagement_Summary[[#This Row],[Week_Start_Date]])</f>
        <v>10</v>
      </c>
      <c r="K171" s="9">
        <f t="shared" si="6"/>
        <v>2</v>
      </c>
      <c r="L171" s="9">
        <f t="shared" si="8"/>
        <v>1100</v>
      </c>
      <c r="BV171" s="8">
        <v>45544</v>
      </c>
      <c r="BW171" s="9" t="s">
        <v>35</v>
      </c>
      <c r="BX171" s="9">
        <v>1409</v>
      </c>
      <c r="BY171" s="9">
        <v>309</v>
      </c>
      <c r="BZ171" s="9">
        <v>64583</v>
      </c>
      <c r="CA171" s="11">
        <v>8.9900000000000008E-2</v>
      </c>
      <c r="CB171" s="12">
        <v>10217</v>
      </c>
      <c r="CC171" s="9">
        <f>YEAR([1]!Engagement_Summary[[#This Row],[Week_Start_Date]])</f>
        <v>2024</v>
      </c>
      <c r="CD171" s="9">
        <f>MONTH([1]!Engagement_Summary[[#This Row],[Week_Start_Date]])</f>
        <v>10</v>
      </c>
      <c r="CE171" s="9">
        <f t="shared" si="7"/>
        <v>2</v>
      </c>
      <c r="CF171" s="9">
        <v>1100</v>
      </c>
      <c r="CH171" s="4">
        <v>10217</v>
      </c>
      <c r="CI171">
        <f>[1]!Engagement_Summary[[#This Row],[New_Followers]]-[1]!Engagement_Summary[[#This Row],[Unfollows]]</f>
        <v>367</v>
      </c>
    </row>
    <row r="172" spans="4:87" x14ac:dyDescent="0.25">
      <c r="D172" s="8">
        <v>45551</v>
      </c>
      <c r="E172" s="9" t="s">
        <v>35</v>
      </c>
      <c r="F172" s="9">
        <v>123</v>
      </c>
      <c r="G172" s="9">
        <v>155</v>
      </c>
      <c r="H172" s="9">
        <v>119934</v>
      </c>
      <c r="I172" s="9">
        <f>YEAR([1]!Engagement_Summary[[#This Row],[Week_Start_Date]])</f>
        <v>2024</v>
      </c>
      <c r="J172" s="9">
        <f>MONTH([1]!Engagement_Summary[[#This Row],[Week_Start_Date]])</f>
        <v>10</v>
      </c>
      <c r="K172" s="9">
        <f t="shared" si="6"/>
        <v>3</v>
      </c>
      <c r="L172" s="9">
        <f t="shared" si="8"/>
        <v>-32</v>
      </c>
      <c r="BV172" s="8">
        <v>45551</v>
      </c>
      <c r="BW172" s="9" t="s">
        <v>35</v>
      </c>
      <c r="BX172" s="9">
        <v>123</v>
      </c>
      <c r="BY172" s="9">
        <v>155</v>
      </c>
      <c r="BZ172" s="9">
        <v>119934</v>
      </c>
      <c r="CA172" s="11">
        <v>3.5000000000000003E-2</v>
      </c>
      <c r="CB172" s="12">
        <v>5442</v>
      </c>
      <c r="CC172" s="9">
        <f>YEAR([1]!Engagement_Summary[[#This Row],[Week_Start_Date]])</f>
        <v>2024</v>
      </c>
      <c r="CD172" s="9">
        <f>MONTH([1]!Engagement_Summary[[#This Row],[Week_Start_Date]])</f>
        <v>10</v>
      </c>
      <c r="CE172" s="9">
        <f t="shared" si="7"/>
        <v>3</v>
      </c>
      <c r="CF172" s="9">
        <v>-32</v>
      </c>
      <c r="CH172" s="4">
        <v>5442</v>
      </c>
      <c r="CI172">
        <f>[1]!Engagement_Summary[[#This Row],[New_Followers]]-[1]!Engagement_Summary[[#This Row],[Unfollows]]</f>
        <v>1484</v>
      </c>
    </row>
    <row r="173" spans="4:87" x14ac:dyDescent="0.25">
      <c r="D173" s="8">
        <v>45558</v>
      </c>
      <c r="E173" s="9" t="s">
        <v>35</v>
      </c>
      <c r="F173" s="9">
        <v>1218</v>
      </c>
      <c r="G173" s="9">
        <v>212</v>
      </c>
      <c r="H173" s="9">
        <v>63177</v>
      </c>
      <c r="I173" s="9">
        <f>YEAR([1]!Engagement_Summary[[#This Row],[Week_Start_Date]])</f>
        <v>2024</v>
      </c>
      <c r="J173" s="9">
        <f>MONTH([1]!Engagement_Summary[[#This Row],[Week_Start_Date]])</f>
        <v>10</v>
      </c>
      <c r="K173" s="9">
        <f t="shared" si="6"/>
        <v>4</v>
      </c>
      <c r="L173" s="9">
        <f t="shared" si="8"/>
        <v>1006</v>
      </c>
      <c r="BV173" s="8">
        <v>45558</v>
      </c>
      <c r="BW173" s="9" t="s">
        <v>35</v>
      </c>
      <c r="BX173" s="9">
        <v>1218</v>
      </c>
      <c r="BY173" s="9">
        <v>212</v>
      </c>
      <c r="BZ173" s="9">
        <v>63177</v>
      </c>
      <c r="CA173" s="11">
        <v>8.1300000000000011E-2</v>
      </c>
      <c r="CB173" s="12">
        <v>38883</v>
      </c>
      <c r="CC173" s="9">
        <f>YEAR([1]!Engagement_Summary[[#This Row],[Week_Start_Date]])</f>
        <v>2024</v>
      </c>
      <c r="CD173" s="9">
        <f>MONTH([1]!Engagement_Summary[[#This Row],[Week_Start_Date]])</f>
        <v>10</v>
      </c>
      <c r="CE173" s="9">
        <f t="shared" si="7"/>
        <v>4</v>
      </c>
      <c r="CF173" s="9">
        <v>1006</v>
      </c>
      <c r="CH173" s="4">
        <v>38883</v>
      </c>
      <c r="CI173">
        <f>[1]!Engagement_Summary[[#This Row],[New_Followers]]-[1]!Engagement_Summary[[#This Row],[Unfollows]]</f>
        <v>1657</v>
      </c>
    </row>
    <row r="174" spans="4:87" x14ac:dyDescent="0.25">
      <c r="D174" s="8">
        <v>45565</v>
      </c>
      <c r="E174" s="9" t="s">
        <v>35</v>
      </c>
      <c r="F174" s="9">
        <v>1918</v>
      </c>
      <c r="G174" s="9">
        <v>212</v>
      </c>
      <c r="H174" s="9">
        <v>94360</v>
      </c>
      <c r="I174" s="9">
        <f>YEAR([1]!Engagement_Summary[[#This Row],[Week_Start_Date]])</f>
        <v>2024</v>
      </c>
      <c r="J174" s="9">
        <f>MONTH([1]!Engagement_Summary[[#This Row],[Week_Start_Date]])</f>
        <v>11</v>
      </c>
      <c r="K174" s="9">
        <f t="shared" si="6"/>
        <v>5</v>
      </c>
      <c r="L174" s="9">
        <f t="shared" si="8"/>
        <v>1706</v>
      </c>
      <c r="BV174" s="8">
        <v>45565</v>
      </c>
      <c r="BW174" s="9" t="s">
        <v>35</v>
      </c>
      <c r="BX174" s="9">
        <v>1918</v>
      </c>
      <c r="BY174" s="9">
        <v>212</v>
      </c>
      <c r="BZ174" s="9">
        <v>94360</v>
      </c>
      <c r="CA174" s="11">
        <v>7.3599999999999999E-2</v>
      </c>
      <c r="CB174" s="12">
        <v>36851</v>
      </c>
      <c r="CC174" s="9">
        <f>YEAR([1]!Engagement_Summary[[#This Row],[Week_Start_Date]])</f>
        <v>2024</v>
      </c>
      <c r="CD174" s="9">
        <f>MONTH([1]!Engagement_Summary[[#This Row],[Week_Start_Date]])</f>
        <v>11</v>
      </c>
      <c r="CE174" s="9">
        <f t="shared" si="7"/>
        <v>5</v>
      </c>
      <c r="CF174" s="9">
        <v>1706</v>
      </c>
      <c r="CH174" s="4">
        <v>36851</v>
      </c>
      <c r="CI174">
        <f>[1]!Engagement_Summary[[#This Row],[New_Followers]]-[1]!Engagement_Summary[[#This Row],[Unfollows]]</f>
        <v>1044</v>
      </c>
    </row>
    <row r="175" spans="4:87" x14ac:dyDescent="0.25">
      <c r="D175" s="8">
        <v>45572</v>
      </c>
      <c r="E175" s="9" t="s">
        <v>35</v>
      </c>
      <c r="F175" s="9">
        <v>307</v>
      </c>
      <c r="G175" s="9">
        <v>189</v>
      </c>
      <c r="H175" s="9">
        <v>117767</v>
      </c>
      <c r="I175" s="9">
        <f>YEAR([1]!Engagement_Summary[[#This Row],[Week_Start_Date]])</f>
        <v>2024</v>
      </c>
      <c r="J175" s="9">
        <f>MONTH([1]!Engagement_Summary[[#This Row],[Week_Start_Date]])</f>
        <v>11</v>
      </c>
      <c r="K175" s="9">
        <f t="shared" si="6"/>
        <v>1</v>
      </c>
      <c r="L175" s="9">
        <f t="shared" si="8"/>
        <v>118</v>
      </c>
      <c r="BV175" s="8">
        <v>45572</v>
      </c>
      <c r="BW175" s="9" t="s">
        <v>35</v>
      </c>
      <c r="BX175" s="9">
        <v>307</v>
      </c>
      <c r="BY175" s="9">
        <v>189</v>
      </c>
      <c r="BZ175" s="9">
        <v>117767</v>
      </c>
      <c r="CA175" s="11">
        <v>9.3000000000000013E-2</v>
      </c>
      <c r="CB175" s="12">
        <v>27822</v>
      </c>
      <c r="CC175" s="9">
        <f>YEAR([1]!Engagement_Summary[[#This Row],[Week_Start_Date]])</f>
        <v>2024</v>
      </c>
      <c r="CD175" s="9">
        <f>MONTH([1]!Engagement_Summary[[#This Row],[Week_Start_Date]])</f>
        <v>11</v>
      </c>
      <c r="CE175" s="9">
        <f t="shared" si="7"/>
        <v>1</v>
      </c>
      <c r="CF175" s="9">
        <v>118</v>
      </c>
      <c r="CH175" s="4">
        <v>27822</v>
      </c>
      <c r="CI175">
        <f>[1]!Engagement_Summary[[#This Row],[New_Followers]]-[1]!Engagement_Summary[[#This Row],[Unfollows]]</f>
        <v>349</v>
      </c>
    </row>
    <row r="176" spans="4:87" x14ac:dyDescent="0.25">
      <c r="D176" s="8">
        <v>45579</v>
      </c>
      <c r="E176" s="9" t="s">
        <v>35</v>
      </c>
      <c r="F176" s="9">
        <v>414</v>
      </c>
      <c r="G176" s="9">
        <v>47</v>
      </c>
      <c r="H176" s="9">
        <v>199178</v>
      </c>
      <c r="I176" s="9">
        <f>YEAR([1]!Engagement_Summary[[#This Row],[Week_Start_Date]])</f>
        <v>2024</v>
      </c>
      <c r="J176" s="9">
        <f>MONTH([1]!Engagement_Summary[[#This Row],[Week_Start_Date]])</f>
        <v>11</v>
      </c>
      <c r="K176" s="9">
        <f t="shared" si="6"/>
        <v>2</v>
      </c>
      <c r="L176" s="9">
        <f t="shared" si="8"/>
        <v>367</v>
      </c>
      <c r="BV176" s="8">
        <v>45579</v>
      </c>
      <c r="BW176" s="9" t="s">
        <v>35</v>
      </c>
      <c r="BX176" s="9">
        <v>414</v>
      </c>
      <c r="BY176" s="9">
        <v>47</v>
      </c>
      <c r="BZ176" s="9">
        <v>199178</v>
      </c>
      <c r="CA176" s="11">
        <v>1.5300000000000001E-2</v>
      </c>
      <c r="CB176" s="12">
        <v>6742</v>
      </c>
      <c r="CC176" s="9">
        <f>YEAR([1]!Engagement_Summary[[#This Row],[Week_Start_Date]])</f>
        <v>2024</v>
      </c>
      <c r="CD176" s="9">
        <f>MONTH([1]!Engagement_Summary[[#This Row],[Week_Start_Date]])</f>
        <v>11</v>
      </c>
      <c r="CE176" s="9">
        <f t="shared" si="7"/>
        <v>2</v>
      </c>
      <c r="CF176" s="9">
        <v>367</v>
      </c>
      <c r="CH176" s="4">
        <v>6742</v>
      </c>
      <c r="CI176">
        <f>[1]!Engagement_Summary[[#This Row],[New_Followers]]-[1]!Engagement_Summary[[#This Row],[Unfollows]]</f>
        <v>60</v>
      </c>
    </row>
    <row r="177" spans="4:87" x14ac:dyDescent="0.25">
      <c r="D177" s="8">
        <v>45586</v>
      </c>
      <c r="E177" s="9" t="s">
        <v>35</v>
      </c>
      <c r="F177" s="9">
        <v>1707</v>
      </c>
      <c r="G177" s="9">
        <v>223</v>
      </c>
      <c r="H177" s="9">
        <v>256910</v>
      </c>
      <c r="I177" s="9">
        <f>YEAR([1]!Engagement_Summary[[#This Row],[Week_Start_Date]])</f>
        <v>2024</v>
      </c>
      <c r="J177" s="9">
        <f>MONTH([1]!Engagement_Summary[[#This Row],[Week_Start_Date]])</f>
        <v>11</v>
      </c>
      <c r="K177" s="9">
        <f t="shared" si="6"/>
        <v>3</v>
      </c>
      <c r="L177" s="9">
        <f t="shared" si="8"/>
        <v>1484</v>
      </c>
      <c r="BV177" s="8">
        <v>45586</v>
      </c>
      <c r="BW177" s="9" t="s">
        <v>35</v>
      </c>
      <c r="BX177" s="9">
        <v>1707</v>
      </c>
      <c r="BY177" s="9">
        <v>223</v>
      </c>
      <c r="BZ177" s="9">
        <v>256910</v>
      </c>
      <c r="CA177" s="11">
        <v>5.4100000000000002E-2</v>
      </c>
      <c r="CB177" s="12">
        <v>44321</v>
      </c>
      <c r="CC177" s="9">
        <f>YEAR([1]!Engagement_Summary[[#This Row],[Week_Start_Date]])</f>
        <v>2024</v>
      </c>
      <c r="CD177" s="9">
        <f>MONTH([1]!Engagement_Summary[[#This Row],[Week_Start_Date]])</f>
        <v>11</v>
      </c>
      <c r="CE177" s="9">
        <f t="shared" si="7"/>
        <v>3</v>
      </c>
      <c r="CF177" s="9">
        <v>1484</v>
      </c>
      <c r="CH177" s="4">
        <v>44321</v>
      </c>
      <c r="CI177">
        <f>[1]!Engagement_Summary[[#This Row],[New_Followers]]-[1]!Engagement_Summary[[#This Row],[Unfollows]]</f>
        <v>885</v>
      </c>
    </row>
    <row r="178" spans="4:87" x14ac:dyDescent="0.25">
      <c r="D178" s="8">
        <v>45593</v>
      </c>
      <c r="E178" s="9" t="s">
        <v>35</v>
      </c>
      <c r="F178" s="9">
        <v>1814</v>
      </c>
      <c r="G178" s="9">
        <v>157</v>
      </c>
      <c r="H178" s="9">
        <v>305827</v>
      </c>
      <c r="I178" s="9">
        <f>YEAR([1]!Engagement_Summary[[#This Row],[Week_Start_Date]])</f>
        <v>2024</v>
      </c>
      <c r="J178" s="9">
        <f>MONTH([1]!Engagement_Summary[[#This Row],[Week_Start_Date]])</f>
        <v>12</v>
      </c>
      <c r="K178" s="9">
        <f t="shared" si="6"/>
        <v>4</v>
      </c>
      <c r="L178" s="9">
        <f t="shared" si="8"/>
        <v>1657</v>
      </c>
      <c r="BV178" s="8">
        <v>45593</v>
      </c>
      <c r="BW178" s="9" t="s">
        <v>35</v>
      </c>
      <c r="BX178" s="9">
        <v>1814</v>
      </c>
      <c r="BY178" s="9">
        <v>157</v>
      </c>
      <c r="BZ178" s="9">
        <v>305827</v>
      </c>
      <c r="CA178" s="11">
        <v>1.9900000000000001E-2</v>
      </c>
      <c r="CB178" s="12">
        <v>46643</v>
      </c>
      <c r="CC178" s="9">
        <f>YEAR([1]!Engagement_Summary[[#This Row],[Week_Start_Date]])</f>
        <v>2024</v>
      </c>
      <c r="CD178" s="9">
        <f>MONTH([1]!Engagement_Summary[[#This Row],[Week_Start_Date]])</f>
        <v>12</v>
      </c>
      <c r="CE178" s="9">
        <f t="shared" si="7"/>
        <v>4</v>
      </c>
      <c r="CF178" s="9">
        <v>1657</v>
      </c>
      <c r="CH178" s="4">
        <v>46643</v>
      </c>
      <c r="CI178">
        <f>[1]!Engagement_Summary[[#This Row],[New_Followers]]-[1]!Engagement_Summary[[#This Row],[Unfollows]]</f>
        <v>291</v>
      </c>
    </row>
    <row r="179" spans="4:87" x14ac:dyDescent="0.25">
      <c r="D179" s="8">
        <v>45600</v>
      </c>
      <c r="E179" s="9" t="s">
        <v>35</v>
      </c>
      <c r="F179" s="9">
        <v>1507</v>
      </c>
      <c r="G179" s="9">
        <v>463</v>
      </c>
      <c r="H179" s="9">
        <v>258944</v>
      </c>
      <c r="I179" s="9">
        <f>YEAR([1]!Engagement_Summary[[#This Row],[Week_Start_Date]])</f>
        <v>2024</v>
      </c>
      <c r="J179" s="9">
        <f>MONTH([1]!Engagement_Summary[[#This Row],[Week_Start_Date]])</f>
        <v>12</v>
      </c>
      <c r="K179" s="9">
        <f t="shared" si="6"/>
        <v>1</v>
      </c>
      <c r="L179" s="9">
        <f t="shared" si="8"/>
        <v>1044</v>
      </c>
      <c r="BV179" s="8">
        <v>45600</v>
      </c>
      <c r="BW179" s="9" t="s">
        <v>35</v>
      </c>
      <c r="BX179" s="9">
        <v>1507</v>
      </c>
      <c r="BY179" s="9">
        <v>463</v>
      </c>
      <c r="BZ179" s="9">
        <v>258944</v>
      </c>
      <c r="CA179" s="11">
        <v>6.08E-2</v>
      </c>
      <c r="CB179" s="12">
        <v>16443</v>
      </c>
      <c r="CC179" s="9">
        <f>YEAR([1]!Engagement_Summary[[#This Row],[Week_Start_Date]])</f>
        <v>2024</v>
      </c>
      <c r="CD179" s="9">
        <f>MONTH([1]!Engagement_Summary[[#This Row],[Week_Start_Date]])</f>
        <v>12</v>
      </c>
      <c r="CE179" s="9">
        <f t="shared" si="7"/>
        <v>1</v>
      </c>
      <c r="CF179" s="9">
        <v>1044</v>
      </c>
      <c r="CH179" s="4">
        <v>16443</v>
      </c>
      <c r="CI179">
        <f>[1]!Engagement_Summary[[#This Row],[New_Followers]]-[1]!Engagement_Summary[[#This Row],[Unfollows]]</f>
        <v>573</v>
      </c>
    </row>
    <row r="180" spans="4:87" x14ac:dyDescent="0.25">
      <c r="D180" s="8">
        <v>45607</v>
      </c>
      <c r="E180" s="9" t="s">
        <v>35</v>
      </c>
      <c r="F180" s="9">
        <v>454</v>
      </c>
      <c r="G180" s="9">
        <v>105</v>
      </c>
      <c r="H180" s="9">
        <v>121091</v>
      </c>
      <c r="I180" s="9">
        <f>YEAR([1]!Engagement_Summary[[#This Row],[Week_Start_Date]])</f>
        <v>2024</v>
      </c>
      <c r="J180" s="9">
        <f>MONTH([1]!Engagement_Summary[[#This Row],[Week_Start_Date]])</f>
        <v>12</v>
      </c>
      <c r="K180" s="9">
        <f t="shared" si="6"/>
        <v>2</v>
      </c>
      <c r="L180" s="9">
        <f t="shared" si="8"/>
        <v>349</v>
      </c>
      <c r="BV180" s="8">
        <v>45607</v>
      </c>
      <c r="BW180" s="9" t="s">
        <v>35</v>
      </c>
      <c r="BX180" s="9">
        <v>454</v>
      </c>
      <c r="BY180" s="9">
        <v>105</v>
      </c>
      <c r="BZ180" s="9">
        <v>121091</v>
      </c>
      <c r="CA180" s="11">
        <v>7.9699999999999993E-2</v>
      </c>
      <c r="CB180" s="12">
        <v>9269</v>
      </c>
      <c r="CC180" s="9">
        <f>YEAR([1]!Engagement_Summary[[#This Row],[Week_Start_Date]])</f>
        <v>2024</v>
      </c>
      <c r="CD180" s="9">
        <f>MONTH([1]!Engagement_Summary[[#This Row],[Week_Start_Date]])</f>
        <v>12</v>
      </c>
      <c r="CE180" s="9">
        <f t="shared" si="7"/>
        <v>2</v>
      </c>
      <c r="CF180" s="9">
        <v>349</v>
      </c>
      <c r="CH180" s="4">
        <v>9269</v>
      </c>
      <c r="CI180">
        <f>[1]!Engagement_Summary[[#This Row],[New_Followers]]-[1]!Engagement_Summary[[#This Row],[Unfollows]]</f>
        <v>876</v>
      </c>
    </row>
    <row r="181" spans="4:87" x14ac:dyDescent="0.25">
      <c r="D181" s="8">
        <v>45614</v>
      </c>
      <c r="E181" s="9" t="s">
        <v>35</v>
      </c>
      <c r="F181" s="9">
        <v>278</v>
      </c>
      <c r="G181" s="9">
        <v>218</v>
      </c>
      <c r="H181" s="9">
        <v>301695</v>
      </c>
      <c r="I181" s="9">
        <f>YEAR([1]!Engagement_Summary[[#This Row],[Week_Start_Date]])</f>
        <v>2024</v>
      </c>
      <c r="J181" s="9">
        <f>MONTH([1]!Engagement_Summary[[#This Row],[Week_Start_Date]])</f>
        <v>12</v>
      </c>
      <c r="K181" s="9">
        <f t="shared" si="6"/>
        <v>3</v>
      </c>
      <c r="L181" s="9">
        <f t="shared" si="8"/>
        <v>60</v>
      </c>
      <c r="BV181" s="8">
        <v>45614</v>
      </c>
      <c r="BW181" s="9" t="s">
        <v>35</v>
      </c>
      <c r="BX181" s="9">
        <v>278</v>
      </c>
      <c r="BY181" s="9">
        <v>218</v>
      </c>
      <c r="BZ181" s="9">
        <v>301695</v>
      </c>
      <c r="CA181" s="11">
        <v>4.6799999999999994E-2</v>
      </c>
      <c r="CB181" s="12">
        <v>22373</v>
      </c>
      <c r="CC181" s="9">
        <f>YEAR([1]!Engagement_Summary[[#This Row],[Week_Start_Date]])</f>
        <v>2024</v>
      </c>
      <c r="CD181" s="9">
        <f>MONTH([1]!Engagement_Summary[[#This Row],[Week_Start_Date]])</f>
        <v>12</v>
      </c>
      <c r="CE181" s="9">
        <f t="shared" si="7"/>
        <v>3</v>
      </c>
      <c r="CF181" s="9">
        <v>60</v>
      </c>
      <c r="CH181" s="4">
        <v>22373</v>
      </c>
      <c r="CI181">
        <f>[1]!Engagement_Summary[[#This Row],[New_Followers]]-[1]!Engagement_Summary[[#This Row],[Unfollows]]</f>
        <v>1589</v>
      </c>
    </row>
    <row r="182" spans="4:87" x14ac:dyDescent="0.25">
      <c r="D182" s="8">
        <v>45621</v>
      </c>
      <c r="E182" s="9" t="s">
        <v>35</v>
      </c>
      <c r="F182" s="9">
        <v>1293</v>
      </c>
      <c r="G182" s="9">
        <v>408</v>
      </c>
      <c r="H182" s="9">
        <v>62535</v>
      </c>
      <c r="I182" s="9">
        <f>YEAR([1]!Engagement_Summary[[#This Row],[Week_Start_Date]])</f>
        <v>2024</v>
      </c>
      <c r="J182" s="9">
        <f>MONTH([1]!Engagement_Summary[[#This Row],[Week_Start_Date]])</f>
        <v>12</v>
      </c>
      <c r="K182" s="9">
        <f t="shared" si="6"/>
        <v>4</v>
      </c>
      <c r="L182" s="9">
        <f t="shared" si="8"/>
        <v>885</v>
      </c>
      <c r="BV182" s="8">
        <v>45621</v>
      </c>
      <c r="BW182" s="9" t="s">
        <v>35</v>
      </c>
      <c r="BX182" s="9">
        <v>1293</v>
      </c>
      <c r="BY182" s="9">
        <v>408</v>
      </c>
      <c r="BZ182" s="9">
        <v>62535</v>
      </c>
      <c r="CA182" s="11">
        <v>8.900000000000001E-2</v>
      </c>
      <c r="CB182" s="12">
        <v>37876</v>
      </c>
      <c r="CC182" s="9">
        <f>YEAR([1]!Engagement_Summary[[#This Row],[Week_Start_Date]])</f>
        <v>2024</v>
      </c>
      <c r="CD182" s="9">
        <f>MONTH([1]!Engagement_Summary[[#This Row],[Week_Start_Date]])</f>
        <v>12</v>
      </c>
      <c r="CE182" s="9">
        <f t="shared" si="7"/>
        <v>4</v>
      </c>
      <c r="CF182" s="9">
        <v>885</v>
      </c>
      <c r="CH182" s="4">
        <v>37876</v>
      </c>
      <c r="CI182">
        <f>[1]!Engagement_Summary[[#This Row],[New_Followers]]-[1]!Engagement_Summary[[#This Row],[Unfollows]]</f>
        <v>1460</v>
      </c>
    </row>
    <row r="183" spans="4:87" x14ac:dyDescent="0.25">
      <c r="D183" s="8">
        <v>45628</v>
      </c>
      <c r="E183" s="9" t="s">
        <v>35</v>
      </c>
      <c r="F183" s="9">
        <v>452</v>
      </c>
      <c r="G183" s="9">
        <v>161</v>
      </c>
      <c r="H183" s="9">
        <v>221274</v>
      </c>
      <c r="I183" s="9">
        <f>YEAR([1]!Engagement_Summary[[#This Row],[Week_Start_Date]])</f>
        <v>2025</v>
      </c>
      <c r="J183" s="9">
        <f>MONTH([1]!Engagement_Summary[[#This Row],[Week_Start_Date]])</f>
        <v>1</v>
      </c>
      <c r="K183" s="9">
        <f t="shared" si="6"/>
        <v>1</v>
      </c>
      <c r="L183" s="9">
        <f t="shared" si="8"/>
        <v>291</v>
      </c>
      <c r="BV183" s="8">
        <v>45628</v>
      </c>
      <c r="BW183" s="9" t="s">
        <v>35</v>
      </c>
      <c r="BX183" s="9">
        <v>452</v>
      </c>
      <c r="BY183" s="9">
        <v>161</v>
      </c>
      <c r="BZ183" s="9">
        <v>221274</v>
      </c>
      <c r="CA183" s="11">
        <v>2.6499999999999999E-2</v>
      </c>
      <c r="CB183" s="12">
        <v>40888</v>
      </c>
      <c r="CC183" s="9">
        <f>YEAR([1]!Engagement_Summary[[#This Row],[Week_Start_Date]])</f>
        <v>2025</v>
      </c>
      <c r="CD183" s="9">
        <f>MONTH([1]!Engagement_Summary[[#This Row],[Week_Start_Date]])</f>
        <v>1</v>
      </c>
      <c r="CE183" s="9">
        <f t="shared" si="7"/>
        <v>1</v>
      </c>
      <c r="CF183" s="9">
        <v>291</v>
      </c>
      <c r="CH183" s="4">
        <v>40888</v>
      </c>
      <c r="CI183">
        <f>[1]!Engagement_Summary[[#This Row],[New_Followers]]-[1]!Engagement_Summary[[#This Row],[Unfollows]]</f>
        <v>846</v>
      </c>
    </row>
    <row r="184" spans="4:87" x14ac:dyDescent="0.25">
      <c r="D184" s="8">
        <v>45635</v>
      </c>
      <c r="E184" s="9" t="s">
        <v>35</v>
      </c>
      <c r="F184" s="9">
        <v>736</v>
      </c>
      <c r="G184" s="9">
        <v>163</v>
      </c>
      <c r="H184" s="9">
        <v>451894</v>
      </c>
      <c r="I184" s="9">
        <f>YEAR([1]!Engagement_Summary[[#This Row],[Week_Start_Date]])</f>
        <v>2025</v>
      </c>
      <c r="J184" s="9">
        <f>MONTH([1]!Engagement_Summary[[#This Row],[Week_Start_Date]])</f>
        <v>1</v>
      </c>
      <c r="K184" s="9">
        <f t="shared" si="6"/>
        <v>2</v>
      </c>
      <c r="L184" s="9">
        <f t="shared" si="8"/>
        <v>573</v>
      </c>
      <c r="BV184" s="8">
        <v>45635</v>
      </c>
      <c r="BW184" s="9" t="s">
        <v>35</v>
      </c>
      <c r="BX184" s="9">
        <v>736</v>
      </c>
      <c r="BY184" s="9">
        <v>163</v>
      </c>
      <c r="BZ184" s="9">
        <v>451894</v>
      </c>
      <c r="CA184" s="11">
        <v>5.4299999999999994E-2</v>
      </c>
      <c r="CB184" s="12">
        <v>46625</v>
      </c>
      <c r="CC184" s="9">
        <f>YEAR([1]!Engagement_Summary[[#This Row],[Week_Start_Date]])</f>
        <v>2025</v>
      </c>
      <c r="CD184" s="9">
        <f>MONTH([1]!Engagement_Summary[[#This Row],[Week_Start_Date]])</f>
        <v>1</v>
      </c>
      <c r="CE184" s="9">
        <f t="shared" si="7"/>
        <v>2</v>
      </c>
      <c r="CF184" s="9">
        <v>573</v>
      </c>
      <c r="CH184" s="4">
        <v>46625</v>
      </c>
      <c r="CI184">
        <f>[1]!Engagement_Summary[[#This Row],[New_Followers]]-[1]!Engagement_Summary[[#This Row],[Unfollows]]</f>
        <v>901</v>
      </c>
    </row>
    <row r="185" spans="4:87" x14ac:dyDescent="0.25">
      <c r="D185" s="8">
        <v>45642</v>
      </c>
      <c r="E185" s="9" t="s">
        <v>35</v>
      </c>
      <c r="F185" s="9">
        <v>1004</v>
      </c>
      <c r="G185" s="9">
        <v>128</v>
      </c>
      <c r="H185" s="9">
        <v>488901</v>
      </c>
      <c r="I185" s="9">
        <f>YEAR([1]!Engagement_Summary[[#This Row],[Week_Start_Date]])</f>
        <v>2025</v>
      </c>
      <c r="J185" s="9">
        <f>MONTH([1]!Engagement_Summary[[#This Row],[Week_Start_Date]])</f>
        <v>1</v>
      </c>
      <c r="K185" s="9">
        <f t="shared" si="6"/>
        <v>3</v>
      </c>
      <c r="L185" s="9">
        <f t="shared" si="8"/>
        <v>876</v>
      </c>
      <c r="BV185" s="8">
        <v>45642</v>
      </c>
      <c r="BW185" s="9" t="s">
        <v>35</v>
      </c>
      <c r="BX185" s="9">
        <v>1004</v>
      </c>
      <c r="BY185" s="9">
        <v>128</v>
      </c>
      <c r="BZ185" s="9">
        <v>488901</v>
      </c>
      <c r="CA185" s="11">
        <v>8.09E-2</v>
      </c>
      <c r="CB185" s="12">
        <v>49558</v>
      </c>
      <c r="CC185" s="9">
        <f>YEAR([1]!Engagement_Summary[[#This Row],[Week_Start_Date]])</f>
        <v>2025</v>
      </c>
      <c r="CD185" s="9">
        <f>MONTH([1]!Engagement_Summary[[#This Row],[Week_Start_Date]])</f>
        <v>1</v>
      </c>
      <c r="CE185" s="9">
        <f t="shared" si="7"/>
        <v>3</v>
      </c>
      <c r="CF185" s="9">
        <v>876</v>
      </c>
      <c r="CH185" s="4">
        <v>49558</v>
      </c>
      <c r="CI185">
        <f>[1]!Engagement_Summary[[#This Row],[New_Followers]]-[1]!Engagement_Summary[[#This Row],[Unfollows]]</f>
        <v>724</v>
      </c>
    </row>
    <row r="186" spans="4:87" x14ac:dyDescent="0.25">
      <c r="D186" s="8">
        <v>45649</v>
      </c>
      <c r="E186" s="9" t="s">
        <v>35</v>
      </c>
      <c r="F186" s="9">
        <v>1900</v>
      </c>
      <c r="G186" s="9">
        <v>311</v>
      </c>
      <c r="H186" s="9">
        <v>25177</v>
      </c>
      <c r="I186" s="9">
        <f>YEAR([1]!Engagement_Summary[[#This Row],[Week_Start_Date]])</f>
        <v>2025</v>
      </c>
      <c r="J186" s="9">
        <f>MONTH([1]!Engagement_Summary[[#This Row],[Week_Start_Date]])</f>
        <v>1</v>
      </c>
      <c r="K186" s="9">
        <f t="shared" si="6"/>
        <v>4</v>
      </c>
      <c r="L186" s="9">
        <f t="shared" si="8"/>
        <v>1589</v>
      </c>
      <c r="BV186" s="8">
        <v>45649</v>
      </c>
      <c r="BW186" s="9" t="s">
        <v>35</v>
      </c>
      <c r="BX186" s="9">
        <v>1900</v>
      </c>
      <c r="BY186" s="9">
        <v>311</v>
      </c>
      <c r="BZ186" s="9">
        <v>25177</v>
      </c>
      <c r="CA186" s="11">
        <v>2.8900000000000002E-2</v>
      </c>
      <c r="CB186" s="12">
        <v>14154</v>
      </c>
      <c r="CC186" s="9">
        <f>YEAR([1]!Engagement_Summary[[#This Row],[Week_Start_Date]])</f>
        <v>2025</v>
      </c>
      <c r="CD186" s="9">
        <f>MONTH([1]!Engagement_Summary[[#This Row],[Week_Start_Date]])</f>
        <v>1</v>
      </c>
      <c r="CE186" s="9">
        <f t="shared" si="7"/>
        <v>4</v>
      </c>
      <c r="CF186" s="9">
        <v>1589</v>
      </c>
      <c r="CH186" s="4">
        <v>14154</v>
      </c>
      <c r="CI186">
        <f>[1]!Engagement_Summary[[#This Row],[New_Followers]]-[1]!Engagement_Summary[[#This Row],[Unfollows]]</f>
        <v>1225</v>
      </c>
    </row>
    <row r="187" spans="4:87" x14ac:dyDescent="0.25">
      <c r="D187" s="8">
        <v>45656</v>
      </c>
      <c r="E187" s="9" t="s">
        <v>35</v>
      </c>
      <c r="F187" s="9">
        <v>1495</v>
      </c>
      <c r="G187" s="9">
        <v>35</v>
      </c>
      <c r="H187" s="9">
        <v>136845</v>
      </c>
      <c r="I187" s="9">
        <f>YEAR([1]!Engagement_Summary[[#This Row],[Week_Start_Date]])</f>
        <v>2025</v>
      </c>
      <c r="J187" s="9">
        <f>MONTH([1]!Engagement_Summary[[#This Row],[Week_Start_Date]])</f>
        <v>2</v>
      </c>
      <c r="K187" s="9">
        <f t="shared" si="6"/>
        <v>5</v>
      </c>
      <c r="L187" s="9">
        <f t="shared" si="8"/>
        <v>1460</v>
      </c>
      <c r="BV187" s="8">
        <v>45656</v>
      </c>
      <c r="BW187" s="9" t="s">
        <v>35</v>
      </c>
      <c r="BX187" s="9">
        <v>1495</v>
      </c>
      <c r="BY187" s="9">
        <v>35</v>
      </c>
      <c r="BZ187" s="9">
        <v>136845</v>
      </c>
      <c r="CA187" s="11">
        <v>4.4800000000000006E-2</v>
      </c>
      <c r="CB187" s="12">
        <v>39931</v>
      </c>
      <c r="CC187" s="9">
        <f>YEAR([1]!Engagement_Summary[[#This Row],[Week_Start_Date]])</f>
        <v>2025</v>
      </c>
      <c r="CD187" s="9">
        <f>MONTH([1]!Engagement_Summary[[#This Row],[Week_Start_Date]])</f>
        <v>2</v>
      </c>
      <c r="CE187" s="9">
        <f t="shared" si="7"/>
        <v>5</v>
      </c>
      <c r="CF187" s="9">
        <v>1460</v>
      </c>
      <c r="CH187" s="4">
        <v>39931</v>
      </c>
      <c r="CI187">
        <f>[1]!Engagement_Summary[[#This Row],[New_Followers]]-[1]!Engagement_Summary[[#This Row],[Unfollows]]</f>
        <v>-203</v>
      </c>
    </row>
    <row r="188" spans="4:87" x14ac:dyDescent="0.25">
      <c r="D188" s="8">
        <v>45663</v>
      </c>
      <c r="E188" s="9" t="s">
        <v>35</v>
      </c>
      <c r="F188" s="9">
        <v>891</v>
      </c>
      <c r="G188" s="9">
        <v>45</v>
      </c>
      <c r="H188" s="9">
        <v>95410</v>
      </c>
      <c r="I188" s="9">
        <f>YEAR([1]!Engagement_Summary[[#This Row],[Week_Start_Date]])</f>
        <v>2025</v>
      </c>
      <c r="J188" s="9">
        <f>MONTH([1]!Engagement_Summary[[#This Row],[Week_Start_Date]])</f>
        <v>2</v>
      </c>
      <c r="K188" s="9">
        <f t="shared" si="6"/>
        <v>1</v>
      </c>
      <c r="L188" s="9">
        <f t="shared" si="8"/>
        <v>846</v>
      </c>
      <c r="BV188" s="8">
        <v>45663</v>
      </c>
      <c r="BW188" s="9" t="s">
        <v>35</v>
      </c>
      <c r="BX188" s="9">
        <v>891</v>
      </c>
      <c r="BY188" s="9">
        <v>45</v>
      </c>
      <c r="BZ188" s="9">
        <v>95410</v>
      </c>
      <c r="CA188" s="11">
        <v>8.3299999999999999E-2</v>
      </c>
      <c r="CB188" s="12">
        <v>15045</v>
      </c>
      <c r="CC188" s="9">
        <f>YEAR([1]!Engagement_Summary[[#This Row],[Week_Start_Date]])</f>
        <v>2025</v>
      </c>
      <c r="CD188" s="9">
        <f>MONTH([1]!Engagement_Summary[[#This Row],[Week_Start_Date]])</f>
        <v>2</v>
      </c>
      <c r="CE188" s="9">
        <f t="shared" si="7"/>
        <v>1</v>
      </c>
      <c r="CF188" s="9">
        <v>846</v>
      </c>
      <c r="CH188" s="4">
        <v>15045</v>
      </c>
      <c r="CI188">
        <f>[1]!Engagement_Summary[[#This Row],[New_Followers]]-[1]!Engagement_Summary[[#This Row],[Unfollows]]</f>
        <v>1444</v>
      </c>
    </row>
    <row r="189" spans="4:87" x14ac:dyDescent="0.25">
      <c r="D189" s="8">
        <v>45670</v>
      </c>
      <c r="E189" s="9" t="s">
        <v>35</v>
      </c>
      <c r="F189" s="9">
        <v>1331</v>
      </c>
      <c r="G189" s="9">
        <v>430</v>
      </c>
      <c r="H189" s="9">
        <v>14437</v>
      </c>
      <c r="I189" s="9">
        <f>YEAR([1]!Engagement_Summary[[#This Row],[Week_Start_Date]])</f>
        <v>2025</v>
      </c>
      <c r="J189" s="9">
        <f>MONTH([1]!Engagement_Summary[[#This Row],[Week_Start_Date]])</f>
        <v>2</v>
      </c>
      <c r="K189" s="9">
        <f t="shared" si="6"/>
        <v>2</v>
      </c>
      <c r="L189" s="9">
        <f t="shared" si="8"/>
        <v>901</v>
      </c>
      <c r="BV189" s="8">
        <v>45670</v>
      </c>
      <c r="BW189" s="9" t="s">
        <v>35</v>
      </c>
      <c r="BX189" s="9">
        <v>1331</v>
      </c>
      <c r="BY189" s="9">
        <v>430</v>
      </c>
      <c r="BZ189" s="9">
        <v>14437</v>
      </c>
      <c r="CA189" s="11">
        <v>3.2899999999999999E-2</v>
      </c>
      <c r="CB189" s="12">
        <v>40868</v>
      </c>
      <c r="CC189" s="9">
        <f>YEAR([1]!Engagement_Summary[[#This Row],[Week_Start_Date]])</f>
        <v>2025</v>
      </c>
      <c r="CD189" s="9">
        <f>MONTH([1]!Engagement_Summary[[#This Row],[Week_Start_Date]])</f>
        <v>2</v>
      </c>
      <c r="CE189" s="9">
        <f t="shared" si="7"/>
        <v>2</v>
      </c>
      <c r="CF189" s="9">
        <v>901</v>
      </c>
      <c r="CH189" s="4">
        <v>40868</v>
      </c>
      <c r="CI189">
        <f>[1]!Engagement_Summary[[#This Row],[New_Followers]]-[1]!Engagement_Summary[[#This Row],[Unfollows]]</f>
        <v>1175</v>
      </c>
    </row>
    <row r="190" spans="4:87" x14ac:dyDescent="0.25">
      <c r="D190" s="8">
        <v>45677</v>
      </c>
      <c r="E190" s="9" t="s">
        <v>35</v>
      </c>
      <c r="F190" s="9">
        <v>1166</v>
      </c>
      <c r="G190" s="9">
        <v>442</v>
      </c>
      <c r="H190" s="9">
        <v>336949</v>
      </c>
      <c r="I190" s="9">
        <f>YEAR([1]!Engagement_Summary[[#This Row],[Week_Start_Date]])</f>
        <v>2025</v>
      </c>
      <c r="J190" s="9">
        <f>MONTH([1]!Engagement_Summary[[#This Row],[Week_Start_Date]])</f>
        <v>2</v>
      </c>
      <c r="K190" s="9">
        <f t="shared" si="6"/>
        <v>3</v>
      </c>
      <c r="L190" s="9">
        <f t="shared" si="8"/>
        <v>724</v>
      </c>
      <c r="BV190" s="8">
        <v>45677</v>
      </c>
      <c r="BW190" s="9" t="s">
        <v>35</v>
      </c>
      <c r="BX190" s="9">
        <v>1166</v>
      </c>
      <c r="BY190" s="9">
        <v>442</v>
      </c>
      <c r="BZ190" s="9">
        <v>336949</v>
      </c>
      <c r="CA190" s="11">
        <v>4.6799999999999994E-2</v>
      </c>
      <c r="CB190" s="12">
        <v>7705</v>
      </c>
      <c r="CC190" s="9">
        <f>YEAR([1]!Engagement_Summary[[#This Row],[Week_Start_Date]])</f>
        <v>2025</v>
      </c>
      <c r="CD190" s="9">
        <f>MONTH([1]!Engagement_Summary[[#This Row],[Week_Start_Date]])</f>
        <v>2</v>
      </c>
      <c r="CE190" s="9">
        <f t="shared" si="7"/>
        <v>3</v>
      </c>
      <c r="CF190" s="9">
        <v>724</v>
      </c>
      <c r="CH190" s="4">
        <v>7705</v>
      </c>
      <c r="CI190">
        <f>[1]!Engagement_Summary[[#This Row],[New_Followers]]-[1]!Engagement_Summary[[#This Row],[Unfollows]]</f>
        <v>1016</v>
      </c>
    </row>
    <row r="191" spans="4:87" x14ac:dyDescent="0.25">
      <c r="D191" s="8">
        <v>45684</v>
      </c>
      <c r="E191" s="9" t="s">
        <v>35</v>
      </c>
      <c r="F191" s="9">
        <v>1411</v>
      </c>
      <c r="G191" s="9">
        <v>186</v>
      </c>
      <c r="H191" s="9">
        <v>461669</v>
      </c>
      <c r="I191" s="9">
        <f>YEAR([1]!Engagement_Summary[[#This Row],[Week_Start_Date]])</f>
        <v>2025</v>
      </c>
      <c r="J191" s="9">
        <f>MONTH([1]!Engagement_Summary[[#This Row],[Week_Start_Date]])</f>
        <v>3</v>
      </c>
      <c r="K191" s="9">
        <f t="shared" si="6"/>
        <v>4</v>
      </c>
      <c r="L191" s="9">
        <f t="shared" si="8"/>
        <v>1225</v>
      </c>
      <c r="BV191" s="8">
        <v>45684</v>
      </c>
      <c r="BW191" s="9" t="s">
        <v>35</v>
      </c>
      <c r="BX191" s="9">
        <v>1411</v>
      </c>
      <c r="BY191" s="9">
        <v>186</v>
      </c>
      <c r="BZ191" s="9">
        <v>461669</v>
      </c>
      <c r="CA191" s="11">
        <v>3.7200000000000004E-2</v>
      </c>
      <c r="CB191" s="12">
        <v>43999</v>
      </c>
      <c r="CC191" s="9">
        <f>YEAR([1]!Engagement_Summary[[#This Row],[Week_Start_Date]])</f>
        <v>2025</v>
      </c>
      <c r="CD191" s="9">
        <f>MONTH([1]!Engagement_Summary[[#This Row],[Week_Start_Date]])</f>
        <v>3</v>
      </c>
      <c r="CE191" s="9">
        <f t="shared" si="7"/>
        <v>4</v>
      </c>
      <c r="CF191" s="9">
        <v>1225</v>
      </c>
      <c r="CH191" s="4">
        <v>43999</v>
      </c>
      <c r="CI191">
        <f>[1]!Engagement_Summary[[#This Row],[New_Followers]]-[1]!Engagement_Summary[[#This Row],[Unfollows]]</f>
        <v>315</v>
      </c>
    </row>
    <row r="192" spans="4:87" x14ac:dyDescent="0.25">
      <c r="D192" s="8">
        <v>45691</v>
      </c>
      <c r="E192" s="9" t="s">
        <v>35</v>
      </c>
      <c r="F192" s="9">
        <v>152</v>
      </c>
      <c r="G192" s="9">
        <v>355</v>
      </c>
      <c r="H192" s="9">
        <v>270766</v>
      </c>
      <c r="I192" s="9">
        <f>YEAR([1]!Engagement_Summary[[#This Row],[Week_Start_Date]])</f>
        <v>2025</v>
      </c>
      <c r="J192" s="9">
        <f>MONTH([1]!Engagement_Summary[[#This Row],[Week_Start_Date]])</f>
        <v>3</v>
      </c>
      <c r="K192" s="9">
        <f t="shared" si="6"/>
        <v>1</v>
      </c>
      <c r="L192" s="9">
        <f t="shared" si="8"/>
        <v>-203</v>
      </c>
      <c r="BV192" s="8">
        <v>45691</v>
      </c>
      <c r="BW192" s="9" t="s">
        <v>35</v>
      </c>
      <c r="BX192" s="9">
        <v>152</v>
      </c>
      <c r="BY192" s="9">
        <v>355</v>
      </c>
      <c r="BZ192" s="9">
        <v>270766</v>
      </c>
      <c r="CA192" s="11">
        <v>9.4800000000000009E-2</v>
      </c>
      <c r="CB192" s="12">
        <v>18001</v>
      </c>
      <c r="CC192" s="9">
        <f>YEAR([1]!Engagement_Summary[[#This Row],[Week_Start_Date]])</f>
        <v>2025</v>
      </c>
      <c r="CD192" s="9">
        <f>MONTH([1]!Engagement_Summary[[#This Row],[Week_Start_Date]])</f>
        <v>3</v>
      </c>
      <c r="CE192" s="9">
        <f t="shared" si="7"/>
        <v>1</v>
      </c>
      <c r="CF192" s="9">
        <v>-203</v>
      </c>
      <c r="CH192" s="4">
        <v>18001</v>
      </c>
      <c r="CI192">
        <f>[1]!Engagement_Summary[[#This Row],[New_Followers]]-[1]!Engagement_Summary[[#This Row],[Unfollows]]</f>
        <v>1242</v>
      </c>
    </row>
    <row r="193" spans="4:87" x14ac:dyDescent="0.25">
      <c r="D193" s="8">
        <v>45698</v>
      </c>
      <c r="E193" s="9" t="s">
        <v>35</v>
      </c>
      <c r="F193" s="9">
        <v>1707</v>
      </c>
      <c r="G193" s="9">
        <v>263</v>
      </c>
      <c r="H193" s="9">
        <v>485280</v>
      </c>
      <c r="I193" s="9">
        <f>YEAR([1]!Engagement_Summary[[#This Row],[Week_Start_Date]])</f>
        <v>2025</v>
      </c>
      <c r="J193" s="9">
        <f>MONTH([1]!Engagement_Summary[[#This Row],[Week_Start_Date]])</f>
        <v>3</v>
      </c>
      <c r="K193" s="9">
        <f t="shared" si="6"/>
        <v>2</v>
      </c>
      <c r="L193" s="9">
        <f t="shared" si="8"/>
        <v>1444</v>
      </c>
      <c r="BV193" s="8">
        <v>45698</v>
      </c>
      <c r="BW193" s="9" t="s">
        <v>35</v>
      </c>
      <c r="BX193" s="9">
        <v>1707</v>
      </c>
      <c r="BY193" s="9">
        <v>263</v>
      </c>
      <c r="BZ193" s="9">
        <v>485280</v>
      </c>
      <c r="CA193" s="11">
        <v>9.0299999999999991E-2</v>
      </c>
      <c r="CB193" s="12">
        <v>24494</v>
      </c>
      <c r="CC193" s="9">
        <f>YEAR([1]!Engagement_Summary[[#This Row],[Week_Start_Date]])</f>
        <v>2025</v>
      </c>
      <c r="CD193" s="9">
        <f>MONTH([1]!Engagement_Summary[[#This Row],[Week_Start_Date]])</f>
        <v>3</v>
      </c>
      <c r="CE193" s="9">
        <f t="shared" si="7"/>
        <v>2</v>
      </c>
      <c r="CF193" s="9">
        <v>1444</v>
      </c>
      <c r="CH193" s="4">
        <v>24494</v>
      </c>
      <c r="CI193">
        <f>[1]!Engagement_Summary[[#This Row],[New_Followers]]-[1]!Engagement_Summary[[#This Row],[Unfollows]]</f>
        <v>1385</v>
      </c>
    </row>
    <row r="194" spans="4:87" x14ac:dyDescent="0.25">
      <c r="D194" s="8">
        <v>45705</v>
      </c>
      <c r="E194" s="9" t="s">
        <v>35</v>
      </c>
      <c r="F194" s="9">
        <v>1662</v>
      </c>
      <c r="G194" s="9">
        <v>487</v>
      </c>
      <c r="H194" s="9">
        <v>105980</v>
      </c>
      <c r="I194" s="9">
        <f>YEAR([1]!Engagement_Summary[[#This Row],[Week_Start_Date]])</f>
        <v>2025</v>
      </c>
      <c r="J194" s="9">
        <f>MONTH([1]!Engagement_Summary[[#This Row],[Week_Start_Date]])</f>
        <v>3</v>
      </c>
      <c r="K194" s="9">
        <f t="shared" si="6"/>
        <v>3</v>
      </c>
      <c r="L194" s="9">
        <f t="shared" si="8"/>
        <v>1175</v>
      </c>
      <c r="BV194" s="8">
        <v>45705</v>
      </c>
      <c r="BW194" s="9" t="s">
        <v>35</v>
      </c>
      <c r="BX194" s="9">
        <v>1662</v>
      </c>
      <c r="BY194" s="9">
        <v>487</v>
      </c>
      <c r="BZ194" s="9">
        <v>105980</v>
      </c>
      <c r="CA194" s="11">
        <v>9.0800000000000006E-2</v>
      </c>
      <c r="CB194" s="12">
        <v>22996</v>
      </c>
      <c r="CC194" s="9">
        <f>YEAR([1]!Engagement_Summary[[#This Row],[Week_Start_Date]])</f>
        <v>2025</v>
      </c>
      <c r="CD194" s="9">
        <f>MONTH([1]!Engagement_Summary[[#This Row],[Week_Start_Date]])</f>
        <v>3</v>
      </c>
      <c r="CE194" s="9">
        <f t="shared" si="7"/>
        <v>3</v>
      </c>
      <c r="CF194" s="9">
        <v>1175</v>
      </c>
      <c r="CH194" s="4">
        <v>22996</v>
      </c>
      <c r="CI194">
        <f>[1]!Engagement_Summary[[#This Row],[New_Followers]]-[1]!Engagement_Summary[[#This Row],[Unfollows]]</f>
        <v>389</v>
      </c>
    </row>
    <row r="195" spans="4:87" x14ac:dyDescent="0.25">
      <c r="D195" s="8">
        <v>45712</v>
      </c>
      <c r="E195" s="9" t="s">
        <v>35</v>
      </c>
      <c r="F195" s="9">
        <v>1063</v>
      </c>
      <c r="G195" s="9">
        <v>47</v>
      </c>
      <c r="H195" s="9">
        <v>464239</v>
      </c>
      <c r="I195" s="9">
        <f>YEAR([1]!Engagement_Summary[[#This Row],[Week_Start_Date]])</f>
        <v>2025</v>
      </c>
      <c r="J195" s="9">
        <f>MONTH([1]!Engagement_Summary[[#This Row],[Week_Start_Date]])</f>
        <v>3</v>
      </c>
      <c r="K195" s="9">
        <f t="shared" si="6"/>
        <v>4</v>
      </c>
      <c r="L195" s="9">
        <f t="shared" si="8"/>
        <v>1016</v>
      </c>
      <c r="BV195" s="8">
        <v>45712</v>
      </c>
      <c r="BW195" s="9" t="s">
        <v>35</v>
      </c>
      <c r="BX195" s="9">
        <v>1063</v>
      </c>
      <c r="BY195" s="9">
        <v>47</v>
      </c>
      <c r="BZ195" s="9">
        <v>464239</v>
      </c>
      <c r="CA195" s="11">
        <v>6.5799999999999997E-2</v>
      </c>
      <c r="CB195" s="12">
        <v>39031</v>
      </c>
      <c r="CC195" s="9">
        <f>YEAR([1]!Engagement_Summary[[#This Row],[Week_Start_Date]])</f>
        <v>2025</v>
      </c>
      <c r="CD195" s="9">
        <f>MONTH([1]!Engagement_Summary[[#This Row],[Week_Start_Date]])</f>
        <v>3</v>
      </c>
      <c r="CE195" s="9">
        <f t="shared" si="7"/>
        <v>4</v>
      </c>
      <c r="CF195" s="9">
        <v>1016</v>
      </c>
      <c r="CH195" s="4">
        <v>39031</v>
      </c>
      <c r="CI195">
        <f>[1]!Engagement_Summary[[#This Row],[New_Followers]]-[1]!Engagement_Summary[[#This Row],[Unfollows]]</f>
        <v>1467</v>
      </c>
    </row>
    <row r="196" spans="4:87" x14ac:dyDescent="0.25">
      <c r="D196" s="8">
        <v>45719</v>
      </c>
      <c r="E196" s="9" t="s">
        <v>35</v>
      </c>
      <c r="F196" s="9">
        <v>510</v>
      </c>
      <c r="G196" s="9">
        <v>195</v>
      </c>
      <c r="H196" s="9">
        <v>224534</v>
      </c>
      <c r="I196" s="9">
        <f>YEAR([1]!Engagement_Summary[[#This Row],[Week_Start_Date]])</f>
        <v>2025</v>
      </c>
      <c r="J196" s="9">
        <f>MONTH([1]!Engagement_Summary[[#This Row],[Week_Start_Date]])</f>
        <v>4</v>
      </c>
      <c r="K196" s="9">
        <f t="shared" si="6"/>
        <v>1</v>
      </c>
      <c r="L196" s="9">
        <f t="shared" si="8"/>
        <v>315</v>
      </c>
      <c r="BV196" s="8">
        <v>45719</v>
      </c>
      <c r="BW196" s="9" t="s">
        <v>35</v>
      </c>
      <c r="BX196" s="9">
        <v>510</v>
      </c>
      <c r="BY196" s="9">
        <v>195</v>
      </c>
      <c r="BZ196" s="9">
        <v>224534</v>
      </c>
      <c r="CA196" s="11">
        <v>9.4E-2</v>
      </c>
      <c r="CB196" s="12">
        <v>30987</v>
      </c>
      <c r="CC196" s="9">
        <f>YEAR([1]!Engagement_Summary[[#This Row],[Week_Start_Date]])</f>
        <v>2025</v>
      </c>
      <c r="CD196" s="9">
        <f>MONTH([1]!Engagement_Summary[[#This Row],[Week_Start_Date]])</f>
        <v>4</v>
      </c>
      <c r="CE196" s="9">
        <f t="shared" si="7"/>
        <v>1</v>
      </c>
      <c r="CF196" s="9">
        <v>315</v>
      </c>
      <c r="CH196" s="4">
        <v>30987</v>
      </c>
      <c r="CI196">
        <f>[1]!Engagement_Summary[[#This Row],[New_Followers]]-[1]!Engagement_Summary[[#This Row],[Unfollows]]</f>
        <v>209</v>
      </c>
    </row>
    <row r="197" spans="4:87" x14ac:dyDescent="0.25">
      <c r="D197" s="8">
        <v>45726</v>
      </c>
      <c r="E197" s="9" t="s">
        <v>35</v>
      </c>
      <c r="F197" s="9">
        <v>1658</v>
      </c>
      <c r="G197" s="9">
        <v>416</v>
      </c>
      <c r="H197" s="9">
        <v>98397</v>
      </c>
      <c r="I197" s="9">
        <f>YEAR([1]!Engagement_Summary[[#This Row],[Week_Start_Date]])</f>
        <v>2025</v>
      </c>
      <c r="J197" s="9">
        <f>MONTH([1]!Engagement_Summary[[#This Row],[Week_Start_Date]])</f>
        <v>4</v>
      </c>
      <c r="K197" s="9">
        <f t="shared" si="6"/>
        <v>2</v>
      </c>
      <c r="L197" s="9">
        <f t="shared" si="8"/>
        <v>1242</v>
      </c>
      <c r="BV197" s="8">
        <v>45726</v>
      </c>
      <c r="BW197" s="9" t="s">
        <v>35</v>
      </c>
      <c r="BX197" s="9">
        <v>1658</v>
      </c>
      <c r="BY197" s="9">
        <v>416</v>
      </c>
      <c r="BZ197" s="9">
        <v>98397</v>
      </c>
      <c r="CA197" s="11">
        <v>6.1100000000000002E-2</v>
      </c>
      <c r="CB197" s="12">
        <v>11383</v>
      </c>
      <c r="CC197" s="9">
        <f>YEAR([1]!Engagement_Summary[[#This Row],[Week_Start_Date]])</f>
        <v>2025</v>
      </c>
      <c r="CD197" s="9">
        <f>MONTH([1]!Engagement_Summary[[#This Row],[Week_Start_Date]])</f>
        <v>4</v>
      </c>
      <c r="CE197" s="9">
        <f t="shared" si="7"/>
        <v>2</v>
      </c>
      <c r="CF197" s="9">
        <v>1242</v>
      </c>
      <c r="CH197" s="4">
        <v>11383</v>
      </c>
      <c r="CI197">
        <f>[1]!Engagement_Summary[[#This Row],[New_Followers]]-[1]!Engagement_Summary[[#This Row],[Unfollows]]</f>
        <v>145</v>
      </c>
    </row>
    <row r="198" spans="4:87" x14ac:dyDescent="0.25">
      <c r="D198" s="8">
        <v>45733</v>
      </c>
      <c r="E198" s="9" t="s">
        <v>35</v>
      </c>
      <c r="F198" s="9">
        <v>1596</v>
      </c>
      <c r="G198" s="9">
        <v>211</v>
      </c>
      <c r="H198" s="9">
        <v>17380</v>
      </c>
      <c r="I198" s="9">
        <f>YEAR([1]!Engagement_Summary[[#This Row],[Week_Start_Date]])</f>
        <v>2025</v>
      </c>
      <c r="J198" s="9">
        <f>MONTH([1]!Engagement_Summary[[#This Row],[Week_Start_Date]])</f>
        <v>4</v>
      </c>
      <c r="K198" s="9">
        <f t="shared" si="6"/>
        <v>3</v>
      </c>
      <c r="L198" s="9">
        <f t="shared" si="8"/>
        <v>1385</v>
      </c>
      <c r="BV198" s="8">
        <v>45733</v>
      </c>
      <c r="BW198" s="9" t="s">
        <v>35</v>
      </c>
      <c r="BX198" s="9">
        <v>1596</v>
      </c>
      <c r="BY198" s="9">
        <v>211</v>
      </c>
      <c r="BZ198" s="9">
        <v>17380</v>
      </c>
      <c r="CA198" s="11">
        <v>8.6400000000000005E-2</v>
      </c>
      <c r="CB198" s="12">
        <v>35801</v>
      </c>
      <c r="CC198" s="9">
        <f>YEAR([1]!Engagement_Summary[[#This Row],[Week_Start_Date]])</f>
        <v>2025</v>
      </c>
      <c r="CD198" s="9">
        <f>MONTH([1]!Engagement_Summary[[#This Row],[Week_Start_Date]])</f>
        <v>4</v>
      </c>
      <c r="CE198" s="9">
        <f t="shared" si="7"/>
        <v>3</v>
      </c>
      <c r="CF198" s="9">
        <v>1385</v>
      </c>
      <c r="CH198" s="4">
        <v>35801</v>
      </c>
      <c r="CI198">
        <f>[1]!Engagement_Summary[[#This Row],[New_Followers]]-[1]!Engagement_Summary[[#This Row],[Unfollows]]</f>
        <v>1633</v>
      </c>
    </row>
    <row r="199" spans="4:87" x14ac:dyDescent="0.25">
      <c r="D199" s="8">
        <v>45740</v>
      </c>
      <c r="E199" s="9" t="s">
        <v>35</v>
      </c>
      <c r="F199" s="9">
        <v>442</v>
      </c>
      <c r="G199" s="9">
        <v>53</v>
      </c>
      <c r="H199" s="9">
        <v>441931</v>
      </c>
      <c r="I199" s="9">
        <f>YEAR([1]!Engagement_Summary[[#This Row],[Week_Start_Date]])</f>
        <v>2025</v>
      </c>
      <c r="J199" s="9">
        <f>MONTH([1]!Engagement_Summary[[#This Row],[Week_Start_Date]])</f>
        <v>4</v>
      </c>
      <c r="K199" s="9">
        <f t="shared" ref="K199:K206" si="9" xml:space="preserve"> INT((DAY(D199)-1)/7)+1</f>
        <v>4</v>
      </c>
      <c r="L199" s="9">
        <f t="shared" si="8"/>
        <v>389</v>
      </c>
      <c r="BV199" s="8">
        <v>45740</v>
      </c>
      <c r="BW199" s="9" t="s">
        <v>35</v>
      </c>
      <c r="BX199" s="9">
        <v>442</v>
      </c>
      <c r="BY199" s="9">
        <v>53</v>
      </c>
      <c r="BZ199" s="9">
        <v>441931</v>
      </c>
      <c r="CA199" s="11">
        <v>1.8700000000000001E-2</v>
      </c>
      <c r="CB199" s="12">
        <v>20059</v>
      </c>
      <c r="CC199" s="9">
        <f>YEAR([1]!Engagement_Summary[[#This Row],[Week_Start_Date]])</f>
        <v>2025</v>
      </c>
      <c r="CD199" s="9">
        <f>MONTH([1]!Engagement_Summary[[#This Row],[Week_Start_Date]])</f>
        <v>4</v>
      </c>
      <c r="CE199" s="9">
        <f t="shared" ref="CE199:CE206" si="10" xml:space="preserve"> INT((DAY(BV199)-1)/7)+1</f>
        <v>4</v>
      </c>
      <c r="CF199" s="9">
        <v>389</v>
      </c>
      <c r="CH199" s="4">
        <v>20059</v>
      </c>
      <c r="CI199">
        <f>[1]!Engagement_Summary[[#This Row],[New_Followers]]-[1]!Engagement_Summary[[#This Row],[Unfollows]]</f>
        <v>637</v>
      </c>
    </row>
    <row r="200" spans="4:87" x14ac:dyDescent="0.25">
      <c r="D200" s="8">
        <v>45747</v>
      </c>
      <c r="E200" s="9" t="s">
        <v>35</v>
      </c>
      <c r="F200" s="9">
        <v>1957</v>
      </c>
      <c r="G200" s="9">
        <v>490</v>
      </c>
      <c r="H200" s="9">
        <v>435726</v>
      </c>
      <c r="I200" s="9">
        <f>YEAR([1]!Engagement_Summary[[#This Row],[Week_Start_Date]])</f>
        <v>2025</v>
      </c>
      <c r="J200" s="9">
        <f>MONTH([1]!Engagement_Summary[[#This Row],[Week_Start_Date]])</f>
        <v>5</v>
      </c>
      <c r="K200" s="9">
        <f t="shared" si="9"/>
        <v>5</v>
      </c>
      <c r="L200" s="9">
        <f t="shared" ref="L200:L206" si="11">F200-G200</f>
        <v>1467</v>
      </c>
      <c r="BV200" s="8">
        <v>45747</v>
      </c>
      <c r="BW200" s="9" t="s">
        <v>35</v>
      </c>
      <c r="BX200" s="9">
        <v>1957</v>
      </c>
      <c r="BY200" s="9">
        <v>490</v>
      </c>
      <c r="BZ200" s="9">
        <v>435726</v>
      </c>
      <c r="CA200" s="11">
        <v>4.7300000000000002E-2</v>
      </c>
      <c r="CB200" s="12">
        <v>15969</v>
      </c>
      <c r="CC200" s="9">
        <f>YEAR([1]!Engagement_Summary[[#This Row],[Week_Start_Date]])</f>
        <v>2025</v>
      </c>
      <c r="CD200" s="9">
        <f>MONTH([1]!Engagement_Summary[[#This Row],[Week_Start_Date]])</f>
        <v>5</v>
      </c>
      <c r="CE200" s="9">
        <f t="shared" si="10"/>
        <v>5</v>
      </c>
      <c r="CF200" s="9">
        <v>1467</v>
      </c>
      <c r="CH200" s="4">
        <v>15969</v>
      </c>
      <c r="CI200">
        <f>[1]!Engagement_Summary[[#This Row],[New_Followers]]-[1]!Engagement_Summary[[#This Row],[Unfollows]]</f>
        <v>864</v>
      </c>
    </row>
    <row r="201" spans="4:87" x14ac:dyDescent="0.25">
      <c r="D201" s="8">
        <v>45754</v>
      </c>
      <c r="E201" s="9" t="s">
        <v>35</v>
      </c>
      <c r="F201" s="9">
        <v>623</v>
      </c>
      <c r="G201" s="9">
        <v>414</v>
      </c>
      <c r="H201" s="9">
        <v>290354</v>
      </c>
      <c r="I201" s="9">
        <f>YEAR([1]!Engagement_Summary[[#This Row],[Week_Start_Date]])</f>
        <v>2025</v>
      </c>
      <c r="J201" s="9">
        <f>MONTH([1]!Engagement_Summary[[#This Row],[Week_Start_Date]])</f>
        <v>5</v>
      </c>
      <c r="K201" s="9">
        <f t="shared" si="9"/>
        <v>1</v>
      </c>
      <c r="L201" s="9">
        <f t="shared" si="11"/>
        <v>209</v>
      </c>
      <c r="BV201" s="8">
        <v>45754</v>
      </c>
      <c r="BW201" s="9" t="s">
        <v>35</v>
      </c>
      <c r="BX201" s="9">
        <v>623</v>
      </c>
      <c r="BY201" s="9">
        <v>414</v>
      </c>
      <c r="BZ201" s="9">
        <v>290354</v>
      </c>
      <c r="CA201" s="11">
        <v>6.4899999999999999E-2</v>
      </c>
      <c r="CB201" s="12">
        <v>39923</v>
      </c>
      <c r="CC201" s="9">
        <f>YEAR([1]!Engagement_Summary[[#This Row],[Week_Start_Date]])</f>
        <v>2025</v>
      </c>
      <c r="CD201" s="9">
        <f>MONTH([1]!Engagement_Summary[[#This Row],[Week_Start_Date]])</f>
        <v>5</v>
      </c>
      <c r="CE201" s="9">
        <f t="shared" si="10"/>
        <v>1</v>
      </c>
      <c r="CF201" s="9">
        <v>209</v>
      </c>
      <c r="CH201" s="4">
        <v>39923</v>
      </c>
      <c r="CI201">
        <f>[1]!Engagement_Summary[[#This Row],[New_Followers]]-[1]!Engagement_Summary[[#This Row],[Unfollows]]</f>
        <v>-337</v>
      </c>
    </row>
    <row r="202" spans="4:87" x14ac:dyDescent="0.25">
      <c r="D202" s="8">
        <v>45761</v>
      </c>
      <c r="E202" s="9" t="s">
        <v>35</v>
      </c>
      <c r="F202" s="9">
        <v>520</v>
      </c>
      <c r="G202" s="9">
        <v>375</v>
      </c>
      <c r="H202" s="9">
        <v>369525</v>
      </c>
      <c r="I202" s="9">
        <f>YEAR([1]!Engagement_Summary[[#This Row],[Week_Start_Date]])</f>
        <v>1900</v>
      </c>
      <c r="J202" s="9">
        <f>MONTH([1]!Engagement_Summary[[#This Row],[Week_Start_Date]])</f>
        <v>1</v>
      </c>
      <c r="K202" s="9">
        <f t="shared" si="9"/>
        <v>2</v>
      </c>
      <c r="L202" s="9">
        <f t="shared" si="11"/>
        <v>145</v>
      </c>
      <c r="BV202" s="8">
        <v>45761</v>
      </c>
      <c r="BW202" s="9" t="s">
        <v>35</v>
      </c>
      <c r="BX202" s="9">
        <v>520</v>
      </c>
      <c r="BY202" s="9">
        <v>375</v>
      </c>
      <c r="BZ202" s="9">
        <v>369525</v>
      </c>
      <c r="CA202" s="11">
        <v>6.54E-2</v>
      </c>
      <c r="CB202" s="12">
        <v>20733</v>
      </c>
      <c r="CC202" s="9">
        <f>YEAR([1]!Engagement_Summary[[#This Row],[Week_Start_Date]])</f>
        <v>1900</v>
      </c>
      <c r="CD202" s="9">
        <f>MONTH([1]!Engagement_Summary[[#This Row],[Week_Start_Date]])</f>
        <v>1</v>
      </c>
      <c r="CE202" s="9">
        <f t="shared" si="10"/>
        <v>2</v>
      </c>
      <c r="CF202" s="9">
        <v>145</v>
      </c>
      <c r="CH202" s="4">
        <v>20733</v>
      </c>
      <c r="CI202">
        <f>[1]!Engagement_Summary[[#This Row],[New_Followers]]-[1]!Engagement_Summary[[#This Row],[Unfollows]]</f>
        <v>0</v>
      </c>
    </row>
    <row r="203" spans="4:87" x14ac:dyDescent="0.25">
      <c r="D203" s="8">
        <v>45768</v>
      </c>
      <c r="E203" s="9" t="s">
        <v>35</v>
      </c>
      <c r="F203" s="9">
        <v>1707</v>
      </c>
      <c r="G203" s="9">
        <v>74</v>
      </c>
      <c r="H203" s="9">
        <v>270958</v>
      </c>
      <c r="I203" s="9">
        <f>YEAR([1]!Engagement_Summary[[#This Row],[Week_Start_Date]])</f>
        <v>1900</v>
      </c>
      <c r="J203" s="9">
        <f>MONTH([1]!Engagement_Summary[[#This Row],[Week_Start_Date]])</f>
        <v>1</v>
      </c>
      <c r="K203" s="9">
        <f t="shared" si="9"/>
        <v>3</v>
      </c>
      <c r="L203" s="9">
        <f t="shared" si="11"/>
        <v>1633</v>
      </c>
      <c r="BV203" s="8">
        <v>45768</v>
      </c>
      <c r="BW203" s="9" t="s">
        <v>35</v>
      </c>
      <c r="BX203" s="9">
        <v>1707</v>
      </c>
      <c r="BY203" s="9">
        <v>74</v>
      </c>
      <c r="BZ203" s="9">
        <v>270958</v>
      </c>
      <c r="CA203" s="11">
        <v>3.0899999999999997E-2</v>
      </c>
      <c r="CB203" s="12">
        <v>14090</v>
      </c>
      <c r="CC203" s="9">
        <f>YEAR([1]!Engagement_Summary[[#This Row],[Week_Start_Date]])</f>
        <v>1900</v>
      </c>
      <c r="CD203" s="9">
        <f>MONTH([1]!Engagement_Summary[[#This Row],[Week_Start_Date]])</f>
        <v>1</v>
      </c>
      <c r="CE203" s="9">
        <f t="shared" si="10"/>
        <v>3</v>
      </c>
      <c r="CF203" s="9">
        <v>1633</v>
      </c>
      <c r="CH203" s="4">
        <v>14090</v>
      </c>
      <c r="CI203">
        <f>[1]!Engagement_Summary[[#This Row],[New_Followers]]-[1]!Engagement_Summary[[#This Row],[Unfollows]]</f>
        <v>0</v>
      </c>
    </row>
    <row r="204" spans="4:87" x14ac:dyDescent="0.25">
      <c r="D204" s="8">
        <v>45775</v>
      </c>
      <c r="E204" s="9" t="s">
        <v>35</v>
      </c>
      <c r="F204" s="9">
        <v>777</v>
      </c>
      <c r="G204" s="9">
        <v>140</v>
      </c>
      <c r="H204" s="9">
        <v>11435</v>
      </c>
      <c r="I204" s="9">
        <f>YEAR([1]!Engagement_Summary[[#This Row],[Week_Start_Date]])</f>
        <v>1900</v>
      </c>
      <c r="J204" s="9">
        <f>MONTH([1]!Engagement_Summary[[#This Row],[Week_Start_Date]])</f>
        <v>1</v>
      </c>
      <c r="K204" s="9">
        <f t="shared" si="9"/>
        <v>4</v>
      </c>
      <c r="L204" s="9">
        <f t="shared" si="11"/>
        <v>637</v>
      </c>
      <c r="BV204" s="8">
        <v>45775</v>
      </c>
      <c r="BW204" s="9" t="s">
        <v>35</v>
      </c>
      <c r="BX204" s="9">
        <v>777</v>
      </c>
      <c r="BY204" s="9">
        <v>140</v>
      </c>
      <c r="BZ204" s="9">
        <v>11435</v>
      </c>
      <c r="CA204" s="11">
        <v>1.6E-2</v>
      </c>
      <c r="CB204" s="12">
        <v>6832</v>
      </c>
      <c r="CC204" s="9">
        <f>YEAR([1]!Engagement_Summary[[#This Row],[Week_Start_Date]])</f>
        <v>1900</v>
      </c>
      <c r="CD204" s="9">
        <f>MONTH([1]!Engagement_Summary[[#This Row],[Week_Start_Date]])</f>
        <v>1</v>
      </c>
      <c r="CE204" s="9">
        <f t="shared" si="10"/>
        <v>4</v>
      </c>
      <c r="CF204" s="9">
        <v>637</v>
      </c>
      <c r="CH204" s="4">
        <v>6832</v>
      </c>
      <c r="CI204">
        <f>[1]!Engagement_Summary[[#This Row],[New_Followers]]-[1]!Engagement_Summary[[#This Row],[Unfollows]]</f>
        <v>0</v>
      </c>
    </row>
    <row r="205" spans="4:87" x14ac:dyDescent="0.25">
      <c r="D205" s="8">
        <v>45782</v>
      </c>
      <c r="E205" s="9" t="s">
        <v>35</v>
      </c>
      <c r="F205" s="9">
        <v>1035</v>
      </c>
      <c r="G205" s="9">
        <v>171</v>
      </c>
      <c r="H205" s="9">
        <v>148477</v>
      </c>
      <c r="I205" s="9">
        <f>YEAR([1]!Engagement_Summary[[#This Row],[Week_Start_Date]])</f>
        <v>1900</v>
      </c>
      <c r="J205" s="9">
        <f>MONTH([1]!Engagement_Summary[[#This Row],[Week_Start_Date]])</f>
        <v>1</v>
      </c>
      <c r="K205" s="9">
        <f t="shared" si="9"/>
        <v>1</v>
      </c>
      <c r="L205" s="9">
        <f t="shared" si="11"/>
        <v>864</v>
      </c>
      <c r="BV205" s="8">
        <v>45782</v>
      </c>
      <c r="BW205" s="9" t="s">
        <v>35</v>
      </c>
      <c r="BX205" s="9">
        <v>1035</v>
      </c>
      <c r="BY205" s="9">
        <v>171</v>
      </c>
      <c r="BZ205" s="9">
        <v>148477</v>
      </c>
      <c r="CA205" s="11">
        <v>5.21E-2</v>
      </c>
      <c r="CB205" s="12">
        <v>7541</v>
      </c>
      <c r="CC205" s="9">
        <f>YEAR([1]!Engagement_Summary[[#This Row],[Week_Start_Date]])</f>
        <v>1900</v>
      </c>
      <c r="CD205" s="9">
        <f>MONTH([1]!Engagement_Summary[[#This Row],[Week_Start_Date]])</f>
        <v>1</v>
      </c>
      <c r="CE205" s="9">
        <f t="shared" si="10"/>
        <v>1</v>
      </c>
      <c r="CF205" s="9">
        <v>864</v>
      </c>
      <c r="CH205" s="4">
        <v>7541</v>
      </c>
      <c r="CI205">
        <f>[1]!Engagement_Summary[[#This Row],[New_Followers]]-[1]!Engagement_Summary[[#This Row],[Unfollows]]</f>
        <v>0</v>
      </c>
    </row>
    <row r="206" spans="4:87" x14ac:dyDescent="0.25">
      <c r="D206" s="8">
        <v>45789</v>
      </c>
      <c r="E206" s="9" t="s">
        <v>35</v>
      </c>
      <c r="F206" s="9">
        <v>119</v>
      </c>
      <c r="G206" s="9">
        <v>456</v>
      </c>
      <c r="H206" s="9">
        <v>82558</v>
      </c>
      <c r="I206" s="9">
        <f>YEAR([1]!Engagement_Summary[[#This Row],[Week_Start_Date]])</f>
        <v>1900</v>
      </c>
      <c r="J206" s="9">
        <f>MONTH([1]!Engagement_Summary[[#This Row],[Week_Start_Date]])</f>
        <v>1</v>
      </c>
      <c r="K206" s="9">
        <f t="shared" si="9"/>
        <v>2</v>
      </c>
      <c r="L206" s="9">
        <f t="shared" si="11"/>
        <v>-337</v>
      </c>
      <c r="BV206" s="8">
        <v>45789</v>
      </c>
      <c r="BW206" s="9" t="s">
        <v>35</v>
      </c>
      <c r="BX206" s="9">
        <v>119</v>
      </c>
      <c r="BY206" s="9">
        <v>456</v>
      </c>
      <c r="BZ206" s="9">
        <v>82558</v>
      </c>
      <c r="CA206" s="11">
        <v>6.8099999999999994E-2</v>
      </c>
      <c r="CB206" s="12">
        <v>12174</v>
      </c>
      <c r="CC206" s="9">
        <f>YEAR([1]!Engagement_Summary[[#This Row],[Week_Start_Date]])</f>
        <v>1900</v>
      </c>
      <c r="CD206" s="9">
        <f>MONTH([1]!Engagement_Summary[[#This Row],[Week_Start_Date]])</f>
        <v>1</v>
      </c>
      <c r="CE206" s="9">
        <f t="shared" si="10"/>
        <v>2</v>
      </c>
      <c r="CF206" s="9">
        <v>-337</v>
      </c>
      <c r="CH206" s="4">
        <v>12174</v>
      </c>
      <c r="CI206">
        <f>[1]!Engagement_Summary[[#This Row],[New_Followers]]-[1]!Engagement_Summary[[#This Row],[Unfollows]]</f>
        <v>0</v>
      </c>
    </row>
  </sheetData>
  <mergeCells count="10">
    <mergeCell ref="A18:B21"/>
    <mergeCell ref="AL31:AU34"/>
    <mergeCell ref="AL36:AU36"/>
    <mergeCell ref="BI36:BT37"/>
    <mergeCell ref="D2:J3"/>
    <mergeCell ref="CA4:CH4"/>
    <mergeCell ref="G5:N5"/>
    <mergeCell ref="AL9:AY9"/>
    <mergeCell ref="BA9:BT9"/>
    <mergeCell ref="A17:B17"/>
  </mergeCells>
  <conditionalFormatting sqref="AM12:AY28">
    <cfRule type="top10" dxfId="2" priority="2" rank="10"/>
  </conditionalFormatting>
  <conditionalFormatting pivot="1" sqref="AM13:AX28">
    <cfRule type="top10" dxfId="1" priority="1" rank="1"/>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FollowerRetention&amp;Loyalty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Balaji</dc:creator>
  <cp:lastModifiedBy>Sanika Balaji</cp:lastModifiedBy>
  <dcterms:created xsi:type="dcterms:W3CDTF">2025-11-07T20:03:13Z</dcterms:created>
  <dcterms:modified xsi:type="dcterms:W3CDTF">2025-11-07T20:03:54Z</dcterms:modified>
</cp:coreProperties>
</file>