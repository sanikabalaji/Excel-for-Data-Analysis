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ndia\Documents\"/>
    </mc:Choice>
  </mc:AlternateContent>
  <xr:revisionPtr revIDLastSave="0" documentId="8_{9DA3AC9E-6541-47F6-B330-12AA91D8D4F9}" xr6:coauthVersionLast="47" xr6:coauthVersionMax="47" xr10:uidLastSave="{00000000-0000-0000-0000-000000000000}"/>
  <bookViews>
    <workbookView xWindow="-120" yWindow="-120" windowWidth="23280" windowHeight="14880" xr2:uid="{69BAFD64-95F0-42BB-9EE4-648E7BBB9F2A}"/>
  </bookViews>
  <sheets>
    <sheet name="Engagement Analysis" sheetId="1" r:id="rId1"/>
  </sheets>
  <externalReferences>
    <externalReference r:id="rId2"/>
  </externalReferences>
  <calcPr calcId="191029"/>
  <pivotCaches>
    <pivotCache cacheId="7" r:id="rId3"/>
    <pivotCache cacheId="6" r:id="rId4"/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5" i="1" l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AI12" i="1" a="1"/>
  <c r="AI12" i="1" s="1"/>
  <c r="V12" i="1"/>
  <c r="AI11" i="1"/>
  <c r="AI11" i="1" a="1"/>
  <c r="V11" i="1"/>
  <c r="AI10" i="1" a="1"/>
  <c r="AI10" i="1" s="1"/>
  <c r="V10" i="1"/>
  <c r="AI9" i="1"/>
  <c r="AI9" i="1" a="1"/>
  <c r="V9" i="1"/>
  <c r="AI8" i="1" a="1"/>
  <c r="AI8" i="1" s="1"/>
  <c r="V8" i="1"/>
  <c r="G6" i="1" a="1"/>
  <c r="G6" i="1" s="1"/>
  <c r="E6" i="1" a="1"/>
  <c r="E6" i="1" s="1"/>
  <c r="D6" i="1" a="1"/>
  <c r="D6" i="1" s="1"/>
  <c r="A6" i="1" a="1"/>
  <c r="B9" i="1" s="1"/>
  <c r="AF4" i="1" a="1"/>
  <c r="AF4" i="1" s="1"/>
  <c r="AE3" i="1" a="1"/>
  <c r="AF327" i="1" s="1" a="1"/>
  <c r="AF327" i="1" s="1"/>
  <c r="V7" i="1"/>
  <c r="A6" i="1" l="1"/>
  <c r="AF11" i="1" a="1"/>
  <c r="AF11" i="1" s="1"/>
  <c r="AF16" i="1" a="1"/>
  <c r="AF16" i="1" s="1"/>
  <c r="AF24" i="1" a="1"/>
  <c r="AF24" i="1" s="1"/>
  <c r="AF32" i="1" a="1"/>
  <c r="AF32" i="1" s="1"/>
  <c r="AF41" i="1" a="1"/>
  <c r="AF41" i="1" s="1"/>
  <c r="AF49" i="1" a="1"/>
  <c r="AF49" i="1" s="1"/>
  <c r="AF97" i="1" a="1"/>
  <c r="AF97" i="1" s="1"/>
  <c r="AF108" i="1" a="1"/>
  <c r="AF108" i="1" s="1"/>
  <c r="AF113" i="1" a="1"/>
  <c r="AF113" i="1" s="1"/>
  <c r="AF124" i="1" a="1"/>
  <c r="AF124" i="1" s="1"/>
  <c r="AF129" i="1" a="1"/>
  <c r="AF129" i="1" s="1"/>
  <c r="AF140" i="1" a="1"/>
  <c r="AF140" i="1" s="1"/>
  <c r="AF145" i="1" a="1"/>
  <c r="AF145" i="1" s="1"/>
  <c r="AF156" i="1" a="1"/>
  <c r="AF156" i="1" s="1"/>
  <c r="AF161" i="1" a="1"/>
  <c r="AF161" i="1" s="1"/>
  <c r="AF172" i="1" a="1"/>
  <c r="AF172" i="1" s="1"/>
  <c r="AF186" i="1" a="1"/>
  <c r="AF186" i="1" s="1"/>
  <c r="AF193" i="1" a="1"/>
  <c r="AF193" i="1" s="1"/>
  <c r="AF200" i="1" a="1"/>
  <c r="AF200" i="1" s="1"/>
  <c r="AF210" i="1" a="1"/>
  <c r="AF210" i="1" s="1"/>
  <c r="AF221" i="1" a="1"/>
  <c r="AF221" i="1" s="1"/>
  <c r="AF231" i="1" a="1"/>
  <c r="AF231" i="1" s="1"/>
  <c r="AF242" i="1" a="1"/>
  <c r="AF242" i="1" s="1"/>
  <c r="AF253" i="1" a="1"/>
  <c r="AF253" i="1" s="1"/>
  <c r="AF263" i="1" a="1"/>
  <c r="AF263" i="1" s="1"/>
  <c r="AF274" i="1" a="1"/>
  <c r="AF274" i="1" s="1"/>
  <c r="AF285" i="1" a="1"/>
  <c r="AF285" i="1" s="1"/>
  <c r="AF295" i="1" a="1"/>
  <c r="AF295" i="1" s="1"/>
  <c r="AF306" i="1" a="1"/>
  <c r="AF306" i="1" s="1"/>
  <c r="AF317" i="1" a="1"/>
  <c r="AF317" i="1" s="1"/>
  <c r="AF341" i="1" a="1"/>
  <c r="AF341" i="1" s="1"/>
  <c r="AF340" i="1" a="1"/>
  <c r="AF340" i="1" s="1"/>
  <c r="AF336" i="1" a="1"/>
  <c r="AF336" i="1" s="1"/>
  <c r="AF332" i="1" a="1"/>
  <c r="AF332" i="1" s="1"/>
  <c r="AF328" i="1" a="1"/>
  <c r="AF328" i="1" s="1"/>
  <c r="AF324" i="1" a="1"/>
  <c r="AF324" i="1" s="1"/>
  <c r="AF320" i="1" a="1"/>
  <c r="AF320" i="1" s="1"/>
  <c r="AF316" i="1" a="1"/>
  <c r="AF316" i="1" s="1"/>
  <c r="AF312" i="1" a="1"/>
  <c r="AF312" i="1" s="1"/>
  <c r="AF308" i="1" a="1"/>
  <c r="AF308" i="1" s="1"/>
  <c r="AF304" i="1" a="1"/>
  <c r="AF304" i="1" s="1"/>
  <c r="AF300" i="1" a="1"/>
  <c r="AF300" i="1" s="1"/>
  <c r="AF296" i="1" a="1"/>
  <c r="AF296" i="1" s="1"/>
  <c r="AF292" i="1" a="1"/>
  <c r="AF292" i="1" s="1"/>
  <c r="AF288" i="1" a="1"/>
  <c r="AF288" i="1" s="1"/>
  <c r="AF284" i="1" a="1"/>
  <c r="AF284" i="1" s="1"/>
  <c r="AF280" i="1" a="1"/>
  <c r="AF280" i="1" s="1"/>
  <c r="AF276" i="1" a="1"/>
  <c r="AF276" i="1" s="1"/>
  <c r="AF272" i="1" a="1"/>
  <c r="AF272" i="1" s="1"/>
  <c r="AF268" i="1" a="1"/>
  <c r="AF268" i="1" s="1"/>
  <c r="AF264" i="1" a="1"/>
  <c r="AF264" i="1" s="1"/>
  <c r="AF260" i="1" a="1"/>
  <c r="AF260" i="1" s="1"/>
  <c r="AF256" i="1" a="1"/>
  <c r="AF256" i="1" s="1"/>
  <c r="AF252" i="1" a="1"/>
  <c r="AF252" i="1" s="1"/>
  <c r="AF248" i="1" a="1"/>
  <c r="AF248" i="1" s="1"/>
  <c r="AF244" i="1" a="1"/>
  <c r="AF244" i="1" s="1"/>
  <c r="AF240" i="1" a="1"/>
  <c r="AF240" i="1" s="1"/>
  <c r="AF236" i="1" a="1"/>
  <c r="AF236" i="1" s="1"/>
  <c r="AF232" i="1" a="1"/>
  <c r="AF232" i="1" s="1"/>
  <c r="AF228" i="1" a="1"/>
  <c r="AF228" i="1" s="1"/>
  <c r="AF224" i="1" a="1"/>
  <c r="AF224" i="1" s="1"/>
  <c r="AF220" i="1" a="1"/>
  <c r="AF220" i="1" s="1"/>
  <c r="AF216" i="1" a="1"/>
  <c r="AF216" i="1" s="1"/>
  <c r="AF212" i="1" a="1"/>
  <c r="AF212" i="1" s="1"/>
  <c r="AF208" i="1" a="1"/>
  <c r="AF208" i="1" s="1"/>
  <c r="AF204" i="1" a="1"/>
  <c r="AF204" i="1" s="1"/>
  <c r="AF198" i="1" a="1"/>
  <c r="AF198" i="1" s="1"/>
  <c r="AF195" i="1" a="1"/>
  <c r="AF195" i="1" s="1"/>
  <c r="AF190" i="1" a="1"/>
  <c r="AF190" i="1" s="1"/>
  <c r="AF187" i="1" a="1"/>
  <c r="AF187" i="1" s="1"/>
  <c r="AF182" i="1" a="1"/>
  <c r="AF182" i="1" s="1"/>
  <c r="AF179" i="1" a="1"/>
  <c r="AF179" i="1" s="1"/>
  <c r="AF174" i="1" a="1"/>
  <c r="AF174" i="1" s="1"/>
  <c r="AF339" i="1" a="1"/>
  <c r="AF339" i="1" s="1"/>
  <c r="AF338" i="1" a="1"/>
  <c r="AF338" i="1" s="1"/>
  <c r="AF337" i="1" a="1"/>
  <c r="AF337" i="1" s="1"/>
  <c r="AF331" i="1" a="1"/>
  <c r="AF331" i="1" s="1"/>
  <c r="AF326" i="1" a="1"/>
  <c r="AF326" i="1" s="1"/>
  <c r="AF321" i="1" a="1"/>
  <c r="AF321" i="1" s="1"/>
  <c r="AF315" i="1" a="1"/>
  <c r="AF315" i="1" s="1"/>
  <c r="AF310" i="1" a="1"/>
  <c r="AF310" i="1" s="1"/>
  <c r="AF305" i="1" a="1"/>
  <c r="AF305" i="1" s="1"/>
  <c r="AF299" i="1" a="1"/>
  <c r="AF299" i="1" s="1"/>
  <c r="AF294" i="1" a="1"/>
  <c r="AF294" i="1" s="1"/>
  <c r="AF289" i="1" a="1"/>
  <c r="AF289" i="1" s="1"/>
  <c r="AF283" i="1" a="1"/>
  <c r="AF283" i="1" s="1"/>
  <c r="AF278" i="1" a="1"/>
  <c r="AF278" i="1" s="1"/>
  <c r="AF273" i="1" a="1"/>
  <c r="AF273" i="1" s="1"/>
  <c r="AF267" i="1" a="1"/>
  <c r="AF267" i="1" s="1"/>
  <c r="AF262" i="1" a="1"/>
  <c r="AF262" i="1" s="1"/>
  <c r="AF257" i="1" a="1"/>
  <c r="AF257" i="1" s="1"/>
  <c r="AF251" i="1" a="1"/>
  <c r="AF251" i="1" s="1"/>
  <c r="AF246" i="1" a="1"/>
  <c r="AF246" i="1" s="1"/>
  <c r="AF241" i="1" a="1"/>
  <c r="AF241" i="1" s="1"/>
  <c r="AF235" i="1" a="1"/>
  <c r="AF235" i="1" s="1"/>
  <c r="AF230" i="1" a="1"/>
  <c r="AF230" i="1" s="1"/>
  <c r="AF225" i="1" a="1"/>
  <c r="AF225" i="1" s="1"/>
  <c r="AF219" i="1" a="1"/>
  <c r="AF219" i="1" s="1"/>
  <c r="AF214" i="1" a="1"/>
  <c r="AF214" i="1" s="1"/>
  <c r="AF209" i="1" a="1"/>
  <c r="AF209" i="1" s="1"/>
  <c r="AF203" i="1" a="1"/>
  <c r="AF203" i="1" s="1"/>
  <c r="AF199" i="1" a="1"/>
  <c r="AF199" i="1" s="1"/>
  <c r="AF196" i="1" a="1"/>
  <c r="AF196" i="1" s="1"/>
  <c r="AF192" i="1" a="1"/>
  <c r="AF192" i="1" s="1"/>
  <c r="AF185" i="1" a="1"/>
  <c r="AF185" i="1" s="1"/>
  <c r="AF181" i="1" a="1"/>
  <c r="AF181" i="1" s="1"/>
  <c r="AF178" i="1" a="1"/>
  <c r="AF178" i="1" s="1"/>
  <c r="AF171" i="1" a="1"/>
  <c r="AF171" i="1" s="1"/>
  <c r="AF166" i="1" a="1"/>
  <c r="AF166" i="1" s="1"/>
  <c r="AF163" i="1" a="1"/>
  <c r="AF163" i="1" s="1"/>
  <c r="AF158" i="1" a="1"/>
  <c r="AF158" i="1" s="1"/>
  <c r="AF155" i="1" a="1"/>
  <c r="AF155" i="1" s="1"/>
  <c r="AF150" i="1" a="1"/>
  <c r="AF150" i="1" s="1"/>
  <c r="AF147" i="1" a="1"/>
  <c r="AF147" i="1" s="1"/>
  <c r="AF142" i="1" a="1"/>
  <c r="AF142" i="1" s="1"/>
  <c r="AF139" i="1" a="1"/>
  <c r="AF139" i="1" s="1"/>
  <c r="AF134" i="1" a="1"/>
  <c r="AF134" i="1" s="1"/>
  <c r="AF131" i="1" a="1"/>
  <c r="AF131" i="1" s="1"/>
  <c r="AF126" i="1" a="1"/>
  <c r="AF126" i="1" s="1"/>
  <c r="AF123" i="1" a="1"/>
  <c r="AF123" i="1" s="1"/>
  <c r="AF118" i="1" a="1"/>
  <c r="AF118" i="1" s="1"/>
  <c r="AF115" i="1" a="1"/>
  <c r="AF115" i="1" s="1"/>
  <c r="AF110" i="1" a="1"/>
  <c r="AF110" i="1" s="1"/>
  <c r="AF107" i="1" a="1"/>
  <c r="AF107" i="1" s="1"/>
  <c r="AF102" i="1" a="1"/>
  <c r="AF102" i="1" s="1"/>
  <c r="AF99" i="1" a="1"/>
  <c r="AF99" i="1" s="1"/>
  <c r="AF94" i="1" a="1"/>
  <c r="AF94" i="1" s="1"/>
  <c r="AF92" i="1" a="1"/>
  <c r="AF92" i="1" s="1"/>
  <c r="AF90" i="1" a="1"/>
  <c r="AF90" i="1" s="1"/>
  <c r="AF88" i="1" a="1"/>
  <c r="AF88" i="1" s="1"/>
  <c r="AF86" i="1" a="1"/>
  <c r="AF86" i="1" s="1"/>
  <c r="AF84" i="1" a="1"/>
  <c r="AF84" i="1" s="1"/>
  <c r="AF82" i="1" a="1"/>
  <c r="AF82" i="1" s="1"/>
  <c r="AF80" i="1" a="1"/>
  <c r="AF80" i="1" s="1"/>
  <c r="AF78" i="1" a="1"/>
  <c r="AF78" i="1" s="1"/>
  <c r="AF76" i="1" a="1"/>
  <c r="AF76" i="1" s="1"/>
  <c r="AF74" i="1" a="1"/>
  <c r="AF74" i="1" s="1"/>
  <c r="AF72" i="1" a="1"/>
  <c r="AF72" i="1" s="1"/>
  <c r="AF70" i="1" a="1"/>
  <c r="AF70" i="1" s="1"/>
  <c r="AF68" i="1" a="1"/>
  <c r="AF68" i="1" s="1"/>
  <c r="AF66" i="1" a="1"/>
  <c r="AF66" i="1" s="1"/>
  <c r="AF64" i="1" a="1"/>
  <c r="AF64" i="1" s="1"/>
  <c r="AF62" i="1" a="1"/>
  <c r="AF62" i="1" s="1"/>
  <c r="AF60" i="1" a="1"/>
  <c r="AF60" i="1" s="1"/>
  <c r="AF58" i="1" a="1"/>
  <c r="AF58" i="1" s="1"/>
  <c r="AF56" i="1" a="1"/>
  <c r="AF56" i="1" s="1"/>
  <c r="AF54" i="1" a="1"/>
  <c r="AF54" i="1" s="1"/>
  <c r="AF52" i="1" a="1"/>
  <c r="AF52" i="1" s="1"/>
  <c r="AF50" i="1" a="1"/>
  <c r="AF50" i="1" s="1"/>
  <c r="AF48" i="1" a="1"/>
  <c r="AF48" i="1" s="1"/>
  <c r="AF46" i="1" a="1"/>
  <c r="AF46" i="1" s="1"/>
  <c r="AF44" i="1" a="1"/>
  <c r="AF44" i="1" s="1"/>
  <c r="AF42" i="1" a="1"/>
  <c r="AF42" i="1" s="1"/>
  <c r="AF40" i="1" a="1"/>
  <c r="AF40" i="1" s="1"/>
  <c r="AF38" i="1" a="1"/>
  <c r="AF38" i="1" s="1"/>
  <c r="AF36" i="1" a="1"/>
  <c r="AF36" i="1" s="1"/>
  <c r="AF33" i="1" a="1"/>
  <c r="AF33" i="1" s="1"/>
  <c r="AF29" i="1" a="1"/>
  <c r="AF29" i="1" s="1"/>
  <c r="AF25" i="1" a="1"/>
  <c r="AF25" i="1" s="1"/>
  <c r="AF21" i="1" a="1"/>
  <c r="AF21" i="1" s="1"/>
  <c r="AF17" i="1" a="1"/>
  <c r="AF17" i="1" s="1"/>
  <c r="AF13" i="1" a="1"/>
  <c r="AF13" i="1" s="1"/>
  <c r="AF334" i="1" a="1"/>
  <c r="AF334" i="1" s="1"/>
  <c r="AF329" i="1" a="1"/>
  <c r="AF329" i="1" s="1"/>
  <c r="AF323" i="1" a="1"/>
  <c r="AF323" i="1" s="1"/>
  <c r="AF318" i="1" a="1"/>
  <c r="AF318" i="1" s="1"/>
  <c r="AF313" i="1" a="1"/>
  <c r="AF313" i="1" s="1"/>
  <c r="AF307" i="1" a="1"/>
  <c r="AF307" i="1" s="1"/>
  <c r="AF302" i="1" a="1"/>
  <c r="AF302" i="1" s="1"/>
  <c r="AF297" i="1" a="1"/>
  <c r="AF297" i="1" s="1"/>
  <c r="AF291" i="1" a="1"/>
  <c r="AF291" i="1" s="1"/>
  <c r="AF286" i="1" a="1"/>
  <c r="AF286" i="1" s="1"/>
  <c r="AF281" i="1" a="1"/>
  <c r="AF281" i="1" s="1"/>
  <c r="AF275" i="1" a="1"/>
  <c r="AF275" i="1" s="1"/>
  <c r="AF270" i="1" a="1"/>
  <c r="AF270" i="1" s="1"/>
  <c r="AF265" i="1" a="1"/>
  <c r="AF265" i="1" s="1"/>
  <c r="AF259" i="1" a="1"/>
  <c r="AF259" i="1" s="1"/>
  <c r="AF254" i="1" a="1"/>
  <c r="AF254" i="1" s="1"/>
  <c r="AF249" i="1" a="1"/>
  <c r="AF249" i="1" s="1"/>
  <c r="AF243" i="1" a="1"/>
  <c r="AF243" i="1" s="1"/>
  <c r="AF238" i="1" a="1"/>
  <c r="AF238" i="1" s="1"/>
  <c r="AF233" i="1" a="1"/>
  <c r="AF233" i="1" s="1"/>
  <c r="AF227" i="1" a="1"/>
  <c r="AF227" i="1" s="1"/>
  <c r="AF222" i="1" a="1"/>
  <c r="AF222" i="1" s="1"/>
  <c r="AF217" i="1" a="1"/>
  <c r="AF217" i="1" s="1"/>
  <c r="AF211" i="1" a="1"/>
  <c r="AF211" i="1" s="1"/>
  <c r="AF206" i="1" a="1"/>
  <c r="AF206" i="1" s="1"/>
  <c r="AF201" i="1" a="1"/>
  <c r="AF201" i="1" s="1"/>
  <c r="AF197" i="1" a="1"/>
  <c r="AF197" i="1" s="1"/>
  <c r="AF194" i="1" a="1"/>
  <c r="AF194" i="1" s="1"/>
  <c r="AF183" i="1" a="1"/>
  <c r="AF183" i="1" s="1"/>
  <c r="AF180" i="1" a="1"/>
  <c r="AF180" i="1" s="1"/>
  <c r="AF176" i="1" a="1"/>
  <c r="AF176" i="1" s="1"/>
  <c r="AF170" i="1" a="1"/>
  <c r="AF170" i="1" s="1"/>
  <c r="AF167" i="1" a="1"/>
  <c r="AF167" i="1" s="1"/>
  <c r="AF162" i="1" a="1"/>
  <c r="AF162" i="1" s="1"/>
  <c r="AF159" i="1" a="1"/>
  <c r="AF159" i="1" s="1"/>
  <c r="AF154" i="1" a="1"/>
  <c r="AF154" i="1" s="1"/>
  <c r="AF151" i="1" a="1"/>
  <c r="AF151" i="1" s="1"/>
  <c r="AF146" i="1" a="1"/>
  <c r="AF146" i="1" s="1"/>
  <c r="AF143" i="1" a="1"/>
  <c r="AF143" i="1" s="1"/>
  <c r="AF138" i="1" a="1"/>
  <c r="AF138" i="1" s="1"/>
  <c r="AF135" i="1" a="1"/>
  <c r="AF135" i="1" s="1"/>
  <c r="AF130" i="1" a="1"/>
  <c r="AF130" i="1" s="1"/>
  <c r="AF127" i="1" a="1"/>
  <c r="AF127" i="1" s="1"/>
  <c r="AF122" i="1" a="1"/>
  <c r="AF122" i="1" s="1"/>
  <c r="AF119" i="1" a="1"/>
  <c r="AF119" i="1" s="1"/>
  <c r="AF114" i="1" a="1"/>
  <c r="AF114" i="1" s="1"/>
  <c r="AF111" i="1" a="1"/>
  <c r="AF111" i="1" s="1"/>
  <c r="AF106" i="1" a="1"/>
  <c r="AF106" i="1" s="1"/>
  <c r="AF103" i="1" a="1"/>
  <c r="AF103" i="1" s="1"/>
  <c r="AF98" i="1" a="1"/>
  <c r="AF98" i="1" s="1"/>
  <c r="AF95" i="1" a="1"/>
  <c r="AF95" i="1" s="1"/>
  <c r="AF93" i="1" a="1"/>
  <c r="AF93" i="1" s="1"/>
  <c r="AF91" i="1" a="1"/>
  <c r="AF91" i="1" s="1"/>
  <c r="AF89" i="1" a="1"/>
  <c r="AF89" i="1" s="1"/>
  <c r="AF87" i="1" a="1"/>
  <c r="AF87" i="1" s="1"/>
  <c r="AF85" i="1" a="1"/>
  <c r="AF85" i="1" s="1"/>
  <c r="AF83" i="1" a="1"/>
  <c r="AF83" i="1" s="1"/>
  <c r="AF81" i="1" a="1"/>
  <c r="AF81" i="1" s="1"/>
  <c r="AF79" i="1" a="1"/>
  <c r="AF79" i="1" s="1"/>
  <c r="AF77" i="1" a="1"/>
  <c r="AF77" i="1" s="1"/>
  <c r="AF75" i="1" a="1"/>
  <c r="AF75" i="1" s="1"/>
  <c r="AF73" i="1" a="1"/>
  <c r="AF73" i="1" s="1"/>
  <c r="AF71" i="1" a="1"/>
  <c r="AF71" i="1" s="1"/>
  <c r="AF69" i="1" a="1"/>
  <c r="AF69" i="1" s="1"/>
  <c r="AF67" i="1" a="1"/>
  <c r="AF67" i="1" s="1"/>
  <c r="AF65" i="1" a="1"/>
  <c r="AF65" i="1" s="1"/>
  <c r="AF63" i="1" a="1"/>
  <c r="AF63" i="1" s="1"/>
  <c r="AF61" i="1" a="1"/>
  <c r="AF61" i="1" s="1"/>
  <c r="AF59" i="1" a="1"/>
  <c r="AF59" i="1" s="1"/>
  <c r="AF57" i="1" a="1"/>
  <c r="AF57" i="1" s="1"/>
  <c r="AF55" i="1" a="1"/>
  <c r="AF55" i="1" s="1"/>
  <c r="AF53" i="1" a="1"/>
  <c r="AF53" i="1" s="1"/>
  <c r="AF51" i="1" a="1"/>
  <c r="AF51" i="1" s="1"/>
  <c r="AF5" i="1" a="1"/>
  <c r="AF5" i="1" s="1"/>
  <c r="B7" i="1"/>
  <c r="B8" i="1"/>
  <c r="AF9" i="1" a="1"/>
  <c r="AF9" i="1" s="1"/>
  <c r="B10" i="1"/>
  <c r="AF12" i="1" a="1"/>
  <c r="AF12" i="1" s="1"/>
  <c r="AF15" i="1" a="1"/>
  <c r="AF15" i="1" s="1"/>
  <c r="AF18" i="1" a="1"/>
  <c r="AF18" i="1" s="1"/>
  <c r="AF23" i="1" a="1"/>
  <c r="AF23" i="1" s="1"/>
  <c r="AF26" i="1" a="1"/>
  <c r="AF26" i="1" s="1"/>
  <c r="AF31" i="1" a="1"/>
  <c r="AF31" i="1" s="1"/>
  <c r="AF34" i="1" a="1"/>
  <c r="AF34" i="1" s="1"/>
  <c r="AF39" i="1" a="1"/>
  <c r="AF39" i="1" s="1"/>
  <c r="AF47" i="1" a="1"/>
  <c r="AF47" i="1" s="1"/>
  <c r="AF104" i="1" a="1"/>
  <c r="AF104" i="1" s="1"/>
  <c r="AF109" i="1" a="1"/>
  <c r="AF109" i="1" s="1"/>
  <c r="AF120" i="1" a="1"/>
  <c r="AF120" i="1" s="1"/>
  <c r="AF125" i="1" a="1"/>
  <c r="AF125" i="1" s="1"/>
  <c r="AF136" i="1" a="1"/>
  <c r="AF136" i="1" s="1"/>
  <c r="AF141" i="1" a="1"/>
  <c r="AF141" i="1" s="1"/>
  <c r="AF152" i="1" a="1"/>
  <c r="AF152" i="1" s="1"/>
  <c r="AF157" i="1" a="1"/>
  <c r="AF157" i="1" s="1"/>
  <c r="AF168" i="1" a="1"/>
  <c r="AF168" i="1" s="1"/>
  <c r="AF173" i="1" a="1"/>
  <c r="AF173" i="1" s="1"/>
  <c r="AF188" i="1" a="1"/>
  <c r="AF188" i="1" s="1"/>
  <c r="AF202" i="1" a="1"/>
  <c r="AF202" i="1" s="1"/>
  <c r="AF213" i="1" a="1"/>
  <c r="AF213" i="1" s="1"/>
  <c r="AF223" i="1" a="1"/>
  <c r="AF223" i="1" s="1"/>
  <c r="AF234" i="1" a="1"/>
  <c r="AF234" i="1" s="1"/>
  <c r="AF245" i="1" a="1"/>
  <c r="AF245" i="1" s="1"/>
  <c r="AF255" i="1" a="1"/>
  <c r="AF255" i="1" s="1"/>
  <c r="AF266" i="1" a="1"/>
  <c r="AF266" i="1" s="1"/>
  <c r="AF277" i="1" a="1"/>
  <c r="AF277" i="1" s="1"/>
  <c r="AF287" i="1" a="1"/>
  <c r="AF287" i="1" s="1"/>
  <c r="AF298" i="1" a="1"/>
  <c r="AF298" i="1" s="1"/>
  <c r="AF309" i="1" a="1"/>
  <c r="AF309" i="1" s="1"/>
  <c r="AF319" i="1" a="1"/>
  <c r="AF319" i="1" s="1"/>
  <c r="AF330" i="1" a="1"/>
  <c r="AF330" i="1" s="1"/>
  <c r="AE3" i="1"/>
  <c r="AF20" i="1" a="1"/>
  <c r="AF20" i="1" s="1"/>
  <c r="AF28" i="1" a="1"/>
  <c r="AF28" i="1" s="1"/>
  <c r="AF37" i="1" a="1"/>
  <c r="AF37" i="1" s="1"/>
  <c r="AF45" i="1" a="1"/>
  <c r="AF45" i="1" s="1"/>
  <c r="AF100" i="1" a="1"/>
  <c r="AF100" i="1" s="1"/>
  <c r="AF105" i="1" a="1"/>
  <c r="AF105" i="1" s="1"/>
  <c r="AF116" i="1" a="1"/>
  <c r="AF116" i="1" s="1"/>
  <c r="AF121" i="1" a="1"/>
  <c r="AF121" i="1" s="1"/>
  <c r="AF132" i="1" a="1"/>
  <c r="AF132" i="1" s="1"/>
  <c r="AF137" i="1" a="1"/>
  <c r="AF137" i="1" s="1"/>
  <c r="AF148" i="1" a="1"/>
  <c r="AF148" i="1" s="1"/>
  <c r="AF153" i="1" a="1"/>
  <c r="AF153" i="1" s="1"/>
  <c r="AF164" i="1" a="1"/>
  <c r="AF164" i="1" s="1"/>
  <c r="AF169" i="1" a="1"/>
  <c r="AF169" i="1" s="1"/>
  <c r="AF175" i="1" a="1"/>
  <c r="AF175" i="1" s="1"/>
  <c r="AF189" i="1" a="1"/>
  <c r="AF189" i="1" s="1"/>
  <c r="AF205" i="1" a="1"/>
  <c r="AF205" i="1" s="1"/>
  <c r="AF215" i="1" a="1"/>
  <c r="AF215" i="1" s="1"/>
  <c r="AF226" i="1" a="1"/>
  <c r="AF226" i="1" s="1"/>
  <c r="AF237" i="1" a="1"/>
  <c r="AF237" i="1" s="1"/>
  <c r="AF247" i="1" a="1"/>
  <c r="AF247" i="1" s="1"/>
  <c r="AF258" i="1" a="1"/>
  <c r="AF258" i="1" s="1"/>
  <c r="AF269" i="1" a="1"/>
  <c r="AF269" i="1" s="1"/>
  <c r="AF279" i="1" a="1"/>
  <c r="AF279" i="1" s="1"/>
  <c r="AF290" i="1" a="1"/>
  <c r="AF290" i="1" s="1"/>
  <c r="AF301" i="1" a="1"/>
  <c r="AF301" i="1" s="1"/>
  <c r="AF311" i="1" a="1"/>
  <c r="AF311" i="1" s="1"/>
  <c r="AF322" i="1" a="1"/>
  <c r="AF322" i="1" s="1"/>
  <c r="AF333" i="1" a="1"/>
  <c r="AF333" i="1" s="1"/>
  <c r="AF6" i="1" a="1"/>
  <c r="AF6" i="1" s="1"/>
  <c r="AF7" i="1" a="1"/>
  <c r="AF7" i="1" s="1"/>
  <c r="AF8" i="1" a="1"/>
  <c r="AF8" i="1" s="1"/>
  <c r="AF10" i="1" a="1"/>
  <c r="AF10" i="1" s="1"/>
  <c r="AF14" i="1" a="1"/>
  <c r="AF14" i="1" s="1"/>
  <c r="AF19" i="1" a="1"/>
  <c r="AF19" i="1" s="1"/>
  <c r="AF22" i="1" a="1"/>
  <c r="AF22" i="1" s="1"/>
  <c r="AF27" i="1" a="1"/>
  <c r="AF27" i="1" s="1"/>
  <c r="AF30" i="1" a="1"/>
  <c r="AF30" i="1" s="1"/>
  <c r="AF35" i="1" a="1"/>
  <c r="AF35" i="1" s="1"/>
  <c r="AF43" i="1" a="1"/>
  <c r="AF43" i="1" s="1"/>
  <c r="AF96" i="1" a="1"/>
  <c r="AF96" i="1" s="1"/>
  <c r="AF101" i="1" a="1"/>
  <c r="AF101" i="1" s="1"/>
  <c r="AF112" i="1" a="1"/>
  <c r="AF112" i="1" s="1"/>
  <c r="AF117" i="1" a="1"/>
  <c r="AF117" i="1" s="1"/>
  <c r="AF128" i="1" a="1"/>
  <c r="AF128" i="1" s="1"/>
  <c r="AF133" i="1" a="1"/>
  <c r="AF133" i="1" s="1"/>
  <c r="AF144" i="1" a="1"/>
  <c r="AF144" i="1" s="1"/>
  <c r="AF149" i="1" a="1"/>
  <c r="AF149" i="1" s="1"/>
  <c r="AF160" i="1" a="1"/>
  <c r="AF160" i="1" s="1"/>
  <c r="AF165" i="1" a="1"/>
  <c r="AF165" i="1" s="1"/>
  <c r="AF177" i="1" a="1"/>
  <c r="AF177" i="1" s="1"/>
  <c r="AF184" i="1" a="1"/>
  <c r="AF184" i="1" s="1"/>
  <c r="AF191" i="1" a="1"/>
  <c r="AF191" i="1" s="1"/>
  <c r="AF207" i="1" a="1"/>
  <c r="AF207" i="1" s="1"/>
  <c r="AF218" i="1" a="1"/>
  <c r="AF218" i="1" s="1"/>
  <c r="AF229" i="1" a="1"/>
  <c r="AF229" i="1" s="1"/>
  <c r="AF239" i="1" a="1"/>
  <c r="AF239" i="1" s="1"/>
  <c r="AF250" i="1" a="1"/>
  <c r="AF250" i="1" s="1"/>
  <c r="AF261" i="1" a="1"/>
  <c r="AF261" i="1" s="1"/>
  <c r="AF271" i="1" a="1"/>
  <c r="AF271" i="1" s="1"/>
  <c r="AF282" i="1" a="1"/>
  <c r="AF282" i="1" s="1"/>
  <c r="AF293" i="1" a="1"/>
  <c r="AF293" i="1" s="1"/>
  <c r="AF303" i="1" a="1"/>
  <c r="AF303" i="1" s="1"/>
  <c r="AF314" i="1" a="1"/>
  <c r="AF314" i="1" s="1"/>
  <c r="AF325" i="1" a="1"/>
  <c r="AF325" i="1" s="1"/>
  <c r="AF335" i="1" a="1"/>
  <c r="AF3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<sst xmlns="http://schemas.openxmlformats.org/spreadsheetml/2006/main" count="1102" uniqueCount="345">
  <si>
    <t>Engagement Analysis</t>
  </si>
  <si>
    <t>Top performing Hashtags based on Formula Ranking (Top performers are highlighted)</t>
  </si>
  <si>
    <t>Average Clicks per post by Hashtags (Use filter to check for each hashtags)</t>
  </si>
  <si>
    <t>Hashtags Used</t>
  </si>
  <si>
    <t>Formula Based Ranking for each Hashtag</t>
  </si>
  <si>
    <t>#AnytimeIsPepsiTime</t>
  </si>
  <si>
    <t>#LiveForNow</t>
  </si>
  <si>
    <t>Top performing Hashtags</t>
  </si>
  <si>
    <t>Average Engagement rate per platform calculation</t>
  </si>
  <si>
    <t>Top 10 post with Highest Engagement(Highlighted in red)</t>
  </si>
  <si>
    <t>Total Likes shares and comment by content type and platform</t>
  </si>
  <si>
    <t>Post ID</t>
  </si>
  <si>
    <t>Clicks</t>
  </si>
  <si>
    <t>Average Engagement rate per Platform</t>
  </si>
  <si>
    <t>Row Labels</t>
  </si>
  <si>
    <t>Sum of Likes</t>
  </si>
  <si>
    <t>Sum of Shares</t>
  </si>
  <si>
    <t>Sum of Comments</t>
  </si>
  <si>
    <t>Likes + Shares+Comments</t>
  </si>
  <si>
    <t>P001</t>
  </si>
  <si>
    <t>Average of Clicks</t>
  </si>
  <si>
    <t>#PepsiCoRefresh</t>
  </si>
  <si>
    <t>Hashtags</t>
  </si>
  <si>
    <t>Percentage of Engagement rate per Hashtag</t>
  </si>
  <si>
    <t>Facebook</t>
  </si>
  <si>
    <t>#BetterWithPepsi</t>
  </si>
  <si>
    <t>GETPIVOTDATA("Clicks",$AA$6,"Post ID","P013")</t>
  </si>
  <si>
    <t>Carousel</t>
  </si>
  <si>
    <t>P002</t>
  </si>
  <si>
    <t>P023</t>
  </si>
  <si>
    <t>Image</t>
  </si>
  <si>
    <t>P060</t>
  </si>
  <si>
    <t>#ThirstyForMore</t>
  </si>
  <si>
    <t>Reel</t>
  </si>
  <si>
    <t>P003</t>
  </si>
  <si>
    <t>P082</t>
  </si>
  <si>
    <t>Story</t>
  </si>
  <si>
    <t>P004</t>
  </si>
  <si>
    <t>P097</t>
  </si>
  <si>
    <t>#SmoothLikeNitroPepsi</t>
  </si>
  <si>
    <t>Text</t>
  </si>
  <si>
    <t>P005</t>
  </si>
  <si>
    <t>P115</t>
  </si>
  <si>
    <t>Video</t>
  </si>
  <si>
    <t>P146</t>
  </si>
  <si>
    <t>Grand Total</t>
  </si>
  <si>
    <t>Instagram</t>
  </si>
  <si>
    <t>P006</t>
  </si>
  <si>
    <t>P164</t>
  </si>
  <si>
    <t>Formulas Used</t>
  </si>
  <si>
    <t>P007</t>
  </si>
  <si>
    <t>P195</t>
  </si>
  <si>
    <t>To calculate formula based ranking of each hashtag</t>
  </si>
  <si>
    <t>IFS(Percentage of Engagement rate per Hastag&gt;30%,"TOP",Percentage of engagement rate per hashtag &gt;25%,"MEDIUM", Percentage of Engagement rate per hashtag&lt;10%,"LEAST")</t>
  </si>
  <si>
    <t>P008</t>
  </si>
  <si>
    <t>P209</t>
  </si>
  <si>
    <t>P009</t>
  </si>
  <si>
    <t>P236</t>
  </si>
  <si>
    <t>P010</t>
  </si>
  <si>
    <t>P240</t>
  </si>
  <si>
    <t>P011</t>
  </si>
  <si>
    <t>P280</t>
  </si>
  <si>
    <t>To extract data unique data</t>
  </si>
  <si>
    <t>used Unique Function</t>
  </si>
  <si>
    <t>P012</t>
  </si>
  <si>
    <t>P292</t>
  </si>
  <si>
    <t>Twitter</t>
  </si>
  <si>
    <t>P013</t>
  </si>
  <si>
    <t>P295</t>
  </si>
  <si>
    <t xml:space="preserve">To calculate average engagement rate </t>
  </si>
  <si>
    <t>AVERAGEIF( platform,engagement rate )</t>
  </si>
  <si>
    <t>P014</t>
  </si>
  <si>
    <t>P015</t>
  </si>
  <si>
    <t>P016</t>
  </si>
  <si>
    <t>P017</t>
  </si>
  <si>
    <t>P018</t>
  </si>
  <si>
    <t>P019</t>
  </si>
  <si>
    <t>YouTube</t>
  </si>
  <si>
    <t>P020</t>
  </si>
  <si>
    <t>P021</t>
  </si>
  <si>
    <t>P022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</si>
  <si>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</si>
  <si>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</si>
  <si>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</si>
  <si>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</si>
  <si>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</si>
  <si>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</si>
  <si>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</si>
  <si>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</si>
  <si>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</si>
  <si>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</si>
  <si>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</si>
  <si>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</si>
  <si>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</si>
  <si>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</si>
  <si>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</si>
  <si>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</si>
  <si>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</si>
  <si>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</si>
  <si>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</si>
  <si>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</si>
  <si>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</si>
  <si>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</si>
  <si>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</si>
  <si>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</si>
  <si>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</si>
  <si>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</si>
  <si>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</si>
  <si>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</si>
  <si>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</si>
  <si>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</si>
  <si>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</si>
  <si>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</si>
  <si>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</si>
  <si>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</si>
  <si>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</si>
  <si>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</si>
  <si>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</si>
  <si>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</si>
  <si>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</si>
  <si>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</si>
  <si>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</si>
  <si>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</si>
  <si>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</si>
  <si>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</si>
  <si>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</si>
  <si>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</si>
  <si>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</si>
  <si>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</si>
  <si>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</si>
  <si>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</si>
  <si>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</si>
  <si>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</si>
  <si>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</si>
  <si>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</si>
  <si>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</si>
  <si>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</si>
  <si>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</si>
  <si>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</si>
  <si>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</si>
  <si>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</si>
  <si>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</si>
  <si>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</si>
  <si>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</si>
  <si>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</si>
  <si>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</si>
  <si>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</si>
  <si>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</si>
  <si>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</si>
  <si>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</si>
  <si>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</si>
  <si>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</si>
  <si>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</si>
  <si>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</si>
  <si>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</si>
  <si>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</si>
  <si>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</si>
  <si>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</si>
  <si>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</si>
  <si>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</si>
  <si>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</si>
  <si>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</si>
  <si>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</si>
  <si>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</si>
  <si>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</si>
  <si>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</si>
  <si>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</si>
  <si>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</si>
  <si>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</si>
  <si>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</si>
  <si>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</si>
  <si>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</si>
  <si>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</si>
  <si>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</si>
  <si>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</si>
  <si>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</si>
  <si>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</si>
  <si>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</si>
  <si>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</si>
  <si>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</si>
  <si>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</si>
  <si>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</si>
  <si>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</si>
  <si>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</si>
  <si>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</si>
  <si>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</si>
  <si>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</si>
  <si>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</si>
  <si>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</si>
  <si>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</si>
  <si>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</si>
  <si>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</si>
  <si>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</si>
  <si>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</si>
  <si>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</si>
  <si>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</si>
  <si>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</si>
  <si>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</si>
  <si>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</si>
  <si>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</si>
  <si>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</si>
  <si>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</si>
  <si>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</si>
  <si>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</si>
  <si>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</si>
  <si>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</si>
  <si>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</si>
  <si>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</si>
  <si>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</si>
  <si>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</si>
  <si>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</si>
  <si>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</si>
  <si>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</si>
  <si>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</si>
  <si>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</si>
  <si>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</si>
  <si>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</si>
  <si>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</si>
  <si>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</si>
  <si>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</si>
  <si>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</si>
  <si>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</si>
  <si>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</si>
  <si>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</si>
  <si>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</si>
  <si>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</si>
  <si>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</si>
  <si>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</si>
  <si>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</si>
  <si>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</si>
  <si>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</si>
  <si>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</si>
  <si>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</si>
  <si>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</si>
  <si>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</si>
  <si>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</si>
  <si>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</si>
  <si>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</si>
  <si>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</si>
  <si>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</si>
  <si>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</si>
  <si>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</si>
  <si>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</si>
  <si>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</si>
  <si>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</si>
  <si>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</si>
  <si>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</si>
  <si>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</si>
  <si>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</si>
  <si>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</si>
  <si>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</si>
  <si>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</si>
  <si>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</si>
  <si>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</si>
  <si>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</si>
  <si>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</si>
  <si>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</si>
  <si>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</si>
  <si>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</si>
  <si>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</si>
  <si>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</si>
  <si>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</si>
  <si>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</si>
  <si>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</si>
  <si>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</si>
  <si>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</si>
  <si>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</si>
  <si>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</si>
  <si>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</si>
  <si>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</si>
  <si>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</si>
  <si>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</si>
  <si>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</si>
  <si>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</si>
  <si>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</si>
  <si>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</si>
  <si>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</si>
  <si>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</si>
  <si>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</si>
  <si>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</si>
  <si>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</si>
  <si>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</si>
  <si>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</si>
  <si>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</si>
  <si>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</si>
  <si>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P237</t>
  </si>
  <si>
    <t>P238</t>
  </si>
  <si>
    <t>P239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</si>
  <si>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</si>
  <si>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</si>
  <si>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</si>
  <si>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</si>
  <si>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</si>
  <si>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</si>
  <si>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</si>
  <si>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</si>
  <si>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</si>
  <si>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</si>
  <si>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</si>
  <si>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</si>
  <si>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</si>
  <si>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</si>
  <si>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</si>
  <si>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</si>
  <si>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</si>
  <si>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</si>
  <si>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</si>
  <si>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</si>
  <si>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</si>
  <si>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</si>
  <si>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</si>
  <si>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</si>
  <si>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</si>
  <si>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</si>
  <si>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</si>
  <si>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</si>
  <si>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</si>
  <si>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</si>
  <si>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</si>
  <si>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</si>
  <si>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</si>
  <si>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</si>
  <si>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</si>
  <si>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</si>
  <si>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</si>
  <si>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</si>
  <si>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</si>
  <si>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</si>
  <si>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</si>
  <si>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</si>
  <si>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</si>
  <si>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</si>
  <si>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</si>
  <si>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</si>
  <si>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</si>
  <si>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</si>
  <si>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</si>
  <si>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</si>
  <si>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P293</t>
  </si>
  <si>
    <t>P294</t>
  </si>
  <si>
    <t>P296</t>
  </si>
  <si>
    <t>P297</t>
  </si>
  <si>
    <t>P298</t>
  </si>
  <si>
    <t>P299</t>
  </si>
  <si>
    <t>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</si>
</sst>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0" fontId="0" fillId="0" borderId="0" xfId="0" applyNumberFormat="1"/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/>
    <xf numFmtId="0" fontId="1" fillId="0" borderId="1" xfId="0" applyFont="1" applyBorder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10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4" xfId="0" applyFont="1" applyBorder="1"/>
    <xf numFmtId="0" fontId="0" fillId="0" borderId="4" xfId="0" applyBorder="1"/>
    <xf numFmtId="0" fontId="3" fillId="4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3" fillId="6" borderId="1" xfId="0" applyFont="1" applyFill="1" applyBorder="1"/>
    <xf numFmtId="10" fontId="0" fillId="0" borderId="1" xfId="0" applyNumberFormat="1" applyBorder="1"/>
    <xf numFmtId="0" fontId="0" fillId="0" borderId="1" xfId="0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0" fillId="0" borderId="1" xfId="0" applyBorder="1" applyAlignment="1">
      <alignment horizontal="left" indent="1"/>
    </xf>
    <xf numFmtId="0" fontId="0" fillId="4" borderId="1" xfId="0" applyFill="1" applyBorder="1" applyAlignment="1">
      <alignment horizontal="left" indent="1"/>
    </xf>
    <xf numFmtId="0" fontId="0" fillId="4" borderId="1" xfId="0" applyFill="1" applyBorder="1"/>
    <xf numFmtId="0" fontId="0" fillId="7" borderId="1" xfId="0" applyFill="1" applyBorder="1" applyAlignment="1">
      <alignment horizontal="left"/>
    </xf>
    <xf numFmtId="10" fontId="0" fillId="7" borderId="1" xfId="0" applyNumberFormat="1" applyFill="1" applyBorder="1"/>
    <xf numFmtId="0" fontId="0" fillId="7" borderId="1" xfId="0" applyFill="1" applyBorder="1"/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10" fontId="1" fillId="4" borderId="1" xfId="0" applyNumberFormat="1" applyFont="1" applyFill="1" applyBorder="1" applyAlignment="1">
      <alignment horizontal="center" wrapText="1"/>
    </xf>
    <xf numFmtId="10" fontId="0" fillId="4" borderId="1" xfId="0" applyNumberFormat="1" applyFill="1" applyBorder="1" applyAlignment="1">
      <alignment horizont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/>
    <xf numFmtId="10" fontId="1" fillId="4" borderId="1" xfId="0" applyNumberFormat="1" applyFont="1" applyFill="1" applyBorder="1"/>
  </cellXfs>
  <cellStyles count="1">
    <cellStyle name="Normal" xfId="0" builtinId="0"/>
  </cellStyles>
  <dxfs count="64">
    <dxf>
      <numFmt numFmtId="0" formatCode="General"/>
    </dxf>
    <dxf>
      <numFmt numFmtId="0" formatCode="General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dia\AppData\Local\Temp\9f718357-ceab-468c-bd61-2b1fe2d6d3b7_excel%20project-sanikabalaji07@gmail.com.zip.3b7\excel%20project\Social_Media_Analytics_Dataset.xlsx" TargetMode="External"/><Relationship Id="rId1" Type="http://schemas.openxmlformats.org/officeDocument/2006/relationships/externalLinkPath" Target="/Users/India/AppData/Local/Temp/9f718357-ceab-468c-bd61-2b1fe2d6d3b7_excel%20project-sanikabalaji07@gmail.com.zip.3b7/excel%20project/Social_Media_Analytics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mpaign Metadata(Task1)"/>
      <sheetName val="Engagement Summary(Task1)"/>
      <sheetName val="Posts(Task1)"/>
      <sheetName val="Task 2"/>
      <sheetName val="Task 3"/>
      <sheetName val="Task 4"/>
      <sheetName val="Task 5"/>
      <sheetName val="Task 6"/>
      <sheetName val="Insights"/>
      <sheetName val="Posts(raw)"/>
      <sheetName val="Engagement Summary(raw)"/>
      <sheetName val="Campaign Metadata(raw)"/>
    </sheetNames>
    <sheetDataSet>
      <sheetData sheetId="0"/>
      <sheetData sheetId="1">
        <row r="1">
          <cell r="B1" t="str">
            <v>Platform</v>
          </cell>
        </row>
        <row r="2">
          <cell r="B2" t="str">
            <v>Facebook</v>
          </cell>
          <cell r="C2">
            <v>1312</v>
          </cell>
          <cell r="D2">
            <v>310</v>
          </cell>
          <cell r="E2">
            <v>42654</v>
          </cell>
          <cell r="F2">
            <v>4.9800000000000004E-2</v>
          </cell>
        </row>
        <row r="3">
          <cell r="B3" t="str">
            <v>Facebook</v>
          </cell>
          <cell r="C3">
            <v>1697</v>
          </cell>
          <cell r="D3">
            <v>414</v>
          </cell>
          <cell r="E3">
            <v>316555</v>
          </cell>
          <cell r="F3">
            <v>2.3700000000000002E-2</v>
          </cell>
        </row>
        <row r="4">
          <cell r="B4" t="str">
            <v>Facebook</v>
          </cell>
          <cell r="C4">
            <v>1753</v>
          </cell>
          <cell r="D4">
            <v>371</v>
          </cell>
          <cell r="E4">
            <v>169496</v>
          </cell>
          <cell r="F4">
            <v>8.1099999999999992E-2</v>
          </cell>
        </row>
        <row r="5">
          <cell r="B5" t="str">
            <v>Facebook</v>
          </cell>
          <cell r="C5">
            <v>1779</v>
          </cell>
          <cell r="D5">
            <v>109</v>
          </cell>
          <cell r="E5">
            <v>26295</v>
          </cell>
          <cell r="F5">
            <v>9.1199999999999989E-2</v>
          </cell>
        </row>
        <row r="6">
          <cell r="B6" t="str">
            <v>Facebook</v>
          </cell>
          <cell r="C6">
            <v>505</v>
          </cell>
          <cell r="D6">
            <v>441</v>
          </cell>
          <cell r="E6">
            <v>220020</v>
          </cell>
          <cell r="F6">
            <v>4.4800000000000006E-2</v>
          </cell>
        </row>
        <row r="7">
          <cell r="B7" t="str">
            <v>Facebook</v>
          </cell>
          <cell r="C7">
            <v>350</v>
          </cell>
          <cell r="D7">
            <v>41</v>
          </cell>
          <cell r="E7">
            <v>251694</v>
          </cell>
          <cell r="F7">
            <v>1.9099999999999999E-2</v>
          </cell>
        </row>
        <row r="8">
          <cell r="B8" t="str">
            <v>Facebook</v>
          </cell>
          <cell r="C8">
            <v>170</v>
          </cell>
          <cell r="D8">
            <v>334</v>
          </cell>
          <cell r="E8">
            <v>334626</v>
          </cell>
          <cell r="F8">
            <v>6.4399999999999999E-2</v>
          </cell>
        </row>
        <row r="9">
          <cell r="B9" t="str">
            <v>Facebook</v>
          </cell>
          <cell r="C9">
            <v>1391</v>
          </cell>
          <cell r="D9">
            <v>430</v>
          </cell>
          <cell r="E9">
            <v>295032</v>
          </cell>
          <cell r="F9">
            <v>7.8600000000000003E-2</v>
          </cell>
        </row>
        <row r="10">
          <cell r="B10" t="str">
            <v>Facebook</v>
          </cell>
          <cell r="C10">
            <v>160</v>
          </cell>
          <cell r="D10">
            <v>478</v>
          </cell>
          <cell r="E10">
            <v>435034</v>
          </cell>
          <cell r="F10">
            <v>7.7300000000000008E-2</v>
          </cell>
        </row>
        <row r="11">
          <cell r="B11" t="str">
            <v>Facebook</v>
          </cell>
          <cell r="C11">
            <v>214</v>
          </cell>
          <cell r="D11">
            <v>411</v>
          </cell>
          <cell r="E11">
            <v>125034</v>
          </cell>
          <cell r="F11">
            <v>6.1100000000000002E-2</v>
          </cell>
        </row>
        <row r="12">
          <cell r="B12" t="str">
            <v>Facebook</v>
          </cell>
          <cell r="C12">
            <v>1534</v>
          </cell>
          <cell r="D12">
            <v>200</v>
          </cell>
          <cell r="E12">
            <v>307612</v>
          </cell>
          <cell r="F12">
            <v>6.0100000000000001E-2</v>
          </cell>
        </row>
        <row r="13">
          <cell r="B13" t="str">
            <v>Facebook</v>
          </cell>
          <cell r="C13">
            <v>1078</v>
          </cell>
          <cell r="D13">
            <v>20</v>
          </cell>
          <cell r="E13">
            <v>183924</v>
          </cell>
          <cell r="F13">
            <v>8.8399999999999992E-2</v>
          </cell>
        </row>
        <row r="14">
          <cell r="B14" t="str">
            <v>Facebook</v>
          </cell>
          <cell r="C14">
            <v>248</v>
          </cell>
          <cell r="D14">
            <v>211</v>
          </cell>
          <cell r="E14">
            <v>379380</v>
          </cell>
          <cell r="F14">
            <v>9.0399999999999994E-2</v>
          </cell>
        </row>
        <row r="15">
          <cell r="B15" t="str">
            <v>Facebook</v>
          </cell>
          <cell r="C15">
            <v>1520</v>
          </cell>
          <cell r="D15">
            <v>475</v>
          </cell>
          <cell r="E15">
            <v>496982</v>
          </cell>
          <cell r="F15">
            <v>6.4100000000000004E-2</v>
          </cell>
        </row>
        <row r="16">
          <cell r="B16" t="str">
            <v>Facebook</v>
          </cell>
          <cell r="C16">
            <v>1842</v>
          </cell>
          <cell r="D16">
            <v>414</v>
          </cell>
          <cell r="E16">
            <v>307524</v>
          </cell>
          <cell r="F16">
            <v>1.7600000000000001E-2</v>
          </cell>
        </row>
        <row r="17">
          <cell r="B17" t="str">
            <v>Facebook</v>
          </cell>
          <cell r="C17">
            <v>443</v>
          </cell>
          <cell r="D17">
            <v>345</v>
          </cell>
          <cell r="E17">
            <v>474162</v>
          </cell>
          <cell r="F17">
            <v>9.1999999999999998E-2</v>
          </cell>
        </row>
        <row r="18">
          <cell r="B18" t="str">
            <v>Facebook</v>
          </cell>
          <cell r="C18">
            <v>198</v>
          </cell>
          <cell r="D18">
            <v>217</v>
          </cell>
          <cell r="E18">
            <v>239753</v>
          </cell>
          <cell r="F18">
            <v>7.3599999999999999E-2</v>
          </cell>
        </row>
        <row r="19">
          <cell r="B19" t="str">
            <v>Facebook</v>
          </cell>
          <cell r="C19">
            <v>250</v>
          </cell>
          <cell r="D19">
            <v>429</v>
          </cell>
          <cell r="E19">
            <v>453423</v>
          </cell>
          <cell r="F19">
            <v>1.77E-2</v>
          </cell>
        </row>
        <row r="20">
          <cell r="B20" t="str">
            <v>Facebook</v>
          </cell>
          <cell r="C20">
            <v>1929</v>
          </cell>
          <cell r="D20">
            <v>267</v>
          </cell>
          <cell r="E20">
            <v>379363</v>
          </cell>
          <cell r="F20">
            <v>1.7500000000000002E-2</v>
          </cell>
        </row>
        <row r="21">
          <cell r="B21" t="str">
            <v>Facebook</v>
          </cell>
          <cell r="C21">
            <v>643</v>
          </cell>
          <cell r="D21">
            <v>358</v>
          </cell>
          <cell r="E21">
            <v>157599</v>
          </cell>
          <cell r="F21">
            <v>3.8800000000000001E-2</v>
          </cell>
        </row>
        <row r="22">
          <cell r="B22" t="str">
            <v>Facebook</v>
          </cell>
          <cell r="C22">
            <v>508</v>
          </cell>
          <cell r="D22">
            <v>69</v>
          </cell>
          <cell r="E22">
            <v>23492</v>
          </cell>
          <cell r="F22">
            <v>3.1600000000000003E-2</v>
          </cell>
        </row>
        <row r="23">
          <cell r="B23" t="str">
            <v>Facebook</v>
          </cell>
          <cell r="C23">
            <v>859</v>
          </cell>
          <cell r="D23">
            <v>473</v>
          </cell>
          <cell r="E23">
            <v>209987</v>
          </cell>
          <cell r="F23">
            <v>4.4600000000000001E-2</v>
          </cell>
        </row>
        <row r="24">
          <cell r="B24" t="str">
            <v>Facebook</v>
          </cell>
          <cell r="C24">
            <v>947</v>
          </cell>
          <cell r="D24">
            <v>407</v>
          </cell>
          <cell r="E24">
            <v>319186</v>
          </cell>
          <cell r="F24">
            <v>3.32E-2</v>
          </cell>
        </row>
        <row r="25">
          <cell r="B25" t="str">
            <v>Facebook</v>
          </cell>
          <cell r="C25">
            <v>171</v>
          </cell>
          <cell r="D25">
            <v>277</v>
          </cell>
          <cell r="E25">
            <v>309483</v>
          </cell>
          <cell r="F25">
            <v>8.6999999999999994E-2</v>
          </cell>
        </row>
        <row r="26">
          <cell r="B26" t="str">
            <v>Facebook</v>
          </cell>
          <cell r="C26">
            <v>513</v>
          </cell>
          <cell r="D26">
            <v>441</v>
          </cell>
          <cell r="E26">
            <v>338847</v>
          </cell>
          <cell r="F26">
            <v>2.6800000000000001E-2</v>
          </cell>
        </row>
        <row r="27">
          <cell r="B27" t="str">
            <v>Facebook</v>
          </cell>
          <cell r="C27">
            <v>1710</v>
          </cell>
          <cell r="D27">
            <v>378</v>
          </cell>
          <cell r="E27">
            <v>336661</v>
          </cell>
          <cell r="F27">
            <v>6.2E-2</v>
          </cell>
        </row>
        <row r="28">
          <cell r="B28" t="str">
            <v>Facebook</v>
          </cell>
          <cell r="C28">
            <v>1902</v>
          </cell>
          <cell r="D28">
            <v>196</v>
          </cell>
          <cell r="E28">
            <v>470269</v>
          </cell>
          <cell r="F28">
            <v>4.7899999999999998E-2</v>
          </cell>
        </row>
        <row r="29">
          <cell r="B29" t="str">
            <v>Facebook</v>
          </cell>
          <cell r="C29">
            <v>1514</v>
          </cell>
          <cell r="D29">
            <v>141</v>
          </cell>
          <cell r="E29">
            <v>35842</v>
          </cell>
          <cell r="F29">
            <v>7.4700000000000003E-2</v>
          </cell>
        </row>
        <row r="30">
          <cell r="B30" t="str">
            <v>Facebook</v>
          </cell>
          <cell r="C30">
            <v>1623</v>
          </cell>
          <cell r="D30">
            <v>246</v>
          </cell>
          <cell r="E30">
            <v>415815</v>
          </cell>
          <cell r="F30">
            <v>8.1099999999999992E-2</v>
          </cell>
        </row>
        <row r="31">
          <cell r="B31" t="str">
            <v>Facebook</v>
          </cell>
          <cell r="C31">
            <v>1155</v>
          </cell>
          <cell r="D31">
            <v>425</v>
          </cell>
          <cell r="E31">
            <v>93347</v>
          </cell>
          <cell r="F31">
            <v>2.0199999999999999E-2</v>
          </cell>
        </row>
        <row r="32">
          <cell r="B32" t="str">
            <v>Facebook</v>
          </cell>
          <cell r="C32">
            <v>1980</v>
          </cell>
          <cell r="D32">
            <v>204</v>
          </cell>
          <cell r="E32">
            <v>379431</v>
          </cell>
          <cell r="F32">
            <v>3.0899999999999997E-2</v>
          </cell>
        </row>
        <row r="33">
          <cell r="B33" t="str">
            <v>Facebook</v>
          </cell>
          <cell r="C33">
            <v>816</v>
          </cell>
          <cell r="D33">
            <v>196</v>
          </cell>
          <cell r="E33">
            <v>95728</v>
          </cell>
          <cell r="F33">
            <v>8.199999999999999E-2</v>
          </cell>
        </row>
        <row r="34">
          <cell r="B34" t="str">
            <v>Facebook</v>
          </cell>
          <cell r="C34">
            <v>651</v>
          </cell>
          <cell r="D34">
            <v>353</v>
          </cell>
          <cell r="E34">
            <v>224699</v>
          </cell>
          <cell r="F34">
            <v>5.6100000000000004E-2</v>
          </cell>
        </row>
        <row r="35">
          <cell r="B35" t="str">
            <v>Facebook</v>
          </cell>
          <cell r="C35">
            <v>663</v>
          </cell>
          <cell r="D35">
            <v>236</v>
          </cell>
          <cell r="E35">
            <v>479490</v>
          </cell>
          <cell r="F35">
            <v>4.5100000000000001E-2</v>
          </cell>
        </row>
        <row r="36">
          <cell r="B36" t="str">
            <v>Facebook</v>
          </cell>
          <cell r="C36">
            <v>1249</v>
          </cell>
          <cell r="D36">
            <v>351</v>
          </cell>
          <cell r="E36">
            <v>321307</v>
          </cell>
          <cell r="F36">
            <v>6.3700000000000007E-2</v>
          </cell>
        </row>
        <row r="37">
          <cell r="B37" t="str">
            <v>Facebook</v>
          </cell>
          <cell r="C37">
            <v>1159</v>
          </cell>
          <cell r="D37">
            <v>411</v>
          </cell>
          <cell r="E37">
            <v>135987</v>
          </cell>
          <cell r="F37">
            <v>8.6999999999999994E-2</v>
          </cell>
        </row>
        <row r="38">
          <cell r="B38" t="str">
            <v>Facebook</v>
          </cell>
          <cell r="C38">
            <v>1294</v>
          </cell>
          <cell r="D38">
            <v>382</v>
          </cell>
          <cell r="E38">
            <v>309914</v>
          </cell>
          <cell r="F38">
            <v>8.0299999999999996E-2</v>
          </cell>
        </row>
        <row r="39">
          <cell r="B39" t="str">
            <v>Facebook</v>
          </cell>
          <cell r="C39">
            <v>1895</v>
          </cell>
          <cell r="D39">
            <v>305</v>
          </cell>
          <cell r="E39">
            <v>104967</v>
          </cell>
          <cell r="F39">
            <v>3.85E-2</v>
          </cell>
        </row>
        <row r="40">
          <cell r="B40" t="str">
            <v>Facebook</v>
          </cell>
          <cell r="C40">
            <v>1884</v>
          </cell>
          <cell r="D40">
            <v>177</v>
          </cell>
          <cell r="E40">
            <v>230448</v>
          </cell>
          <cell r="F40">
            <v>7.8E-2</v>
          </cell>
        </row>
        <row r="41">
          <cell r="B41" t="str">
            <v>Facebook</v>
          </cell>
          <cell r="C41">
            <v>345</v>
          </cell>
          <cell r="D41">
            <v>464</v>
          </cell>
          <cell r="E41">
            <v>366881</v>
          </cell>
          <cell r="F41">
            <v>4.5499999999999999E-2</v>
          </cell>
        </row>
        <row r="42">
          <cell r="B42" t="str">
            <v>Facebook</v>
          </cell>
          <cell r="C42">
            <v>1098</v>
          </cell>
          <cell r="D42">
            <v>190</v>
          </cell>
          <cell r="E42">
            <v>340842</v>
          </cell>
          <cell r="F42">
            <v>9.3900000000000011E-2</v>
          </cell>
        </row>
        <row r="43">
          <cell r="B43" t="str">
            <v>Facebook</v>
          </cell>
          <cell r="C43">
            <v>1358</v>
          </cell>
          <cell r="D43">
            <v>242</v>
          </cell>
          <cell r="E43">
            <v>342129</v>
          </cell>
          <cell r="F43">
            <v>4.9400000000000006E-2</v>
          </cell>
        </row>
        <row r="44">
          <cell r="B44" t="str">
            <v>Facebook</v>
          </cell>
          <cell r="C44">
            <v>609</v>
          </cell>
          <cell r="D44">
            <v>135</v>
          </cell>
          <cell r="E44">
            <v>373606</v>
          </cell>
          <cell r="F44">
            <v>8.5199999999999998E-2</v>
          </cell>
        </row>
        <row r="45">
          <cell r="B45" t="str">
            <v>Facebook</v>
          </cell>
          <cell r="C45">
            <v>988</v>
          </cell>
          <cell r="D45">
            <v>474</v>
          </cell>
          <cell r="E45">
            <v>370070</v>
          </cell>
          <cell r="F45">
            <v>9.4600000000000004E-2</v>
          </cell>
        </row>
        <row r="46">
          <cell r="B46" t="str">
            <v>Facebook</v>
          </cell>
          <cell r="C46">
            <v>1307</v>
          </cell>
          <cell r="D46">
            <v>278</v>
          </cell>
          <cell r="E46">
            <v>98596</v>
          </cell>
          <cell r="F46">
            <v>2.4900000000000002E-2</v>
          </cell>
        </row>
        <row r="47">
          <cell r="B47" t="str">
            <v>Facebook</v>
          </cell>
          <cell r="C47">
            <v>198</v>
          </cell>
          <cell r="D47">
            <v>373</v>
          </cell>
          <cell r="E47">
            <v>70707</v>
          </cell>
          <cell r="F47">
            <v>4.8300000000000003E-2</v>
          </cell>
        </row>
        <row r="48">
          <cell r="B48" t="str">
            <v>Facebook</v>
          </cell>
          <cell r="C48">
            <v>1375</v>
          </cell>
          <cell r="D48">
            <v>330</v>
          </cell>
          <cell r="E48">
            <v>377382</v>
          </cell>
          <cell r="F48">
            <v>2.6000000000000002E-2</v>
          </cell>
        </row>
        <row r="49">
          <cell r="B49" t="str">
            <v>Facebook</v>
          </cell>
          <cell r="C49">
            <v>833</v>
          </cell>
          <cell r="D49">
            <v>380</v>
          </cell>
          <cell r="E49">
            <v>224830</v>
          </cell>
          <cell r="F49">
            <v>3.8599999999999995E-2</v>
          </cell>
        </row>
        <row r="50">
          <cell r="B50" t="str">
            <v>Facebook</v>
          </cell>
          <cell r="C50">
            <v>405</v>
          </cell>
          <cell r="D50">
            <v>66</v>
          </cell>
          <cell r="E50">
            <v>418696</v>
          </cell>
          <cell r="F50">
            <v>5.5899999999999998E-2</v>
          </cell>
        </row>
        <row r="51">
          <cell r="B51" t="str">
            <v>Facebook</v>
          </cell>
          <cell r="C51">
            <v>837</v>
          </cell>
          <cell r="D51">
            <v>430</v>
          </cell>
          <cell r="E51">
            <v>364820</v>
          </cell>
          <cell r="F51">
            <v>0.04</v>
          </cell>
        </row>
        <row r="52">
          <cell r="B52" t="str">
            <v>Instagram</v>
          </cell>
          <cell r="C52">
            <v>1135</v>
          </cell>
          <cell r="D52">
            <v>88</v>
          </cell>
          <cell r="E52">
            <v>344084</v>
          </cell>
          <cell r="F52">
            <v>8.0600000000000005E-2</v>
          </cell>
        </row>
        <row r="53">
          <cell r="B53" t="str">
            <v>Instagram</v>
          </cell>
          <cell r="C53">
            <v>656</v>
          </cell>
          <cell r="D53">
            <v>139</v>
          </cell>
          <cell r="E53">
            <v>49157</v>
          </cell>
          <cell r="F53">
            <v>9.0500000000000011E-2</v>
          </cell>
        </row>
        <row r="54">
          <cell r="B54" t="str">
            <v>Instagram</v>
          </cell>
          <cell r="C54">
            <v>1048</v>
          </cell>
          <cell r="D54">
            <v>155</v>
          </cell>
          <cell r="E54">
            <v>456946</v>
          </cell>
          <cell r="F54">
            <v>2.46E-2</v>
          </cell>
        </row>
        <row r="55">
          <cell r="B55" t="str">
            <v>Instagram</v>
          </cell>
          <cell r="C55">
            <v>911</v>
          </cell>
          <cell r="D55">
            <v>282</v>
          </cell>
          <cell r="E55">
            <v>35664</v>
          </cell>
          <cell r="F55">
            <v>6.9199999999999998E-2</v>
          </cell>
        </row>
        <row r="56">
          <cell r="B56" t="str">
            <v>Instagram</v>
          </cell>
          <cell r="C56">
            <v>226</v>
          </cell>
          <cell r="D56">
            <v>445</v>
          </cell>
          <cell r="E56">
            <v>419447</v>
          </cell>
          <cell r="F56">
            <v>9.3599999999999989E-2</v>
          </cell>
        </row>
        <row r="57">
          <cell r="B57" t="str">
            <v>Instagram</v>
          </cell>
          <cell r="C57">
            <v>1757</v>
          </cell>
          <cell r="D57">
            <v>85</v>
          </cell>
          <cell r="E57">
            <v>58223</v>
          </cell>
          <cell r="F57">
            <v>8.7400000000000005E-2</v>
          </cell>
        </row>
        <row r="58">
          <cell r="B58" t="str">
            <v>Instagram</v>
          </cell>
          <cell r="C58">
            <v>1960</v>
          </cell>
          <cell r="D58">
            <v>115</v>
          </cell>
          <cell r="E58">
            <v>154169</v>
          </cell>
          <cell r="F58">
            <v>3.7400000000000003E-2</v>
          </cell>
        </row>
        <row r="59">
          <cell r="B59" t="str">
            <v>Instagram</v>
          </cell>
          <cell r="C59">
            <v>508</v>
          </cell>
          <cell r="D59">
            <v>349</v>
          </cell>
          <cell r="E59">
            <v>473812</v>
          </cell>
          <cell r="F59">
            <v>7.8799999999999995E-2</v>
          </cell>
        </row>
        <row r="60">
          <cell r="B60" t="str">
            <v>Instagram</v>
          </cell>
          <cell r="C60">
            <v>653</v>
          </cell>
          <cell r="D60">
            <v>112</v>
          </cell>
          <cell r="E60">
            <v>23664</v>
          </cell>
          <cell r="F60">
            <v>4.0500000000000001E-2</v>
          </cell>
        </row>
        <row r="61">
          <cell r="B61" t="str">
            <v>Instagram</v>
          </cell>
          <cell r="C61">
            <v>645</v>
          </cell>
          <cell r="D61">
            <v>293</v>
          </cell>
          <cell r="E61">
            <v>437968</v>
          </cell>
          <cell r="F61">
            <v>7.8299999999999995E-2</v>
          </cell>
        </row>
        <row r="62">
          <cell r="B62" t="str">
            <v>Instagram</v>
          </cell>
          <cell r="C62">
            <v>1528</v>
          </cell>
          <cell r="D62">
            <v>203</v>
          </cell>
          <cell r="E62">
            <v>489188</v>
          </cell>
          <cell r="F62">
            <v>6.2300000000000001E-2</v>
          </cell>
        </row>
        <row r="63">
          <cell r="B63" t="str">
            <v>Instagram</v>
          </cell>
          <cell r="C63">
            <v>215</v>
          </cell>
          <cell r="D63">
            <v>139</v>
          </cell>
          <cell r="E63">
            <v>325444</v>
          </cell>
          <cell r="F63">
            <v>3.2500000000000001E-2</v>
          </cell>
        </row>
        <row r="64">
          <cell r="B64" t="str">
            <v>Instagram</v>
          </cell>
          <cell r="C64">
            <v>1685</v>
          </cell>
          <cell r="D64">
            <v>76</v>
          </cell>
          <cell r="E64">
            <v>453799</v>
          </cell>
          <cell r="F64">
            <v>5.7099999999999998E-2</v>
          </cell>
        </row>
        <row r="65">
          <cell r="B65" t="str">
            <v>Instagram</v>
          </cell>
          <cell r="C65">
            <v>1429</v>
          </cell>
          <cell r="D65">
            <v>182</v>
          </cell>
          <cell r="E65">
            <v>101332</v>
          </cell>
          <cell r="F65">
            <v>7.1599999999999997E-2</v>
          </cell>
        </row>
        <row r="66">
          <cell r="B66" t="str">
            <v>Instagram</v>
          </cell>
          <cell r="C66">
            <v>1592</v>
          </cell>
          <cell r="D66">
            <v>20</v>
          </cell>
          <cell r="E66">
            <v>378054</v>
          </cell>
          <cell r="F66">
            <v>9.0899999999999995E-2</v>
          </cell>
        </row>
        <row r="67">
          <cell r="B67" t="str">
            <v>Instagram</v>
          </cell>
          <cell r="C67">
            <v>778</v>
          </cell>
          <cell r="D67">
            <v>401</v>
          </cell>
          <cell r="E67">
            <v>50793</v>
          </cell>
          <cell r="F67">
            <v>3.4000000000000002E-2</v>
          </cell>
        </row>
        <row r="68">
          <cell r="B68" t="str">
            <v>Instagram</v>
          </cell>
          <cell r="C68">
            <v>817</v>
          </cell>
          <cell r="D68">
            <v>151</v>
          </cell>
          <cell r="E68">
            <v>422625</v>
          </cell>
          <cell r="F68">
            <v>2.3599999999999999E-2</v>
          </cell>
        </row>
        <row r="69">
          <cell r="B69" t="str">
            <v>Instagram</v>
          </cell>
          <cell r="C69">
            <v>1433</v>
          </cell>
          <cell r="D69">
            <v>408</v>
          </cell>
          <cell r="E69">
            <v>370269</v>
          </cell>
          <cell r="F69">
            <v>3.3000000000000002E-2</v>
          </cell>
        </row>
        <row r="70">
          <cell r="B70" t="str">
            <v>Instagram</v>
          </cell>
          <cell r="C70">
            <v>1939</v>
          </cell>
          <cell r="D70">
            <v>67</v>
          </cell>
          <cell r="E70">
            <v>187183</v>
          </cell>
          <cell r="F70">
            <v>6.25E-2</v>
          </cell>
        </row>
        <row r="71">
          <cell r="B71" t="str">
            <v>Instagram</v>
          </cell>
          <cell r="C71">
            <v>1527</v>
          </cell>
          <cell r="D71">
            <v>303</v>
          </cell>
          <cell r="E71">
            <v>388555</v>
          </cell>
          <cell r="F71">
            <v>8.900000000000001E-2</v>
          </cell>
        </row>
        <row r="72">
          <cell r="B72" t="str">
            <v>Instagram</v>
          </cell>
          <cell r="C72">
            <v>703</v>
          </cell>
          <cell r="D72">
            <v>441</v>
          </cell>
          <cell r="E72">
            <v>357089</v>
          </cell>
          <cell r="F72">
            <v>6.5000000000000002E-2</v>
          </cell>
        </row>
        <row r="73">
          <cell r="B73" t="str">
            <v>Instagram</v>
          </cell>
          <cell r="C73">
            <v>642</v>
          </cell>
          <cell r="D73">
            <v>66</v>
          </cell>
          <cell r="E73">
            <v>346522</v>
          </cell>
          <cell r="F73">
            <v>5.8499999999999996E-2</v>
          </cell>
        </row>
        <row r="74">
          <cell r="B74" t="str">
            <v>Instagram</v>
          </cell>
          <cell r="C74">
            <v>1466</v>
          </cell>
          <cell r="D74">
            <v>69</v>
          </cell>
          <cell r="E74">
            <v>54935</v>
          </cell>
          <cell r="F74">
            <v>6.8499999999999991E-2</v>
          </cell>
        </row>
        <row r="75">
          <cell r="B75" t="str">
            <v>Instagram</v>
          </cell>
          <cell r="C75">
            <v>1075</v>
          </cell>
          <cell r="D75">
            <v>173</v>
          </cell>
          <cell r="E75">
            <v>51395</v>
          </cell>
          <cell r="F75">
            <v>4.6600000000000003E-2</v>
          </cell>
        </row>
        <row r="76">
          <cell r="B76" t="str">
            <v>Instagram</v>
          </cell>
          <cell r="C76">
            <v>187</v>
          </cell>
          <cell r="D76">
            <v>236</v>
          </cell>
          <cell r="E76">
            <v>51087</v>
          </cell>
          <cell r="F76">
            <v>9.4100000000000003E-2</v>
          </cell>
        </row>
        <row r="77">
          <cell r="B77" t="str">
            <v>Instagram</v>
          </cell>
          <cell r="C77">
            <v>1854</v>
          </cell>
          <cell r="D77">
            <v>161</v>
          </cell>
          <cell r="E77">
            <v>282466</v>
          </cell>
          <cell r="F77">
            <v>5.1699999999999996E-2</v>
          </cell>
        </row>
        <row r="78">
          <cell r="B78" t="str">
            <v>Instagram</v>
          </cell>
          <cell r="C78">
            <v>1696</v>
          </cell>
          <cell r="D78">
            <v>71</v>
          </cell>
          <cell r="E78">
            <v>421957</v>
          </cell>
          <cell r="F78">
            <v>3.7900000000000003E-2</v>
          </cell>
        </row>
        <row r="79">
          <cell r="B79" t="str">
            <v>Instagram</v>
          </cell>
          <cell r="C79">
            <v>1494</v>
          </cell>
          <cell r="D79">
            <v>375</v>
          </cell>
          <cell r="E79">
            <v>220616</v>
          </cell>
          <cell r="F79">
            <v>1.8100000000000002E-2</v>
          </cell>
        </row>
        <row r="80">
          <cell r="B80" t="str">
            <v>Instagram</v>
          </cell>
          <cell r="C80">
            <v>1502</v>
          </cell>
          <cell r="D80">
            <v>70</v>
          </cell>
          <cell r="E80">
            <v>465553</v>
          </cell>
          <cell r="F80">
            <v>3.32E-2</v>
          </cell>
        </row>
        <row r="81">
          <cell r="B81" t="str">
            <v>Instagram</v>
          </cell>
          <cell r="C81">
            <v>1092</v>
          </cell>
          <cell r="D81">
            <v>408</v>
          </cell>
          <cell r="E81">
            <v>280795</v>
          </cell>
          <cell r="F81">
            <v>8.4399999999999989E-2</v>
          </cell>
        </row>
        <row r="82">
          <cell r="B82" t="str">
            <v>Instagram</v>
          </cell>
          <cell r="C82">
            <v>1814</v>
          </cell>
          <cell r="D82">
            <v>49</v>
          </cell>
          <cell r="E82">
            <v>140804</v>
          </cell>
          <cell r="F82">
            <v>1.7600000000000001E-2</v>
          </cell>
        </row>
        <row r="83">
          <cell r="B83" t="str">
            <v>Instagram</v>
          </cell>
          <cell r="C83">
            <v>1013</v>
          </cell>
          <cell r="D83">
            <v>110</v>
          </cell>
          <cell r="E83">
            <v>466382</v>
          </cell>
          <cell r="F83">
            <v>5.2999999999999999E-2</v>
          </cell>
        </row>
        <row r="84">
          <cell r="B84" t="str">
            <v>Instagram</v>
          </cell>
          <cell r="C84">
            <v>1855</v>
          </cell>
          <cell r="D84">
            <v>133</v>
          </cell>
          <cell r="E84">
            <v>349413</v>
          </cell>
          <cell r="F84">
            <v>3.3000000000000002E-2</v>
          </cell>
        </row>
        <row r="85">
          <cell r="B85" t="str">
            <v>Instagram</v>
          </cell>
          <cell r="C85">
            <v>1748</v>
          </cell>
          <cell r="D85">
            <v>176</v>
          </cell>
          <cell r="E85">
            <v>383681</v>
          </cell>
          <cell r="F85">
            <v>9.2399999999999996E-2</v>
          </cell>
        </row>
        <row r="86">
          <cell r="B86" t="str">
            <v>Instagram</v>
          </cell>
          <cell r="C86">
            <v>115</v>
          </cell>
          <cell r="D86">
            <v>281</v>
          </cell>
          <cell r="E86">
            <v>357265</v>
          </cell>
          <cell r="F86">
            <v>9.2300000000000007E-2</v>
          </cell>
        </row>
        <row r="87">
          <cell r="B87" t="str">
            <v>Instagram</v>
          </cell>
          <cell r="C87">
            <v>1556</v>
          </cell>
          <cell r="D87">
            <v>476</v>
          </cell>
          <cell r="E87">
            <v>351556</v>
          </cell>
          <cell r="F87">
            <v>3.8900000000000004E-2</v>
          </cell>
        </row>
        <row r="88">
          <cell r="B88" t="str">
            <v>Instagram</v>
          </cell>
          <cell r="C88">
            <v>1957</v>
          </cell>
          <cell r="D88">
            <v>234</v>
          </cell>
          <cell r="E88">
            <v>222126</v>
          </cell>
          <cell r="F88">
            <v>4.6100000000000002E-2</v>
          </cell>
        </row>
        <row r="89">
          <cell r="B89" t="str">
            <v>Instagram</v>
          </cell>
          <cell r="C89">
            <v>1138</v>
          </cell>
          <cell r="D89">
            <v>173</v>
          </cell>
          <cell r="E89">
            <v>453243</v>
          </cell>
          <cell r="F89">
            <v>2.86E-2</v>
          </cell>
        </row>
        <row r="90">
          <cell r="B90" t="str">
            <v>Instagram</v>
          </cell>
          <cell r="C90">
            <v>1440</v>
          </cell>
          <cell r="D90">
            <v>65</v>
          </cell>
          <cell r="E90">
            <v>126524</v>
          </cell>
          <cell r="F90">
            <v>4.3400000000000001E-2</v>
          </cell>
        </row>
        <row r="91">
          <cell r="B91" t="str">
            <v>Instagram</v>
          </cell>
          <cell r="C91">
            <v>1371</v>
          </cell>
          <cell r="D91">
            <v>56</v>
          </cell>
          <cell r="E91">
            <v>257579</v>
          </cell>
          <cell r="F91">
            <v>8.6199999999999999E-2</v>
          </cell>
        </row>
        <row r="92">
          <cell r="B92" t="str">
            <v>Instagram</v>
          </cell>
          <cell r="C92">
            <v>393</v>
          </cell>
          <cell r="D92">
            <v>181</v>
          </cell>
          <cell r="E92">
            <v>462142</v>
          </cell>
          <cell r="F92">
            <v>7.2300000000000003E-2</v>
          </cell>
        </row>
        <row r="93">
          <cell r="B93" t="str">
            <v>Instagram</v>
          </cell>
          <cell r="C93">
            <v>1102</v>
          </cell>
          <cell r="D93">
            <v>422</v>
          </cell>
          <cell r="E93">
            <v>410330</v>
          </cell>
          <cell r="F93">
            <v>7.7399999999999997E-2</v>
          </cell>
        </row>
        <row r="94">
          <cell r="B94" t="str">
            <v>Instagram</v>
          </cell>
          <cell r="C94">
            <v>490</v>
          </cell>
          <cell r="D94">
            <v>29</v>
          </cell>
          <cell r="E94">
            <v>364810</v>
          </cell>
          <cell r="F94">
            <v>1.5300000000000001E-2</v>
          </cell>
        </row>
        <row r="95">
          <cell r="B95" t="str">
            <v>Instagram</v>
          </cell>
          <cell r="C95">
            <v>1033</v>
          </cell>
          <cell r="D95">
            <v>392</v>
          </cell>
          <cell r="E95">
            <v>282780</v>
          </cell>
          <cell r="F95">
            <v>6.2699999999999992E-2</v>
          </cell>
        </row>
        <row r="96">
          <cell r="B96" t="str">
            <v>Instagram</v>
          </cell>
          <cell r="C96">
            <v>559</v>
          </cell>
          <cell r="D96">
            <v>392</v>
          </cell>
          <cell r="E96">
            <v>78789</v>
          </cell>
          <cell r="F96">
            <v>3.1899999999999998E-2</v>
          </cell>
        </row>
        <row r="97">
          <cell r="B97" t="str">
            <v>Instagram</v>
          </cell>
          <cell r="C97">
            <v>198</v>
          </cell>
          <cell r="D97">
            <v>358</v>
          </cell>
          <cell r="E97">
            <v>66682</v>
          </cell>
          <cell r="F97">
            <v>6.7299999999999999E-2</v>
          </cell>
        </row>
        <row r="98">
          <cell r="B98" t="str">
            <v>Instagram</v>
          </cell>
          <cell r="C98">
            <v>961</v>
          </cell>
          <cell r="D98">
            <v>358</v>
          </cell>
          <cell r="E98">
            <v>62942</v>
          </cell>
          <cell r="F98">
            <v>6.8000000000000005E-2</v>
          </cell>
        </row>
        <row r="99">
          <cell r="B99" t="str">
            <v>Instagram</v>
          </cell>
          <cell r="C99">
            <v>1693</v>
          </cell>
          <cell r="D99">
            <v>154</v>
          </cell>
          <cell r="E99">
            <v>445944</v>
          </cell>
          <cell r="F99">
            <v>5.6900000000000006E-2</v>
          </cell>
        </row>
        <row r="100">
          <cell r="B100" t="str">
            <v>Instagram</v>
          </cell>
          <cell r="C100">
            <v>1957</v>
          </cell>
          <cell r="D100">
            <v>76</v>
          </cell>
          <cell r="E100">
            <v>447902</v>
          </cell>
          <cell r="F100">
            <v>6.0899999999999996E-2</v>
          </cell>
        </row>
        <row r="101">
          <cell r="B101" t="str">
            <v>Instagram</v>
          </cell>
          <cell r="C101">
            <v>1765</v>
          </cell>
          <cell r="D101">
            <v>109</v>
          </cell>
          <cell r="E101">
            <v>468301</v>
          </cell>
          <cell r="F101">
            <v>1.8200000000000001E-2</v>
          </cell>
        </row>
        <row r="102">
          <cell r="B102" t="str">
            <v>Twitter</v>
          </cell>
          <cell r="C102">
            <v>584</v>
          </cell>
          <cell r="D102">
            <v>169</v>
          </cell>
          <cell r="E102">
            <v>146834</v>
          </cell>
          <cell r="F102">
            <v>8.3100000000000007E-2</v>
          </cell>
        </row>
        <row r="103">
          <cell r="B103" t="str">
            <v>Twitter</v>
          </cell>
          <cell r="C103">
            <v>436</v>
          </cell>
          <cell r="D103">
            <v>250</v>
          </cell>
          <cell r="E103">
            <v>254347</v>
          </cell>
          <cell r="F103">
            <v>4.0099999999999997E-2</v>
          </cell>
        </row>
        <row r="104">
          <cell r="B104" t="str">
            <v>Twitter</v>
          </cell>
          <cell r="C104">
            <v>1335</v>
          </cell>
          <cell r="D104">
            <v>40</v>
          </cell>
          <cell r="E104">
            <v>122732</v>
          </cell>
          <cell r="F104">
            <v>8.1900000000000001E-2</v>
          </cell>
        </row>
        <row r="105">
          <cell r="B105" t="str">
            <v>Twitter</v>
          </cell>
          <cell r="C105">
            <v>1238</v>
          </cell>
          <cell r="D105">
            <v>403</v>
          </cell>
          <cell r="E105">
            <v>298421</v>
          </cell>
          <cell r="F105">
            <v>3.5000000000000003E-2</v>
          </cell>
        </row>
        <row r="106">
          <cell r="B106" t="str">
            <v>Twitter</v>
          </cell>
          <cell r="C106">
            <v>1420</v>
          </cell>
          <cell r="D106">
            <v>63</v>
          </cell>
          <cell r="E106">
            <v>315305</v>
          </cell>
          <cell r="F106">
            <v>6.1900000000000004E-2</v>
          </cell>
        </row>
        <row r="107">
          <cell r="B107" t="str">
            <v>Twitter</v>
          </cell>
          <cell r="C107">
            <v>987</v>
          </cell>
          <cell r="D107">
            <v>440</v>
          </cell>
          <cell r="E107">
            <v>389810</v>
          </cell>
          <cell r="F107">
            <v>4.6600000000000003E-2</v>
          </cell>
        </row>
        <row r="108">
          <cell r="B108" t="str">
            <v>Twitter</v>
          </cell>
          <cell r="C108">
            <v>704</v>
          </cell>
          <cell r="D108">
            <v>275</v>
          </cell>
          <cell r="E108">
            <v>226002</v>
          </cell>
          <cell r="F108">
            <v>8.5600000000000009E-2</v>
          </cell>
        </row>
        <row r="109">
          <cell r="B109" t="str">
            <v>Twitter</v>
          </cell>
          <cell r="C109">
            <v>1701</v>
          </cell>
          <cell r="D109">
            <v>385</v>
          </cell>
          <cell r="E109">
            <v>198278</v>
          </cell>
          <cell r="F109">
            <v>5.3399999999999996E-2</v>
          </cell>
        </row>
        <row r="110">
          <cell r="B110" t="str">
            <v>Twitter</v>
          </cell>
          <cell r="C110">
            <v>1756</v>
          </cell>
          <cell r="D110">
            <v>261</v>
          </cell>
          <cell r="E110">
            <v>287574</v>
          </cell>
          <cell r="F110">
            <v>4.36E-2</v>
          </cell>
        </row>
        <row r="111">
          <cell r="B111" t="str">
            <v>Twitter</v>
          </cell>
          <cell r="C111">
            <v>826</v>
          </cell>
          <cell r="D111">
            <v>498</v>
          </cell>
          <cell r="E111">
            <v>449994</v>
          </cell>
          <cell r="F111">
            <v>9.4299999999999995E-2</v>
          </cell>
        </row>
        <row r="112">
          <cell r="B112" t="str">
            <v>Twitter</v>
          </cell>
          <cell r="C112">
            <v>485</v>
          </cell>
          <cell r="D112">
            <v>448</v>
          </cell>
          <cell r="E112">
            <v>434883</v>
          </cell>
          <cell r="F112">
            <v>8.5500000000000007E-2</v>
          </cell>
        </row>
        <row r="113">
          <cell r="B113" t="str">
            <v>Twitter</v>
          </cell>
          <cell r="C113">
            <v>1751</v>
          </cell>
          <cell r="D113">
            <v>86</v>
          </cell>
          <cell r="E113">
            <v>188655</v>
          </cell>
          <cell r="F113">
            <v>7.2400000000000006E-2</v>
          </cell>
        </row>
        <row r="114">
          <cell r="B114" t="str">
            <v>Twitter</v>
          </cell>
          <cell r="C114">
            <v>1300</v>
          </cell>
          <cell r="D114">
            <v>71</v>
          </cell>
          <cell r="E114">
            <v>186454</v>
          </cell>
          <cell r="F114">
            <v>3.9100000000000003E-2</v>
          </cell>
        </row>
        <row r="115">
          <cell r="B115" t="str">
            <v>Twitter</v>
          </cell>
          <cell r="C115">
            <v>557</v>
          </cell>
          <cell r="D115">
            <v>360</v>
          </cell>
          <cell r="E115">
            <v>318779</v>
          </cell>
          <cell r="F115">
            <v>8.0199999999999994E-2</v>
          </cell>
        </row>
        <row r="116">
          <cell r="B116" t="str">
            <v>Twitter</v>
          </cell>
          <cell r="C116">
            <v>751</v>
          </cell>
          <cell r="D116">
            <v>491</v>
          </cell>
          <cell r="E116">
            <v>434047</v>
          </cell>
          <cell r="F116">
            <v>9.2399999999999996E-2</v>
          </cell>
        </row>
        <row r="117">
          <cell r="B117" t="str">
            <v>Twitter</v>
          </cell>
          <cell r="C117">
            <v>1472</v>
          </cell>
          <cell r="D117">
            <v>347</v>
          </cell>
          <cell r="E117">
            <v>392355</v>
          </cell>
          <cell r="F117">
            <v>8.5900000000000004E-2</v>
          </cell>
        </row>
        <row r="118">
          <cell r="B118" t="str">
            <v>Twitter</v>
          </cell>
          <cell r="C118">
            <v>1911</v>
          </cell>
          <cell r="D118">
            <v>231</v>
          </cell>
          <cell r="E118">
            <v>268516</v>
          </cell>
          <cell r="F118">
            <v>8.5500000000000007E-2</v>
          </cell>
        </row>
        <row r="119">
          <cell r="B119" t="str">
            <v>Twitter</v>
          </cell>
          <cell r="C119">
            <v>752</v>
          </cell>
          <cell r="D119">
            <v>153</v>
          </cell>
          <cell r="E119">
            <v>64906</v>
          </cell>
          <cell r="F119">
            <v>2.0899999999999998E-2</v>
          </cell>
        </row>
        <row r="120">
          <cell r="B120" t="str">
            <v>Twitter</v>
          </cell>
          <cell r="C120">
            <v>437</v>
          </cell>
          <cell r="D120">
            <v>330</v>
          </cell>
          <cell r="E120">
            <v>476486</v>
          </cell>
          <cell r="F120">
            <v>4.9699999999999994E-2</v>
          </cell>
        </row>
        <row r="121">
          <cell r="B121" t="str">
            <v>Twitter</v>
          </cell>
          <cell r="C121">
            <v>201</v>
          </cell>
          <cell r="D121">
            <v>221</v>
          </cell>
          <cell r="E121">
            <v>309772</v>
          </cell>
          <cell r="F121">
            <v>5.9000000000000004E-2</v>
          </cell>
        </row>
        <row r="122">
          <cell r="B122" t="str">
            <v>Twitter</v>
          </cell>
          <cell r="C122">
            <v>697</v>
          </cell>
          <cell r="D122">
            <v>61</v>
          </cell>
          <cell r="E122">
            <v>258287</v>
          </cell>
          <cell r="F122">
            <v>8.2500000000000004E-2</v>
          </cell>
        </row>
        <row r="123">
          <cell r="B123" t="str">
            <v>Twitter</v>
          </cell>
          <cell r="C123">
            <v>191</v>
          </cell>
          <cell r="D123">
            <v>154</v>
          </cell>
          <cell r="E123">
            <v>240550</v>
          </cell>
          <cell r="F123">
            <v>5.2199999999999996E-2</v>
          </cell>
        </row>
        <row r="124">
          <cell r="B124" t="str">
            <v>Twitter</v>
          </cell>
          <cell r="C124">
            <v>1821</v>
          </cell>
          <cell r="D124">
            <v>218</v>
          </cell>
          <cell r="E124">
            <v>439080</v>
          </cell>
          <cell r="F124">
            <v>5.6799999999999996E-2</v>
          </cell>
        </row>
        <row r="125">
          <cell r="B125" t="str">
            <v>Twitter</v>
          </cell>
          <cell r="C125">
            <v>1487</v>
          </cell>
          <cell r="D125">
            <v>337</v>
          </cell>
          <cell r="E125">
            <v>87305</v>
          </cell>
          <cell r="F125">
            <v>2.46E-2</v>
          </cell>
        </row>
        <row r="126">
          <cell r="B126" t="str">
            <v>Twitter</v>
          </cell>
          <cell r="C126">
            <v>628</v>
          </cell>
          <cell r="D126">
            <v>183</v>
          </cell>
          <cell r="E126">
            <v>487523</v>
          </cell>
          <cell r="F126">
            <v>7.3200000000000001E-2</v>
          </cell>
        </row>
        <row r="127">
          <cell r="B127" t="str">
            <v>Twitter</v>
          </cell>
          <cell r="C127">
            <v>330</v>
          </cell>
          <cell r="D127">
            <v>232</v>
          </cell>
          <cell r="E127">
            <v>88455</v>
          </cell>
          <cell r="F127">
            <v>2.69E-2</v>
          </cell>
        </row>
        <row r="128">
          <cell r="B128" t="str">
            <v>Twitter</v>
          </cell>
          <cell r="C128">
            <v>1441</v>
          </cell>
          <cell r="D128">
            <v>268</v>
          </cell>
          <cell r="E128">
            <v>309904</v>
          </cell>
          <cell r="F128">
            <v>6.3700000000000007E-2</v>
          </cell>
        </row>
        <row r="129">
          <cell r="B129" t="str">
            <v>Twitter</v>
          </cell>
          <cell r="C129">
            <v>1937</v>
          </cell>
          <cell r="D129">
            <v>210</v>
          </cell>
          <cell r="E129">
            <v>20607</v>
          </cell>
          <cell r="F129">
            <v>4.2000000000000003E-2</v>
          </cell>
        </row>
        <row r="130">
          <cell r="B130" t="str">
            <v>Twitter</v>
          </cell>
          <cell r="C130">
            <v>1592</v>
          </cell>
          <cell r="D130">
            <v>233</v>
          </cell>
          <cell r="E130">
            <v>327183</v>
          </cell>
          <cell r="F130">
            <v>6.6600000000000006E-2</v>
          </cell>
        </row>
        <row r="131">
          <cell r="B131" t="str">
            <v>Twitter</v>
          </cell>
          <cell r="C131">
            <v>1137</v>
          </cell>
          <cell r="D131">
            <v>226</v>
          </cell>
          <cell r="E131">
            <v>81119</v>
          </cell>
          <cell r="F131">
            <v>7.7399999999999997E-2</v>
          </cell>
        </row>
        <row r="132">
          <cell r="B132" t="str">
            <v>Twitter</v>
          </cell>
          <cell r="C132">
            <v>1786</v>
          </cell>
          <cell r="D132">
            <v>257</v>
          </cell>
          <cell r="E132">
            <v>274831</v>
          </cell>
          <cell r="F132">
            <v>4.6799999999999994E-2</v>
          </cell>
        </row>
        <row r="133">
          <cell r="B133" t="str">
            <v>Twitter</v>
          </cell>
          <cell r="C133">
            <v>1633</v>
          </cell>
          <cell r="D133">
            <v>445</v>
          </cell>
          <cell r="E133">
            <v>371156</v>
          </cell>
          <cell r="F133">
            <v>2.2200000000000001E-2</v>
          </cell>
        </row>
        <row r="134">
          <cell r="B134" t="str">
            <v>Twitter</v>
          </cell>
          <cell r="C134">
            <v>118</v>
          </cell>
          <cell r="D134">
            <v>262</v>
          </cell>
          <cell r="E134">
            <v>487896</v>
          </cell>
          <cell r="F134">
            <v>2.5600000000000001E-2</v>
          </cell>
        </row>
        <row r="135">
          <cell r="B135" t="str">
            <v>Twitter</v>
          </cell>
          <cell r="C135">
            <v>1040</v>
          </cell>
          <cell r="D135">
            <v>149</v>
          </cell>
          <cell r="E135">
            <v>124404</v>
          </cell>
          <cell r="F135">
            <v>5.2300000000000006E-2</v>
          </cell>
        </row>
        <row r="136">
          <cell r="B136" t="str">
            <v>Twitter</v>
          </cell>
          <cell r="C136">
            <v>1501</v>
          </cell>
          <cell r="D136">
            <v>75</v>
          </cell>
          <cell r="E136">
            <v>262569</v>
          </cell>
          <cell r="F136">
            <v>2.0099999999999996E-2</v>
          </cell>
        </row>
        <row r="137">
          <cell r="B137" t="str">
            <v>Twitter</v>
          </cell>
          <cell r="C137">
            <v>927</v>
          </cell>
          <cell r="D137">
            <v>358</v>
          </cell>
          <cell r="E137">
            <v>177554</v>
          </cell>
          <cell r="F137">
            <v>6.9500000000000006E-2</v>
          </cell>
        </row>
        <row r="138">
          <cell r="B138" t="str">
            <v>Twitter</v>
          </cell>
          <cell r="C138">
            <v>1587</v>
          </cell>
          <cell r="D138">
            <v>385</v>
          </cell>
          <cell r="E138">
            <v>126582</v>
          </cell>
          <cell r="F138">
            <v>6.9900000000000004E-2</v>
          </cell>
        </row>
        <row r="139">
          <cell r="B139" t="str">
            <v>Twitter</v>
          </cell>
          <cell r="C139">
            <v>362</v>
          </cell>
          <cell r="D139">
            <v>399</v>
          </cell>
          <cell r="E139">
            <v>145608</v>
          </cell>
          <cell r="F139">
            <v>7.2999999999999995E-2</v>
          </cell>
        </row>
        <row r="140">
          <cell r="B140" t="str">
            <v>Twitter</v>
          </cell>
          <cell r="C140">
            <v>861</v>
          </cell>
          <cell r="D140">
            <v>153</v>
          </cell>
          <cell r="E140">
            <v>317007</v>
          </cell>
          <cell r="F140">
            <v>3.85E-2</v>
          </cell>
        </row>
        <row r="141">
          <cell r="B141" t="str">
            <v>Twitter</v>
          </cell>
          <cell r="C141">
            <v>946</v>
          </cell>
          <cell r="D141">
            <v>47</v>
          </cell>
          <cell r="E141">
            <v>466575</v>
          </cell>
          <cell r="F141">
            <v>8.3299999999999999E-2</v>
          </cell>
        </row>
        <row r="142">
          <cell r="B142" t="str">
            <v>Twitter</v>
          </cell>
          <cell r="C142">
            <v>1399</v>
          </cell>
          <cell r="D142">
            <v>49</v>
          </cell>
          <cell r="E142">
            <v>12471</v>
          </cell>
          <cell r="F142">
            <v>5.1200000000000002E-2</v>
          </cell>
        </row>
        <row r="143">
          <cell r="B143" t="str">
            <v>Twitter</v>
          </cell>
          <cell r="C143">
            <v>1077</v>
          </cell>
          <cell r="D143">
            <v>216</v>
          </cell>
          <cell r="E143">
            <v>12447</v>
          </cell>
          <cell r="F143">
            <v>1.8000000000000002E-2</v>
          </cell>
        </row>
        <row r="144">
          <cell r="B144" t="str">
            <v>Twitter</v>
          </cell>
          <cell r="C144">
            <v>364</v>
          </cell>
          <cell r="D144">
            <v>72</v>
          </cell>
          <cell r="E144">
            <v>211090</v>
          </cell>
          <cell r="F144">
            <v>5.5300000000000002E-2</v>
          </cell>
        </row>
        <row r="145">
          <cell r="B145" t="str">
            <v>Twitter</v>
          </cell>
          <cell r="C145">
            <v>1946</v>
          </cell>
          <cell r="D145">
            <v>270</v>
          </cell>
          <cell r="E145">
            <v>198350</v>
          </cell>
          <cell r="F145">
            <v>7.4999999999999997E-2</v>
          </cell>
        </row>
        <row r="146">
          <cell r="B146" t="str">
            <v>Twitter</v>
          </cell>
          <cell r="C146">
            <v>1432</v>
          </cell>
          <cell r="D146">
            <v>425</v>
          </cell>
          <cell r="E146">
            <v>29589</v>
          </cell>
          <cell r="F146">
            <v>4.4999999999999998E-2</v>
          </cell>
        </row>
        <row r="147">
          <cell r="B147" t="str">
            <v>Twitter</v>
          </cell>
          <cell r="C147">
            <v>353</v>
          </cell>
          <cell r="D147">
            <v>300</v>
          </cell>
          <cell r="E147">
            <v>142507</v>
          </cell>
          <cell r="F147">
            <v>5.2999999999999999E-2</v>
          </cell>
        </row>
        <row r="148">
          <cell r="B148" t="str">
            <v>Twitter</v>
          </cell>
          <cell r="C148">
            <v>1147</v>
          </cell>
          <cell r="D148">
            <v>388</v>
          </cell>
          <cell r="E148">
            <v>333851</v>
          </cell>
          <cell r="F148">
            <v>2.4399999999999998E-2</v>
          </cell>
        </row>
        <row r="149">
          <cell r="B149" t="str">
            <v>Twitter</v>
          </cell>
          <cell r="C149">
            <v>1222</v>
          </cell>
          <cell r="D149">
            <v>274</v>
          </cell>
          <cell r="E149">
            <v>487289</v>
          </cell>
          <cell r="F149">
            <v>3.1600000000000003E-2</v>
          </cell>
        </row>
        <row r="150">
          <cell r="B150" t="str">
            <v>Twitter</v>
          </cell>
          <cell r="C150">
            <v>1581</v>
          </cell>
          <cell r="D150">
            <v>71</v>
          </cell>
          <cell r="E150">
            <v>484364</v>
          </cell>
          <cell r="F150">
            <v>3.5499999999999997E-2</v>
          </cell>
        </row>
        <row r="151">
          <cell r="B151" t="str">
            <v>Twitter</v>
          </cell>
          <cell r="C151">
            <v>337</v>
          </cell>
          <cell r="D151">
            <v>68</v>
          </cell>
          <cell r="E151">
            <v>456298</v>
          </cell>
          <cell r="F151">
            <v>7.5700000000000003E-2</v>
          </cell>
        </row>
        <row r="152">
          <cell r="B152" t="str">
            <v>YouTube</v>
          </cell>
          <cell r="C152">
            <v>1535</v>
          </cell>
          <cell r="D152">
            <v>445</v>
          </cell>
          <cell r="E152">
            <v>395536</v>
          </cell>
          <cell r="F152">
            <v>4.1100000000000005E-2</v>
          </cell>
        </row>
        <row r="153">
          <cell r="B153" t="str">
            <v>YouTube</v>
          </cell>
          <cell r="C153">
            <v>1197</v>
          </cell>
          <cell r="D153">
            <v>203</v>
          </cell>
          <cell r="E153">
            <v>413878</v>
          </cell>
          <cell r="F153">
            <v>3.1600000000000003E-2</v>
          </cell>
        </row>
        <row r="154">
          <cell r="B154" t="str">
            <v>YouTube</v>
          </cell>
          <cell r="C154">
            <v>403</v>
          </cell>
          <cell r="D154">
            <v>66</v>
          </cell>
          <cell r="E154">
            <v>382851</v>
          </cell>
          <cell r="F154">
            <v>3.49E-2</v>
          </cell>
        </row>
        <row r="155">
          <cell r="B155" t="str">
            <v>YouTube</v>
          </cell>
          <cell r="C155">
            <v>308</v>
          </cell>
          <cell r="D155">
            <v>431</v>
          </cell>
          <cell r="E155">
            <v>426184</v>
          </cell>
          <cell r="F155">
            <v>2.6200000000000001E-2</v>
          </cell>
        </row>
        <row r="156">
          <cell r="B156" t="str">
            <v>YouTube</v>
          </cell>
          <cell r="C156">
            <v>144</v>
          </cell>
          <cell r="D156">
            <v>53</v>
          </cell>
          <cell r="E156">
            <v>113678</v>
          </cell>
          <cell r="F156">
            <v>8.72E-2</v>
          </cell>
        </row>
        <row r="157">
          <cell r="B157" t="str">
            <v>YouTube</v>
          </cell>
          <cell r="C157">
            <v>883</v>
          </cell>
          <cell r="D157">
            <v>369</v>
          </cell>
          <cell r="E157">
            <v>233694</v>
          </cell>
          <cell r="F157">
            <v>2.8799999999999999E-2</v>
          </cell>
        </row>
        <row r="158">
          <cell r="B158" t="str">
            <v>YouTube</v>
          </cell>
          <cell r="C158">
            <v>224</v>
          </cell>
          <cell r="D158">
            <v>64</v>
          </cell>
          <cell r="E158">
            <v>156683</v>
          </cell>
          <cell r="F158">
            <v>4.5599999999999995E-2</v>
          </cell>
        </row>
        <row r="159">
          <cell r="B159" t="str">
            <v>YouTube</v>
          </cell>
          <cell r="C159">
            <v>804</v>
          </cell>
          <cell r="D159">
            <v>487</v>
          </cell>
          <cell r="E159">
            <v>306564</v>
          </cell>
          <cell r="F159">
            <v>5.5199999999999999E-2</v>
          </cell>
        </row>
        <row r="160">
          <cell r="B160" t="str">
            <v>YouTube</v>
          </cell>
          <cell r="C160">
            <v>576</v>
          </cell>
          <cell r="D160">
            <v>101</v>
          </cell>
          <cell r="E160">
            <v>62499</v>
          </cell>
          <cell r="F160">
            <v>3.4799999999999998E-2</v>
          </cell>
        </row>
        <row r="161">
          <cell r="B161" t="str">
            <v>YouTube</v>
          </cell>
          <cell r="C161">
            <v>460</v>
          </cell>
          <cell r="D161">
            <v>141</v>
          </cell>
          <cell r="E161">
            <v>320650</v>
          </cell>
          <cell r="F161">
            <v>4.0399999999999998E-2</v>
          </cell>
        </row>
        <row r="162">
          <cell r="B162" t="str">
            <v>YouTube</v>
          </cell>
          <cell r="C162">
            <v>1210</v>
          </cell>
          <cell r="D162">
            <v>178</v>
          </cell>
          <cell r="E162">
            <v>102042</v>
          </cell>
          <cell r="F162">
            <v>5.4199999999999998E-2</v>
          </cell>
        </row>
        <row r="163">
          <cell r="B163" t="str">
            <v>YouTube</v>
          </cell>
          <cell r="C163">
            <v>221</v>
          </cell>
          <cell r="D163">
            <v>31</v>
          </cell>
          <cell r="E163">
            <v>87443</v>
          </cell>
          <cell r="F163">
            <v>6.1900000000000004E-2</v>
          </cell>
        </row>
        <row r="164">
          <cell r="B164" t="str">
            <v>YouTube</v>
          </cell>
          <cell r="C164">
            <v>422</v>
          </cell>
          <cell r="D164">
            <v>394</v>
          </cell>
          <cell r="E164">
            <v>239044</v>
          </cell>
          <cell r="F164">
            <v>7.8299999999999995E-2</v>
          </cell>
        </row>
        <row r="165">
          <cell r="B165" t="str">
            <v>YouTube</v>
          </cell>
          <cell r="C165">
            <v>728</v>
          </cell>
          <cell r="D165">
            <v>395</v>
          </cell>
          <cell r="E165">
            <v>370971</v>
          </cell>
          <cell r="F165">
            <v>3.8599999999999995E-2</v>
          </cell>
        </row>
        <row r="166">
          <cell r="B166" t="str">
            <v>YouTube</v>
          </cell>
          <cell r="C166">
            <v>1409</v>
          </cell>
          <cell r="D166">
            <v>309</v>
          </cell>
          <cell r="E166">
            <v>64583</v>
          </cell>
          <cell r="F166">
            <v>8.9900000000000008E-2</v>
          </cell>
        </row>
        <row r="167">
          <cell r="B167" t="str">
            <v>YouTube</v>
          </cell>
          <cell r="C167">
            <v>123</v>
          </cell>
          <cell r="D167">
            <v>155</v>
          </cell>
          <cell r="E167">
            <v>119934</v>
          </cell>
          <cell r="F167">
            <v>3.5000000000000003E-2</v>
          </cell>
        </row>
        <row r="168">
          <cell r="B168" t="str">
            <v>YouTube</v>
          </cell>
          <cell r="C168">
            <v>1218</v>
          </cell>
          <cell r="D168">
            <v>212</v>
          </cell>
          <cell r="E168">
            <v>63177</v>
          </cell>
          <cell r="F168">
            <v>8.1300000000000011E-2</v>
          </cell>
        </row>
        <row r="169">
          <cell r="B169" t="str">
            <v>YouTube</v>
          </cell>
          <cell r="C169">
            <v>1918</v>
          </cell>
          <cell r="D169">
            <v>212</v>
          </cell>
          <cell r="E169">
            <v>94360</v>
          </cell>
          <cell r="F169">
            <v>7.3599999999999999E-2</v>
          </cell>
        </row>
        <row r="170">
          <cell r="B170" t="str">
            <v>YouTube</v>
          </cell>
          <cell r="C170">
            <v>307</v>
          </cell>
          <cell r="D170">
            <v>189</v>
          </cell>
          <cell r="E170">
            <v>117767</v>
          </cell>
          <cell r="F170">
            <v>9.3000000000000013E-2</v>
          </cell>
        </row>
        <row r="171">
          <cell r="B171" t="str">
            <v>YouTube</v>
          </cell>
          <cell r="C171">
            <v>414</v>
          </cell>
          <cell r="D171">
            <v>47</v>
          </cell>
          <cell r="E171">
            <v>199178</v>
          </cell>
          <cell r="F171">
            <v>1.5300000000000001E-2</v>
          </cell>
        </row>
        <row r="172">
          <cell r="B172" t="str">
            <v>YouTube</v>
          </cell>
          <cell r="C172">
            <v>1707</v>
          </cell>
          <cell r="D172">
            <v>223</v>
          </cell>
          <cell r="E172">
            <v>256910</v>
          </cell>
          <cell r="F172">
            <v>5.4100000000000002E-2</v>
          </cell>
        </row>
        <row r="173">
          <cell r="B173" t="str">
            <v>YouTube</v>
          </cell>
          <cell r="C173">
            <v>1814</v>
          </cell>
          <cell r="D173">
            <v>157</v>
          </cell>
          <cell r="E173">
            <v>305827</v>
          </cell>
          <cell r="F173">
            <v>1.9900000000000001E-2</v>
          </cell>
        </row>
        <row r="174">
          <cell r="B174" t="str">
            <v>YouTube</v>
          </cell>
          <cell r="C174">
            <v>1507</v>
          </cell>
          <cell r="D174">
            <v>463</v>
          </cell>
          <cell r="E174">
            <v>258944</v>
          </cell>
          <cell r="F174">
            <v>6.08E-2</v>
          </cell>
        </row>
        <row r="175">
          <cell r="B175" t="str">
            <v>YouTube</v>
          </cell>
          <cell r="C175">
            <v>454</v>
          </cell>
          <cell r="D175">
            <v>105</v>
          </cell>
          <cell r="E175">
            <v>121091</v>
          </cell>
          <cell r="F175">
            <v>7.9699999999999993E-2</v>
          </cell>
        </row>
        <row r="176">
          <cell r="B176" t="str">
            <v>YouTube</v>
          </cell>
          <cell r="C176">
            <v>278</v>
          </cell>
          <cell r="D176">
            <v>218</v>
          </cell>
          <cell r="E176">
            <v>301695</v>
          </cell>
          <cell r="F176">
            <v>4.6799999999999994E-2</v>
          </cell>
        </row>
        <row r="177">
          <cell r="B177" t="str">
            <v>YouTube</v>
          </cell>
          <cell r="C177">
            <v>1293</v>
          </cell>
          <cell r="D177">
            <v>408</v>
          </cell>
          <cell r="E177">
            <v>62535</v>
          </cell>
          <cell r="F177">
            <v>8.900000000000001E-2</v>
          </cell>
        </row>
        <row r="178">
          <cell r="B178" t="str">
            <v>YouTube</v>
          </cell>
          <cell r="C178">
            <v>452</v>
          </cell>
          <cell r="D178">
            <v>161</v>
          </cell>
          <cell r="E178">
            <v>221274</v>
          </cell>
          <cell r="F178">
            <v>2.6499999999999999E-2</v>
          </cell>
        </row>
        <row r="179">
          <cell r="B179" t="str">
            <v>YouTube</v>
          </cell>
          <cell r="C179">
            <v>736</v>
          </cell>
          <cell r="D179">
            <v>163</v>
          </cell>
          <cell r="E179">
            <v>451894</v>
          </cell>
          <cell r="F179">
            <v>5.4299999999999994E-2</v>
          </cell>
        </row>
        <row r="180">
          <cell r="B180" t="str">
            <v>YouTube</v>
          </cell>
          <cell r="C180">
            <v>1004</v>
          </cell>
          <cell r="D180">
            <v>128</v>
          </cell>
          <cell r="E180">
            <v>488901</v>
          </cell>
          <cell r="F180">
            <v>8.09E-2</v>
          </cell>
        </row>
        <row r="181">
          <cell r="B181" t="str">
            <v>YouTube</v>
          </cell>
          <cell r="C181">
            <v>1900</v>
          </cell>
          <cell r="D181">
            <v>311</v>
          </cell>
          <cell r="E181">
            <v>25177</v>
          </cell>
          <cell r="F181">
            <v>2.8900000000000002E-2</v>
          </cell>
        </row>
        <row r="182">
          <cell r="B182" t="str">
            <v>YouTube</v>
          </cell>
          <cell r="C182">
            <v>1495</v>
          </cell>
          <cell r="D182">
            <v>35</v>
          </cell>
          <cell r="E182">
            <v>136845</v>
          </cell>
          <cell r="F182">
            <v>4.4800000000000006E-2</v>
          </cell>
        </row>
        <row r="183">
          <cell r="B183" t="str">
            <v>YouTube</v>
          </cell>
          <cell r="C183">
            <v>891</v>
          </cell>
          <cell r="D183">
            <v>45</v>
          </cell>
          <cell r="E183">
            <v>95410</v>
          </cell>
          <cell r="F183">
            <v>8.3299999999999999E-2</v>
          </cell>
        </row>
        <row r="184">
          <cell r="B184" t="str">
            <v>YouTube</v>
          </cell>
          <cell r="C184">
            <v>1331</v>
          </cell>
          <cell r="D184">
            <v>430</v>
          </cell>
          <cell r="E184">
            <v>14437</v>
          </cell>
          <cell r="F184">
            <v>3.2899999999999999E-2</v>
          </cell>
        </row>
        <row r="185">
          <cell r="B185" t="str">
            <v>YouTube</v>
          </cell>
          <cell r="C185">
            <v>1166</v>
          </cell>
          <cell r="D185">
            <v>442</v>
          </cell>
          <cell r="E185">
            <v>336949</v>
          </cell>
          <cell r="F185">
            <v>4.6799999999999994E-2</v>
          </cell>
        </row>
        <row r="186">
          <cell r="B186" t="str">
            <v>YouTube</v>
          </cell>
          <cell r="C186">
            <v>1411</v>
          </cell>
          <cell r="D186">
            <v>186</v>
          </cell>
          <cell r="E186">
            <v>461669</v>
          </cell>
          <cell r="F186">
            <v>3.7200000000000004E-2</v>
          </cell>
        </row>
        <row r="187">
          <cell r="B187" t="str">
            <v>YouTube</v>
          </cell>
          <cell r="C187">
            <v>152</v>
          </cell>
          <cell r="D187">
            <v>355</v>
          </cell>
          <cell r="E187">
            <v>270766</v>
          </cell>
          <cell r="F187">
            <v>9.4800000000000009E-2</v>
          </cell>
        </row>
        <row r="188">
          <cell r="B188" t="str">
            <v>YouTube</v>
          </cell>
          <cell r="C188">
            <v>1707</v>
          </cell>
          <cell r="D188">
            <v>263</v>
          </cell>
          <cell r="E188">
            <v>485280</v>
          </cell>
          <cell r="F188">
            <v>9.0299999999999991E-2</v>
          </cell>
        </row>
        <row r="189">
          <cell r="B189" t="str">
            <v>YouTube</v>
          </cell>
          <cell r="C189">
            <v>1662</v>
          </cell>
          <cell r="D189">
            <v>487</v>
          </cell>
          <cell r="E189">
            <v>105980</v>
          </cell>
          <cell r="F189">
            <v>9.0800000000000006E-2</v>
          </cell>
        </row>
        <row r="190">
          <cell r="B190" t="str">
            <v>YouTube</v>
          </cell>
          <cell r="C190">
            <v>1063</v>
          </cell>
          <cell r="D190">
            <v>47</v>
          </cell>
          <cell r="E190">
            <v>464239</v>
          </cell>
          <cell r="F190">
            <v>6.5799999999999997E-2</v>
          </cell>
        </row>
        <row r="191">
          <cell r="B191" t="str">
            <v>YouTube</v>
          </cell>
          <cell r="C191">
            <v>510</v>
          </cell>
          <cell r="D191">
            <v>195</v>
          </cell>
          <cell r="E191">
            <v>224534</v>
          </cell>
          <cell r="F191">
            <v>9.4E-2</v>
          </cell>
        </row>
        <row r="192">
          <cell r="B192" t="str">
            <v>YouTube</v>
          </cell>
          <cell r="C192">
            <v>1658</v>
          </cell>
          <cell r="D192">
            <v>416</v>
          </cell>
          <cell r="E192">
            <v>98397</v>
          </cell>
          <cell r="F192">
            <v>6.1100000000000002E-2</v>
          </cell>
        </row>
        <row r="193">
          <cell r="B193" t="str">
            <v>YouTube</v>
          </cell>
          <cell r="C193">
            <v>1596</v>
          </cell>
          <cell r="D193">
            <v>211</v>
          </cell>
          <cell r="E193">
            <v>17380</v>
          </cell>
          <cell r="F193">
            <v>8.6400000000000005E-2</v>
          </cell>
        </row>
        <row r="194">
          <cell r="B194" t="str">
            <v>YouTube</v>
          </cell>
          <cell r="C194">
            <v>442</v>
          </cell>
          <cell r="D194">
            <v>53</v>
          </cell>
          <cell r="E194">
            <v>441931</v>
          </cell>
          <cell r="F194">
            <v>1.8700000000000001E-2</v>
          </cell>
        </row>
        <row r="195">
          <cell r="B195" t="str">
            <v>YouTube</v>
          </cell>
          <cell r="C195">
            <v>1957</v>
          </cell>
          <cell r="D195">
            <v>490</v>
          </cell>
          <cell r="E195">
            <v>435726</v>
          </cell>
          <cell r="F195">
            <v>4.7300000000000002E-2</v>
          </cell>
        </row>
        <row r="196">
          <cell r="B196" t="str">
            <v>YouTube</v>
          </cell>
          <cell r="C196">
            <v>623</v>
          </cell>
          <cell r="D196">
            <v>414</v>
          </cell>
          <cell r="E196">
            <v>290354</v>
          </cell>
          <cell r="F196">
            <v>6.4899999999999999E-2</v>
          </cell>
        </row>
        <row r="197">
          <cell r="B197" t="str">
            <v>YouTube</v>
          </cell>
          <cell r="C197">
            <v>520</v>
          </cell>
          <cell r="D197">
            <v>375</v>
          </cell>
          <cell r="E197">
            <v>369525</v>
          </cell>
          <cell r="F197">
            <v>6.54E-2</v>
          </cell>
        </row>
        <row r="198">
          <cell r="B198" t="str">
            <v>YouTube</v>
          </cell>
          <cell r="C198">
            <v>1707</v>
          </cell>
          <cell r="D198">
            <v>74</v>
          </cell>
          <cell r="E198">
            <v>270958</v>
          </cell>
          <cell r="F198">
            <v>3.0899999999999997E-2</v>
          </cell>
        </row>
        <row r="199">
          <cell r="B199" t="str">
            <v>YouTube</v>
          </cell>
          <cell r="C199">
            <v>777</v>
          </cell>
          <cell r="D199">
            <v>140</v>
          </cell>
          <cell r="E199">
            <v>11435</v>
          </cell>
          <cell r="F199">
            <v>1.6E-2</v>
          </cell>
        </row>
        <row r="200">
          <cell r="B200" t="str">
            <v>YouTube</v>
          </cell>
          <cell r="C200">
            <v>1035</v>
          </cell>
          <cell r="D200">
            <v>171</v>
          </cell>
          <cell r="E200">
            <v>148477</v>
          </cell>
          <cell r="F200">
            <v>5.21E-2</v>
          </cell>
        </row>
        <row r="201">
          <cell r="B201" t="str">
            <v>YouTube</v>
          </cell>
          <cell r="C201">
            <v>119</v>
          </cell>
          <cell r="D201">
            <v>456</v>
          </cell>
          <cell r="E201">
            <v>82558</v>
          </cell>
          <cell r="F201">
            <v>6.8099999999999994E-2</v>
          </cell>
        </row>
      </sheetData>
      <sheetData sheetId="2">
        <row r="1">
          <cell r="A1" t="str">
            <v>Post ID</v>
          </cell>
          <cell r="O1" t="str">
            <v>Engagement rate per Post</v>
          </cell>
        </row>
        <row r="2">
          <cell r="A2" t="str">
            <v>P001</v>
          </cell>
          <cell r="O2">
            <v>9.0759753593429152E-2</v>
          </cell>
        </row>
        <row r="3">
          <cell r="A3" t="str">
            <v>P001</v>
          </cell>
          <cell r="O3">
            <v>9.0759753593429152E-2</v>
          </cell>
        </row>
        <row r="4">
          <cell r="A4" t="str">
            <v>P002</v>
          </cell>
          <cell r="O4">
            <v>7.6097681302417369E-2</v>
          </cell>
        </row>
        <row r="5">
          <cell r="A5" t="str">
            <v>P002</v>
          </cell>
          <cell r="O5">
            <v>7.6097681302417369E-2</v>
          </cell>
        </row>
        <row r="6">
          <cell r="A6" t="str">
            <v>P003</v>
          </cell>
          <cell r="O6">
            <v>5.5531494209584788E-2</v>
          </cell>
        </row>
        <row r="7">
          <cell r="A7" t="str">
            <v>P004</v>
          </cell>
          <cell r="O7">
            <v>0.15105033277870217</v>
          </cell>
        </row>
        <row r="8">
          <cell r="A8" t="str">
            <v>P005</v>
          </cell>
          <cell r="O8">
            <v>6.5617093055946027E-2</v>
          </cell>
        </row>
        <row r="9">
          <cell r="A9" t="str">
            <v>P005</v>
          </cell>
          <cell r="O9">
            <v>6.5617093055946027E-2</v>
          </cell>
        </row>
        <row r="10">
          <cell r="A10" t="str">
            <v>P006</v>
          </cell>
          <cell r="O10">
            <v>0.17954159592529711</v>
          </cell>
        </row>
        <row r="11">
          <cell r="A11" t="str">
            <v>P007</v>
          </cell>
          <cell r="O11">
            <v>7.0272020725388601E-2</v>
          </cell>
        </row>
        <row r="12">
          <cell r="A12" t="str">
            <v>P008</v>
          </cell>
          <cell r="O12">
            <v>0.10340359564080613</v>
          </cell>
        </row>
        <row r="13">
          <cell r="A13" t="str">
            <v>P009</v>
          </cell>
          <cell r="O13">
            <v>8.8019732205778717E-2</v>
          </cell>
        </row>
        <row r="14">
          <cell r="A14" t="str">
            <v>P010</v>
          </cell>
          <cell r="O14">
            <v>7.198635172059864E-2</v>
          </cell>
        </row>
        <row r="15">
          <cell r="A15" t="str">
            <v>P011</v>
          </cell>
          <cell r="O15">
            <v>0.11571269132653061</v>
          </cell>
        </row>
        <row r="16">
          <cell r="A16" t="str">
            <v>P012</v>
          </cell>
          <cell r="O16">
            <v>0.12885405960945528</v>
          </cell>
        </row>
        <row r="17">
          <cell r="A17" t="str">
            <v>P013</v>
          </cell>
          <cell r="O17">
            <v>7.5868578363072495E-2</v>
          </cell>
        </row>
        <row r="18">
          <cell r="A18" t="str">
            <v>P014</v>
          </cell>
          <cell r="O18">
            <v>0.14521452145214522</v>
          </cell>
        </row>
        <row r="19">
          <cell r="A19" t="str">
            <v>P015</v>
          </cell>
          <cell r="O19">
            <v>5.941358024691358E-2</v>
          </cell>
        </row>
        <row r="20">
          <cell r="A20" t="str">
            <v>P016</v>
          </cell>
          <cell r="O20">
            <v>7.5843713789107758E-2</v>
          </cell>
        </row>
        <row r="21">
          <cell r="A21" t="str">
            <v>P017</v>
          </cell>
          <cell r="O21">
            <v>9.4235532537716729E-2</v>
          </cell>
        </row>
        <row r="22">
          <cell r="A22" t="str">
            <v>P018</v>
          </cell>
          <cell r="O22">
            <v>0.10297222222222223</v>
          </cell>
        </row>
        <row r="23">
          <cell r="A23" t="str">
            <v>P019</v>
          </cell>
          <cell r="O23">
            <v>0.10034235916588857</v>
          </cell>
        </row>
        <row r="24">
          <cell r="A24" t="str">
            <v>P020</v>
          </cell>
          <cell r="O24">
            <v>6.3809622724794221E-2</v>
          </cell>
        </row>
        <row r="25">
          <cell r="A25" t="str">
            <v>P021</v>
          </cell>
          <cell r="O25">
            <v>7.7249552156538517E-2</v>
          </cell>
        </row>
        <row r="26">
          <cell r="A26" t="str">
            <v>P022</v>
          </cell>
          <cell r="O26">
            <v>8.0294585987261149E-2</v>
          </cell>
        </row>
        <row r="27">
          <cell r="A27" t="str">
            <v>P023</v>
          </cell>
          <cell r="O27">
            <v>7.6867995018679955E-2</v>
          </cell>
        </row>
        <row r="28">
          <cell r="A28" t="str">
            <v>P023</v>
          </cell>
          <cell r="O28">
            <v>7.6867995018679955E-2</v>
          </cell>
        </row>
        <row r="29">
          <cell r="A29" t="str">
            <v>P024</v>
          </cell>
          <cell r="O29">
            <v>7.2070332803659209E-2</v>
          </cell>
        </row>
        <row r="30">
          <cell r="A30" t="str">
            <v>P025</v>
          </cell>
          <cell r="O30">
            <v>5.9496567505720827E-2</v>
          </cell>
        </row>
        <row r="31">
          <cell r="A31" t="str">
            <v>P026</v>
          </cell>
          <cell r="O31">
            <v>8.9730807577268201E-2</v>
          </cell>
        </row>
        <row r="32">
          <cell r="A32" t="str">
            <v>P027</v>
          </cell>
          <cell r="O32">
            <v>7.1501685934489398E-2</v>
          </cell>
        </row>
        <row r="33">
          <cell r="A33" t="str">
            <v>P028</v>
          </cell>
          <cell r="O33">
            <v>0.17057291666666666</v>
          </cell>
        </row>
        <row r="34">
          <cell r="A34" t="str">
            <v>P029</v>
          </cell>
          <cell r="O34">
            <v>0.21208106001558846</v>
          </cell>
        </row>
        <row r="35">
          <cell r="A35" t="str">
            <v>P030</v>
          </cell>
          <cell r="O35">
            <v>5.7655717106444085E-2</v>
          </cell>
        </row>
        <row r="36">
          <cell r="A36" t="str">
            <v>P031</v>
          </cell>
          <cell r="O36">
            <v>0.28245270711024134</v>
          </cell>
        </row>
        <row r="37">
          <cell r="A37" t="str">
            <v>P032</v>
          </cell>
          <cell r="O37">
            <v>0.19088381621305239</v>
          </cell>
        </row>
        <row r="38">
          <cell r="A38" t="str">
            <v>P033</v>
          </cell>
          <cell r="O38">
            <v>0.12781331438047855</v>
          </cell>
        </row>
        <row r="39">
          <cell r="A39" t="str">
            <v>P034</v>
          </cell>
          <cell r="O39">
            <v>7.055421038471886E-2</v>
          </cell>
        </row>
        <row r="40">
          <cell r="A40" t="str">
            <v>P035</v>
          </cell>
          <cell r="O40">
            <v>0.11861662987490802</v>
          </cell>
        </row>
        <row r="41">
          <cell r="A41" t="str">
            <v>P036</v>
          </cell>
          <cell r="O41">
            <v>7.6523535487678915E-2</v>
          </cell>
        </row>
        <row r="42">
          <cell r="A42" t="str">
            <v>P037</v>
          </cell>
          <cell r="O42">
            <v>0.17770337301587302</v>
          </cell>
        </row>
        <row r="43">
          <cell r="A43" t="str">
            <v>P038</v>
          </cell>
          <cell r="O43">
            <v>0.12577012959422137</v>
          </cell>
        </row>
        <row r="44">
          <cell r="A44" t="str">
            <v>P039</v>
          </cell>
          <cell r="O44">
            <v>7.2126493695121141E-2</v>
          </cell>
        </row>
        <row r="45">
          <cell r="A45" t="str">
            <v>P040</v>
          </cell>
          <cell r="O45">
            <v>0.13989473684210527</v>
          </cell>
        </row>
        <row r="46">
          <cell r="A46" t="str">
            <v>P041</v>
          </cell>
          <cell r="O46">
            <v>0.18433235867446393</v>
          </cell>
        </row>
        <row r="47">
          <cell r="A47" t="str">
            <v>P042</v>
          </cell>
          <cell r="O47">
            <v>0.21840570317563188</v>
          </cell>
        </row>
        <row r="48">
          <cell r="A48" t="str">
            <v>P043</v>
          </cell>
          <cell r="O48">
            <v>0.21826126954921804</v>
          </cell>
        </row>
        <row r="49">
          <cell r="A49" t="str">
            <v>P044</v>
          </cell>
          <cell r="O49">
            <v>9.8558100084817649E-2</v>
          </cell>
        </row>
        <row r="50">
          <cell r="A50" t="str">
            <v>P045</v>
          </cell>
          <cell r="O50">
            <v>7.5229902106199939E-2</v>
          </cell>
        </row>
        <row r="51">
          <cell r="A51" t="str">
            <v>P046</v>
          </cell>
          <cell r="O51">
            <v>0.16888537906137185</v>
          </cell>
        </row>
        <row r="52">
          <cell r="A52" t="str">
            <v>P047</v>
          </cell>
          <cell r="O52">
            <v>0.16683616863905326</v>
          </cell>
        </row>
        <row r="53">
          <cell r="A53" t="str">
            <v>P048</v>
          </cell>
          <cell r="O53">
            <v>7.349527665317139E-2</v>
          </cell>
        </row>
        <row r="54">
          <cell r="A54" t="str">
            <v>P049</v>
          </cell>
          <cell r="O54">
            <v>0.10617801791554102</v>
          </cell>
        </row>
        <row r="55">
          <cell r="A55" t="str">
            <v>P050</v>
          </cell>
          <cell r="O55">
            <v>0.13498547567175018</v>
          </cell>
        </row>
        <row r="56">
          <cell r="A56" t="str">
            <v>P051</v>
          </cell>
          <cell r="O56">
            <v>7.8689839572192513E-2</v>
          </cell>
        </row>
        <row r="57">
          <cell r="A57" t="str">
            <v>P052</v>
          </cell>
          <cell r="O57">
            <v>0.1569549774407219</v>
          </cell>
        </row>
        <row r="58">
          <cell r="A58" t="str">
            <v>P053</v>
          </cell>
          <cell r="O58">
            <v>0.36965174129353234</v>
          </cell>
        </row>
        <row r="59">
          <cell r="A59" t="str">
            <v>P053</v>
          </cell>
          <cell r="O59">
            <v>0.36965174129353234</v>
          </cell>
        </row>
        <row r="60">
          <cell r="A60" t="str">
            <v>P054</v>
          </cell>
          <cell r="O60">
            <v>0.16510298716704411</v>
          </cell>
        </row>
        <row r="61">
          <cell r="A61" t="str">
            <v>P055</v>
          </cell>
          <cell r="O61">
            <v>9.1897770527460579E-2</v>
          </cell>
        </row>
        <row r="62">
          <cell r="A62" t="str">
            <v>P056</v>
          </cell>
          <cell r="O62">
            <v>0.12936184657162253</v>
          </cell>
        </row>
        <row r="63">
          <cell r="A63" t="str">
            <v>P057</v>
          </cell>
          <cell r="O63">
            <v>8.0862831858407078E-2</v>
          </cell>
        </row>
        <row r="64">
          <cell r="A64" t="str">
            <v>P058</v>
          </cell>
          <cell r="O64">
            <v>0.86601941747572819</v>
          </cell>
        </row>
        <row r="65">
          <cell r="A65" t="str">
            <v>P059</v>
          </cell>
          <cell r="O65">
            <v>9.2726081258191345E-2</v>
          </cell>
        </row>
        <row r="66">
          <cell r="A66" t="str">
            <v>P060</v>
          </cell>
          <cell r="O66">
            <v>0.1650782845473111</v>
          </cell>
        </row>
        <row r="67">
          <cell r="A67" t="str">
            <v>P060</v>
          </cell>
          <cell r="O67">
            <v>0.1650782845473111</v>
          </cell>
        </row>
        <row r="68">
          <cell r="A68" t="str">
            <v>P060</v>
          </cell>
          <cell r="O68">
            <v>0.1650782845473111</v>
          </cell>
        </row>
        <row r="69">
          <cell r="A69" t="str">
            <v>P061</v>
          </cell>
          <cell r="O69">
            <v>0.14276618001546368</v>
          </cell>
        </row>
        <row r="70">
          <cell r="A70" t="str">
            <v>P062</v>
          </cell>
          <cell r="O70">
            <v>0.53773584905660377</v>
          </cell>
        </row>
        <row r="71">
          <cell r="A71" t="str">
            <v>P063</v>
          </cell>
          <cell r="O71">
            <v>5.2551586421122697E-2</v>
          </cell>
        </row>
        <row r="72">
          <cell r="A72" t="str">
            <v>P064</v>
          </cell>
          <cell r="O72">
            <v>8.2047718322909427E-2</v>
          </cell>
        </row>
        <row r="73">
          <cell r="A73" t="str">
            <v>P065</v>
          </cell>
          <cell r="O73">
            <v>0.11990720603160794</v>
          </cell>
        </row>
        <row r="74">
          <cell r="A74" t="str">
            <v>P066</v>
          </cell>
          <cell r="O74">
            <v>0.29199735449735448</v>
          </cell>
        </row>
        <row r="75">
          <cell r="A75" t="str">
            <v>P067</v>
          </cell>
          <cell r="O75">
            <v>6.3749764195434822E-2</v>
          </cell>
        </row>
        <row r="76">
          <cell r="A76" t="str">
            <v>P068</v>
          </cell>
          <cell r="O76">
            <v>0.19310344827586207</v>
          </cell>
        </row>
        <row r="77">
          <cell r="A77" t="str">
            <v>P069</v>
          </cell>
          <cell r="O77">
            <v>9.3421052631578946E-2</v>
          </cell>
        </row>
        <row r="78">
          <cell r="A78" t="str">
            <v>P070</v>
          </cell>
          <cell r="O78">
            <v>0.38274706867671693</v>
          </cell>
        </row>
        <row r="79">
          <cell r="A79" t="str">
            <v>P071</v>
          </cell>
          <cell r="O79">
            <v>0.1199202926956749</v>
          </cell>
        </row>
        <row r="80">
          <cell r="A80" t="str">
            <v>P072</v>
          </cell>
          <cell r="O80">
            <v>8.837126600284495E-2</v>
          </cell>
        </row>
        <row r="81">
          <cell r="A81" t="str">
            <v>P073</v>
          </cell>
          <cell r="O81">
            <v>6.4265122330790625E-2</v>
          </cell>
        </row>
        <row r="82">
          <cell r="A82" t="str">
            <v>P074</v>
          </cell>
          <cell r="O82">
            <v>0.13351302785265048</v>
          </cell>
        </row>
        <row r="83">
          <cell r="A83" t="str">
            <v>P075</v>
          </cell>
          <cell r="O83">
            <v>0.12131237937689551</v>
          </cell>
        </row>
        <row r="84">
          <cell r="A84" t="str">
            <v>P076</v>
          </cell>
          <cell r="O84">
            <v>8.1177520071364848E-2</v>
          </cell>
        </row>
        <row r="85">
          <cell r="A85" t="str">
            <v>P077</v>
          </cell>
          <cell r="O85">
            <v>0.20416333066453163</v>
          </cell>
        </row>
        <row r="86">
          <cell r="A86" t="str">
            <v>P078</v>
          </cell>
          <cell r="O86">
            <v>8.2075471698113203E-2</v>
          </cell>
        </row>
        <row r="87">
          <cell r="A87" t="str">
            <v>P079</v>
          </cell>
          <cell r="O87">
            <v>8.860696018453515E-2</v>
          </cell>
        </row>
        <row r="88">
          <cell r="A88" t="str">
            <v>P080</v>
          </cell>
          <cell r="O88">
            <v>7.7533348349475686E-2</v>
          </cell>
        </row>
        <row r="89">
          <cell r="A89" t="str">
            <v>P081</v>
          </cell>
          <cell r="O89">
            <v>9.4413295955146179E-2</v>
          </cell>
        </row>
        <row r="90">
          <cell r="A90" t="str">
            <v>P082</v>
          </cell>
          <cell r="O90">
            <v>8.558620689655172E-2</v>
          </cell>
        </row>
        <row r="91">
          <cell r="A91" t="str">
            <v>P082</v>
          </cell>
          <cell r="O91">
            <v>8.558620689655172E-2</v>
          </cell>
        </row>
        <row r="92">
          <cell r="A92" t="str">
            <v>P082</v>
          </cell>
          <cell r="O92">
            <v>8.558620689655172E-2</v>
          </cell>
        </row>
        <row r="93">
          <cell r="A93" t="str">
            <v>P083</v>
          </cell>
          <cell r="O93">
            <v>0.16118220597196831</v>
          </cell>
        </row>
        <row r="94">
          <cell r="A94" t="str">
            <v>P084</v>
          </cell>
          <cell r="O94">
            <v>8.6737756939878216E-2</v>
          </cell>
        </row>
        <row r="95">
          <cell r="A95" t="str">
            <v>P085</v>
          </cell>
          <cell r="O95">
            <v>0.19156491900087783</v>
          </cell>
        </row>
        <row r="96">
          <cell r="A96" t="str">
            <v>P086</v>
          </cell>
          <cell r="O96">
            <v>6.5515821264328367E-2</v>
          </cell>
        </row>
        <row r="97">
          <cell r="A97" t="str">
            <v>P086</v>
          </cell>
          <cell r="O97">
            <v>6.5515821264328367E-2</v>
          </cell>
        </row>
        <row r="98">
          <cell r="A98" t="str">
            <v>P087</v>
          </cell>
          <cell r="O98">
            <v>0.20868152274837512</v>
          </cell>
        </row>
        <row r="99">
          <cell r="A99" t="str">
            <v>P088</v>
          </cell>
          <cell r="O99">
            <v>0.13576158940397351</v>
          </cell>
        </row>
        <row r="100">
          <cell r="A100" t="str">
            <v>P089</v>
          </cell>
          <cell r="O100">
            <v>0.16873144921925409</v>
          </cell>
        </row>
        <row r="101">
          <cell r="A101" t="str">
            <v>P090</v>
          </cell>
          <cell r="O101">
            <v>7.0822181933293038E-2</v>
          </cell>
        </row>
        <row r="102">
          <cell r="A102" t="str">
            <v>P091</v>
          </cell>
          <cell r="O102">
            <v>7.984956452889945E-2</v>
          </cell>
        </row>
        <row r="103">
          <cell r="A103" t="str">
            <v>P092</v>
          </cell>
          <cell r="O103">
            <v>0.13599052880820836</v>
          </cell>
        </row>
        <row r="104">
          <cell r="A104" t="str">
            <v>P093</v>
          </cell>
          <cell r="O104">
            <v>0.28045655718611695</v>
          </cell>
        </row>
        <row r="105">
          <cell r="A105" t="str">
            <v>P094</v>
          </cell>
          <cell r="O105">
            <v>0.16843866371633656</v>
          </cell>
        </row>
        <row r="106">
          <cell r="A106" t="str">
            <v>P095</v>
          </cell>
          <cell r="O106">
            <v>6.8108806480899509E-2</v>
          </cell>
        </row>
        <row r="107">
          <cell r="A107" t="str">
            <v>P096</v>
          </cell>
          <cell r="O107">
            <v>0.10339256865912763</v>
          </cell>
        </row>
        <row r="108">
          <cell r="A108" t="str">
            <v>P097</v>
          </cell>
          <cell r="O108">
            <v>8.7668609086629767E-2</v>
          </cell>
        </row>
        <row r="109">
          <cell r="A109" t="str">
            <v>P097</v>
          </cell>
          <cell r="O109">
            <v>8.7668609086629767E-2</v>
          </cell>
        </row>
        <row r="110">
          <cell r="A110" t="str">
            <v>P098</v>
          </cell>
          <cell r="O110">
            <v>0.11238095238095239</v>
          </cell>
        </row>
        <row r="111">
          <cell r="A111" t="str">
            <v>P099</v>
          </cell>
          <cell r="O111">
            <v>7.2000119875329657E-2</v>
          </cell>
        </row>
        <row r="112">
          <cell r="A112" t="str">
            <v>P100</v>
          </cell>
          <cell r="O112">
            <v>9.2298980747451867E-2</v>
          </cell>
        </row>
        <row r="113">
          <cell r="A113" t="str">
            <v>P101</v>
          </cell>
          <cell r="O113">
            <v>7.3707865168539333E-2</v>
          </cell>
        </row>
        <row r="114">
          <cell r="A114" t="str">
            <v>P102</v>
          </cell>
          <cell r="O114">
            <v>0.35666666666666669</v>
          </cell>
        </row>
        <row r="115">
          <cell r="A115" t="str">
            <v>P103</v>
          </cell>
          <cell r="O115">
            <v>9.9632815002833983E-2</v>
          </cell>
        </row>
        <row r="116">
          <cell r="A116" t="str">
            <v>P104</v>
          </cell>
          <cell r="O116">
            <v>0.13707250341997265</v>
          </cell>
        </row>
        <row r="117">
          <cell r="A117" t="str">
            <v>P105</v>
          </cell>
          <cell r="O117">
            <v>0.12896028558679162</v>
          </cell>
        </row>
        <row r="118">
          <cell r="A118" t="str">
            <v>P106</v>
          </cell>
          <cell r="O118">
            <v>8.5718409468138843E-2</v>
          </cell>
        </row>
        <row r="119">
          <cell r="A119" t="str">
            <v>P107</v>
          </cell>
          <cell r="O119">
            <v>6.2467323109097243E-2</v>
          </cell>
        </row>
        <row r="120">
          <cell r="A120" t="str">
            <v>P108</v>
          </cell>
          <cell r="O120">
            <v>0.10005698005698006</v>
          </cell>
        </row>
        <row r="121">
          <cell r="A121" t="str">
            <v>P109</v>
          </cell>
          <cell r="O121">
            <v>0.16744313510550835</v>
          </cell>
        </row>
        <row r="122">
          <cell r="A122" t="str">
            <v>P110</v>
          </cell>
          <cell r="O122">
            <v>0.12277759141227776</v>
          </cell>
        </row>
        <row r="123">
          <cell r="A123" t="str">
            <v>P111</v>
          </cell>
          <cell r="O123">
            <v>7.4071349760941527E-2</v>
          </cell>
        </row>
        <row r="124">
          <cell r="A124" t="str">
            <v>P112</v>
          </cell>
          <cell r="O124">
            <v>0.17441662408448305</v>
          </cell>
        </row>
        <row r="125">
          <cell r="A125" t="str">
            <v>P113</v>
          </cell>
          <cell r="O125">
            <v>0.11369088028965829</v>
          </cell>
        </row>
        <row r="126">
          <cell r="A126" t="str">
            <v>P114</v>
          </cell>
          <cell r="O126">
            <v>0.12942500000000001</v>
          </cell>
        </row>
        <row r="127">
          <cell r="A127" t="str">
            <v>P115</v>
          </cell>
          <cell r="O127">
            <v>6.2150491965739366E-2</v>
          </cell>
        </row>
        <row r="128">
          <cell r="A128" t="str">
            <v>P115</v>
          </cell>
          <cell r="O128">
            <v>6.2150491965739366E-2</v>
          </cell>
        </row>
        <row r="129">
          <cell r="A129" t="str">
            <v>P116</v>
          </cell>
          <cell r="O129">
            <v>0.16769515581610614</v>
          </cell>
        </row>
        <row r="130">
          <cell r="A130" t="str">
            <v>P117</v>
          </cell>
          <cell r="O130">
            <v>0.11792317271769326</v>
          </cell>
        </row>
        <row r="131">
          <cell r="A131" t="str">
            <v>P118</v>
          </cell>
          <cell r="O131">
            <v>8.0158206987475278E-2</v>
          </cell>
        </row>
        <row r="132">
          <cell r="A132" t="str">
            <v>P119</v>
          </cell>
          <cell r="O132">
            <v>0.31705583756345179</v>
          </cell>
        </row>
        <row r="133">
          <cell r="A133" t="str">
            <v>P120</v>
          </cell>
          <cell r="O133">
            <v>0.23414918414918415</v>
          </cell>
        </row>
        <row r="134">
          <cell r="A134" t="str">
            <v>P121</v>
          </cell>
          <cell r="O134">
            <v>0.32349397590361445</v>
          </cell>
        </row>
        <row r="135">
          <cell r="A135" t="str">
            <v>P122</v>
          </cell>
          <cell r="O135">
            <v>8.0565268065268064E-2</v>
          </cell>
        </row>
        <row r="136">
          <cell r="A136" t="str">
            <v>P123</v>
          </cell>
          <cell r="O136">
            <v>0.23616777446710979</v>
          </cell>
        </row>
        <row r="137">
          <cell r="A137" t="str">
            <v>P124</v>
          </cell>
          <cell r="O137">
            <v>0.33618012422360249</v>
          </cell>
        </row>
        <row r="138">
          <cell r="A138" t="str">
            <v>P125</v>
          </cell>
          <cell r="O138">
            <v>0.14265722032712325</v>
          </cell>
        </row>
        <row r="139">
          <cell r="A139" t="str">
            <v>P126</v>
          </cell>
          <cell r="O139">
            <v>9.9829463465827106E-2</v>
          </cell>
        </row>
        <row r="140">
          <cell r="A140" t="str">
            <v>P127</v>
          </cell>
          <cell r="O140">
            <v>6.9311459413307311E-2</v>
          </cell>
        </row>
        <row r="141">
          <cell r="A141" t="str">
            <v>P128</v>
          </cell>
          <cell r="O141">
            <v>0.12537731780940059</v>
          </cell>
        </row>
        <row r="142">
          <cell r="A142" t="str">
            <v>P129</v>
          </cell>
          <cell r="O142">
            <v>0.17291569632044715</v>
          </cell>
        </row>
        <row r="143">
          <cell r="A143" t="str">
            <v>P130</v>
          </cell>
          <cell r="O143">
            <v>8.9577656675749323E-2</v>
          </cell>
        </row>
        <row r="144">
          <cell r="A144" t="str">
            <v>P131</v>
          </cell>
          <cell r="O144">
            <v>0.13106060606060607</v>
          </cell>
        </row>
        <row r="145">
          <cell r="A145" t="str">
            <v>P132</v>
          </cell>
          <cell r="O145">
            <v>0.13493953401503478</v>
          </cell>
        </row>
        <row r="146">
          <cell r="A146" t="str">
            <v>P133</v>
          </cell>
          <cell r="O146">
            <v>7.172350922350923E-2</v>
          </cell>
        </row>
        <row r="147">
          <cell r="A147" t="str">
            <v>P134</v>
          </cell>
          <cell r="O147">
            <v>7.1133744304476013E-2</v>
          </cell>
        </row>
        <row r="148">
          <cell r="A148" t="str">
            <v>P135</v>
          </cell>
          <cell r="O148">
            <v>6.461481657304112E-2</v>
          </cell>
        </row>
        <row r="149">
          <cell r="A149" t="str">
            <v>P136</v>
          </cell>
          <cell r="O149">
            <v>0.20357370772176134</v>
          </cell>
        </row>
        <row r="150">
          <cell r="A150" t="str">
            <v>P137</v>
          </cell>
          <cell r="O150">
            <v>0.20871010638297871</v>
          </cell>
        </row>
        <row r="151">
          <cell r="A151" t="str">
            <v>P138</v>
          </cell>
          <cell r="O151">
            <v>0.16065573770491803</v>
          </cell>
        </row>
        <row r="152">
          <cell r="A152" t="str">
            <v>P139</v>
          </cell>
          <cell r="O152">
            <v>9.422796795338674E-2</v>
          </cell>
        </row>
        <row r="153">
          <cell r="A153" t="str">
            <v>P140</v>
          </cell>
          <cell r="O153">
            <v>0.15571802706241816</v>
          </cell>
        </row>
        <row r="154">
          <cell r="A154" t="str">
            <v>P140</v>
          </cell>
          <cell r="O154">
            <v>0.15571802706241816</v>
          </cell>
        </row>
        <row r="155">
          <cell r="A155" t="str">
            <v>P141</v>
          </cell>
          <cell r="O155">
            <v>0.2316508937960042</v>
          </cell>
        </row>
        <row r="156">
          <cell r="A156" t="str">
            <v>P142</v>
          </cell>
          <cell r="O156">
            <v>6.9438087973557078E-2</v>
          </cell>
        </row>
        <row r="157">
          <cell r="A157" t="str">
            <v>P143</v>
          </cell>
          <cell r="O157">
            <v>0.50192307692307692</v>
          </cell>
        </row>
        <row r="158">
          <cell r="A158" t="str">
            <v>P144</v>
          </cell>
          <cell r="O158">
            <v>6.5455787978772245E-2</v>
          </cell>
        </row>
        <row r="159">
          <cell r="A159" t="str">
            <v>P145</v>
          </cell>
          <cell r="O159">
            <v>5.6416400425985093E-2</v>
          </cell>
        </row>
        <row r="160">
          <cell r="A160" t="str">
            <v>P146</v>
          </cell>
          <cell r="O160">
            <v>0.21636759108210984</v>
          </cell>
        </row>
        <row r="161">
          <cell r="A161" t="str">
            <v>P146</v>
          </cell>
          <cell r="O161">
            <v>0.21636759108210984</v>
          </cell>
        </row>
        <row r="162">
          <cell r="A162" t="str">
            <v>P147</v>
          </cell>
          <cell r="O162">
            <v>0.15283323095823095</v>
          </cell>
        </row>
        <row r="163">
          <cell r="A163" t="str">
            <v>P148</v>
          </cell>
          <cell r="O163">
            <v>0.19864505202032423</v>
          </cell>
        </row>
        <row r="164">
          <cell r="A164" t="str">
            <v>P149</v>
          </cell>
          <cell r="O164">
            <v>7.7291421856639245E-2</v>
          </cell>
        </row>
        <row r="165">
          <cell r="A165" t="str">
            <v>P150</v>
          </cell>
          <cell r="O165">
            <v>6.3713620488940623E-2</v>
          </cell>
        </row>
        <row r="166">
          <cell r="A166" t="str">
            <v>P151</v>
          </cell>
          <cell r="O166">
            <v>0.10977802753582468</v>
          </cell>
        </row>
        <row r="167">
          <cell r="A167" t="str">
            <v>P152</v>
          </cell>
          <cell r="O167">
            <v>0.19511518179295032</v>
          </cell>
        </row>
        <row r="168">
          <cell r="A168" t="str">
            <v>P153</v>
          </cell>
          <cell r="O168">
            <v>0.17801355732390214</v>
          </cell>
        </row>
        <row r="169">
          <cell r="A169" t="str">
            <v>P154</v>
          </cell>
          <cell r="O169">
            <v>0.31965192168237855</v>
          </cell>
        </row>
        <row r="170">
          <cell r="A170" t="str">
            <v>P155</v>
          </cell>
          <cell r="O170">
            <v>0.11489268506351293</v>
          </cell>
        </row>
        <row r="171">
          <cell r="A171" t="str">
            <v>P156</v>
          </cell>
          <cell r="O171">
            <v>0.1095786671562328</v>
          </cell>
        </row>
        <row r="172">
          <cell r="A172" t="str">
            <v>P157</v>
          </cell>
          <cell r="O172">
            <v>0.10793717277486911</v>
          </cell>
        </row>
        <row r="173">
          <cell r="A173" t="str">
            <v>P158</v>
          </cell>
          <cell r="O173">
            <v>0.11307081114118571</v>
          </cell>
        </row>
        <row r="174">
          <cell r="A174" t="str">
            <v>P159</v>
          </cell>
          <cell r="O174">
            <v>0.21745283018867925</v>
          </cell>
        </row>
        <row r="175">
          <cell r="A175" t="str">
            <v>P160</v>
          </cell>
          <cell r="O175">
            <v>9.1137810638734856E-2</v>
          </cell>
        </row>
        <row r="176">
          <cell r="A176" t="str">
            <v>P161</v>
          </cell>
          <cell r="O176">
            <v>0.11508145034156594</v>
          </cell>
        </row>
        <row r="177">
          <cell r="A177" t="str">
            <v>P162</v>
          </cell>
          <cell r="O177">
            <v>8.6630570595585168E-2</v>
          </cell>
        </row>
        <row r="178">
          <cell r="A178" t="str">
            <v>P163</v>
          </cell>
          <cell r="O178">
            <v>0.23101532992668297</v>
          </cell>
        </row>
        <row r="179">
          <cell r="A179" t="str">
            <v>P164</v>
          </cell>
          <cell r="O179">
            <v>0.15355188488042157</v>
          </cell>
        </row>
        <row r="180">
          <cell r="A180" t="str">
            <v>P164</v>
          </cell>
          <cell r="O180">
            <v>0.15355188488042157</v>
          </cell>
        </row>
        <row r="181">
          <cell r="A181" t="str">
            <v>P165</v>
          </cell>
          <cell r="O181">
            <v>0.15405989502933004</v>
          </cell>
        </row>
        <row r="182">
          <cell r="A182" t="str">
            <v>P166</v>
          </cell>
          <cell r="O182">
            <v>0.14320716458262928</v>
          </cell>
        </row>
        <row r="183">
          <cell r="A183" t="str">
            <v>P167</v>
          </cell>
          <cell r="O183">
            <v>9.859917557465242E-2</v>
          </cell>
        </row>
        <row r="184">
          <cell r="A184" t="str">
            <v>P168</v>
          </cell>
          <cell r="O184">
            <v>7.412002573292896E-2</v>
          </cell>
        </row>
        <row r="185">
          <cell r="A185" t="str">
            <v>P169</v>
          </cell>
          <cell r="O185">
            <v>0.12490884163239112</v>
          </cell>
        </row>
        <row r="186">
          <cell r="A186" t="str">
            <v>P170</v>
          </cell>
          <cell r="O186">
            <v>6.8655003457763777E-2</v>
          </cell>
        </row>
        <row r="187">
          <cell r="A187" t="str">
            <v>P171</v>
          </cell>
          <cell r="O187">
            <v>9.8068107400130972E-2</v>
          </cell>
        </row>
        <row r="188">
          <cell r="A188" t="str">
            <v>P172</v>
          </cell>
          <cell r="O188">
            <v>7.2739802071170159E-2</v>
          </cell>
        </row>
        <row r="189">
          <cell r="A189" t="str">
            <v>P173</v>
          </cell>
          <cell r="O189">
            <v>0.14348370927318296</v>
          </cell>
        </row>
        <row r="190">
          <cell r="A190" t="str">
            <v>P174</v>
          </cell>
          <cell r="O190">
            <v>0.13809430512016718</v>
          </cell>
        </row>
        <row r="191">
          <cell r="A191" t="str">
            <v>P175</v>
          </cell>
          <cell r="O191">
            <v>0.6508215962441315</v>
          </cell>
        </row>
        <row r="192">
          <cell r="A192" t="str">
            <v>P176</v>
          </cell>
          <cell r="O192">
            <v>5.4081095313322801E-2</v>
          </cell>
        </row>
        <row r="193">
          <cell r="A193" t="str">
            <v>P177</v>
          </cell>
          <cell r="O193">
            <v>9.1365878393951966E-2</v>
          </cell>
        </row>
        <row r="194">
          <cell r="A194" t="str">
            <v>P178</v>
          </cell>
          <cell r="O194">
            <v>0.70387596899224802</v>
          </cell>
        </row>
        <row r="195">
          <cell r="A195" t="str">
            <v>P179</v>
          </cell>
          <cell r="O195">
            <v>7.5280481001673588E-2</v>
          </cell>
        </row>
        <row r="196">
          <cell r="A196" t="str">
            <v>P180</v>
          </cell>
          <cell r="O196">
            <v>9.023070704558174E-2</v>
          </cell>
        </row>
        <row r="197">
          <cell r="A197" t="str">
            <v>P181</v>
          </cell>
          <cell r="O197">
            <v>0.23673521198273673</v>
          </cell>
        </row>
        <row r="198">
          <cell r="A198" t="str">
            <v>P182</v>
          </cell>
          <cell r="O198">
            <v>0.10132030477519921</v>
          </cell>
        </row>
        <row r="199">
          <cell r="A199" t="str">
            <v>P183</v>
          </cell>
          <cell r="O199">
            <v>0.28696581196581195</v>
          </cell>
        </row>
        <row r="200">
          <cell r="A200" t="str">
            <v>P184</v>
          </cell>
          <cell r="O200">
            <v>0.13614307931570763</v>
          </cell>
        </row>
        <row r="201">
          <cell r="A201" t="str">
            <v>P185</v>
          </cell>
          <cell r="O201">
            <v>9.5290736237010829E-2</v>
          </cell>
        </row>
        <row r="202">
          <cell r="A202" t="str">
            <v>P186</v>
          </cell>
          <cell r="O202">
            <v>8.4862714173059003E-2</v>
          </cell>
        </row>
        <row r="203">
          <cell r="A203" t="str">
            <v>P187</v>
          </cell>
          <cell r="O203">
            <v>8.3726921425504502E-2</v>
          </cell>
        </row>
        <row r="204">
          <cell r="A204" t="str">
            <v>P188</v>
          </cell>
          <cell r="O204">
            <v>8.4946236559139784E-2</v>
          </cell>
        </row>
        <row r="205">
          <cell r="A205" t="str">
            <v>P189</v>
          </cell>
          <cell r="O205">
            <v>7.2503306878306875E-2</v>
          </cell>
        </row>
        <row r="206">
          <cell r="A206" t="str">
            <v>P190</v>
          </cell>
          <cell r="O206">
            <v>5.5909322465613857E-2</v>
          </cell>
        </row>
        <row r="207">
          <cell r="A207" t="str">
            <v>P191</v>
          </cell>
          <cell r="O207">
            <v>9.9578134817341346E-2</v>
          </cell>
        </row>
        <row r="208">
          <cell r="A208" t="str">
            <v>P192</v>
          </cell>
          <cell r="O208">
            <v>0.1441326530612245</v>
          </cell>
        </row>
        <row r="209">
          <cell r="A209" t="str">
            <v>P193</v>
          </cell>
          <cell r="O209">
            <v>9.9255211647142488E-2</v>
          </cell>
        </row>
        <row r="210">
          <cell r="A210" t="str">
            <v>P194</v>
          </cell>
          <cell r="O210">
            <v>8.4203612479474554E-2</v>
          </cell>
        </row>
        <row r="211">
          <cell r="A211" t="str">
            <v>P195</v>
          </cell>
          <cell r="O211">
            <v>0.13667732704931829</v>
          </cell>
        </row>
        <row r="212">
          <cell r="A212" t="str">
            <v>P195</v>
          </cell>
          <cell r="O212">
            <v>0.13667732704931829</v>
          </cell>
        </row>
        <row r="213">
          <cell r="A213" t="str">
            <v>P195</v>
          </cell>
          <cell r="O213">
            <v>0.13667732704931829</v>
          </cell>
        </row>
        <row r="214">
          <cell r="A214" t="str">
            <v>P196</v>
          </cell>
          <cell r="O214">
            <v>0.12575841147269717</v>
          </cell>
        </row>
        <row r="215">
          <cell r="A215" t="str">
            <v>P197</v>
          </cell>
          <cell r="O215">
            <v>6.4884520656164318E-2</v>
          </cell>
        </row>
        <row r="216">
          <cell r="A216" t="str">
            <v>P198</v>
          </cell>
          <cell r="O216">
            <v>0.19847328244274809</v>
          </cell>
        </row>
        <row r="217">
          <cell r="A217" t="str">
            <v>P199</v>
          </cell>
          <cell r="O217">
            <v>8.5520696919660646E-2</v>
          </cell>
        </row>
        <row r="218">
          <cell r="A218" t="str">
            <v>P200</v>
          </cell>
          <cell r="O218">
            <v>6.246991874522239E-2</v>
          </cell>
        </row>
        <row r="219">
          <cell r="A219" t="str">
            <v>P201</v>
          </cell>
          <cell r="O219">
            <v>9.0606816292601824E-2</v>
          </cell>
        </row>
        <row r="220">
          <cell r="A220" t="str">
            <v>P202</v>
          </cell>
          <cell r="O220">
            <v>8.2108498129342594E-2</v>
          </cell>
        </row>
        <row r="221">
          <cell r="A221" t="str">
            <v>P203</v>
          </cell>
          <cell r="O221">
            <v>5.7332570758993957E-2</v>
          </cell>
        </row>
        <row r="222">
          <cell r="A222" t="str">
            <v>P204</v>
          </cell>
          <cell r="O222">
            <v>0.29713518352730528</v>
          </cell>
        </row>
        <row r="223">
          <cell r="A223" t="str">
            <v>P205</v>
          </cell>
          <cell r="O223">
            <v>0.1043848167539267</v>
          </cell>
        </row>
        <row r="224">
          <cell r="A224" t="str">
            <v>P205</v>
          </cell>
          <cell r="O224">
            <v>0.1043848167539267</v>
          </cell>
        </row>
        <row r="225">
          <cell r="A225" t="str">
            <v>P206</v>
          </cell>
          <cell r="O225">
            <v>0.10768685795253277</v>
          </cell>
        </row>
        <row r="226">
          <cell r="A226" t="str">
            <v>P207</v>
          </cell>
          <cell r="O226">
            <v>0.14316214319138981</v>
          </cell>
        </row>
        <row r="227">
          <cell r="A227" t="str">
            <v>P207</v>
          </cell>
          <cell r="O227">
            <v>0.14316214319138981</v>
          </cell>
        </row>
        <row r="228">
          <cell r="A228" t="str">
            <v>P208</v>
          </cell>
          <cell r="O228">
            <v>8.6537809426924378E-2</v>
          </cell>
        </row>
        <row r="229">
          <cell r="A229" t="str">
            <v>P209</v>
          </cell>
          <cell r="O229">
            <v>8.2753164556962022E-2</v>
          </cell>
        </row>
        <row r="230">
          <cell r="A230" t="str">
            <v>P209</v>
          </cell>
          <cell r="O230">
            <v>8.2753164556962022E-2</v>
          </cell>
        </row>
        <row r="231">
          <cell r="A231" t="str">
            <v>P210</v>
          </cell>
          <cell r="O231">
            <v>0.48518407662376534</v>
          </cell>
        </row>
        <row r="232">
          <cell r="A232" t="str">
            <v>P211</v>
          </cell>
          <cell r="O232">
            <v>0.18632075471698112</v>
          </cell>
        </row>
        <row r="233">
          <cell r="A233" t="str">
            <v>P212</v>
          </cell>
          <cell r="O233">
            <v>0.123309241094476</v>
          </cell>
        </row>
        <row r="234">
          <cell r="A234" t="str">
            <v>P213</v>
          </cell>
          <cell r="O234">
            <v>8.21914819340199E-2</v>
          </cell>
        </row>
        <row r="235">
          <cell r="A235" t="str">
            <v>P214</v>
          </cell>
          <cell r="O235">
            <v>0.37955854126679461</v>
          </cell>
        </row>
        <row r="236">
          <cell r="A236" t="str">
            <v>P215</v>
          </cell>
          <cell r="O236">
            <v>7.2116777745580993E-2</v>
          </cell>
        </row>
        <row r="237">
          <cell r="A237" t="str">
            <v>P216</v>
          </cell>
          <cell r="O237">
            <v>5.8316766070245198E-2</v>
          </cell>
        </row>
        <row r="238">
          <cell r="A238" t="str">
            <v>P217</v>
          </cell>
          <cell r="O238">
            <v>6.2603126356925748E-2</v>
          </cell>
        </row>
        <row r="239">
          <cell r="A239" t="str">
            <v>P218</v>
          </cell>
          <cell r="O239">
            <v>0.18806848582129482</v>
          </cell>
        </row>
        <row r="240">
          <cell r="A240" t="str">
            <v>P219</v>
          </cell>
          <cell r="O240">
            <v>0.25701459034792368</v>
          </cell>
        </row>
        <row r="241">
          <cell r="A241" t="str">
            <v>P220</v>
          </cell>
          <cell r="O241">
            <v>1.8129251700680271</v>
          </cell>
        </row>
        <row r="242">
          <cell r="A242" t="str">
            <v>P221</v>
          </cell>
          <cell r="O242">
            <v>0.15989220750056141</v>
          </cell>
        </row>
        <row r="243">
          <cell r="A243" t="str">
            <v>P222</v>
          </cell>
          <cell r="O243">
            <v>0.11143487163332809</v>
          </cell>
        </row>
        <row r="244">
          <cell r="A244" t="str">
            <v>P222</v>
          </cell>
          <cell r="O244">
            <v>0.11143487163332809</v>
          </cell>
        </row>
        <row r="245">
          <cell r="A245" t="str">
            <v>P223</v>
          </cell>
          <cell r="O245">
            <v>6.2129685107516146E-2</v>
          </cell>
        </row>
        <row r="246">
          <cell r="A246" t="str">
            <v>P224</v>
          </cell>
          <cell r="O246">
            <v>0.32083531086853345</v>
          </cell>
        </row>
        <row r="247">
          <cell r="A247" t="str">
            <v>P225</v>
          </cell>
          <cell r="O247">
            <v>5.6653298485940883E-2</v>
          </cell>
        </row>
        <row r="248">
          <cell r="A248" t="str">
            <v>P226</v>
          </cell>
          <cell r="O248">
            <v>0.25537047673750718</v>
          </cell>
        </row>
        <row r="249">
          <cell r="A249" t="str">
            <v>P227</v>
          </cell>
          <cell r="O249">
            <v>0.11232349165596919</v>
          </cell>
        </row>
        <row r="250">
          <cell r="A250" t="str">
            <v>P228</v>
          </cell>
          <cell r="O250">
            <v>8.1808097615085965E-2</v>
          </cell>
        </row>
        <row r="251">
          <cell r="A251" t="str">
            <v>P229</v>
          </cell>
          <cell r="O251">
            <v>0.13387048227640017</v>
          </cell>
        </row>
        <row r="252">
          <cell r="A252" t="str">
            <v>P230</v>
          </cell>
          <cell r="O252">
            <v>7.7512577512577507E-2</v>
          </cell>
        </row>
        <row r="253">
          <cell r="A253" t="str">
            <v>P231</v>
          </cell>
          <cell r="O253">
            <v>8.5734265734265735E-2</v>
          </cell>
        </row>
        <row r="254">
          <cell r="A254" t="str">
            <v>P232</v>
          </cell>
          <cell r="O254">
            <v>0.7168674698795181</v>
          </cell>
        </row>
        <row r="255">
          <cell r="A255" t="str">
            <v>P233</v>
          </cell>
          <cell r="O255">
            <v>7.2969143576826198E-2</v>
          </cell>
        </row>
        <row r="256">
          <cell r="A256" t="str">
            <v>P234</v>
          </cell>
          <cell r="O256">
            <v>7.5968222442899705E-2</v>
          </cell>
        </row>
        <row r="257">
          <cell r="A257" t="str">
            <v>P235</v>
          </cell>
          <cell r="O257">
            <v>0.1283706906360223</v>
          </cell>
        </row>
        <row r="258">
          <cell r="A258" t="str">
            <v>P236</v>
          </cell>
          <cell r="O258">
            <v>0.12943516308671441</v>
          </cell>
        </row>
        <row r="259">
          <cell r="A259" t="str">
            <v>P236</v>
          </cell>
          <cell r="O259">
            <v>0.12943516308671441</v>
          </cell>
        </row>
        <row r="260">
          <cell r="A260" t="str">
            <v>P236</v>
          </cell>
          <cell r="O260">
            <v>0.12943516308671441</v>
          </cell>
        </row>
        <row r="261">
          <cell r="A261" t="str">
            <v>P237</v>
          </cell>
          <cell r="O261">
            <v>6.7234398994834563E-2</v>
          </cell>
        </row>
        <row r="262">
          <cell r="A262" t="str">
            <v>P238</v>
          </cell>
          <cell r="O262">
            <v>7.2579365079365077E-2</v>
          </cell>
        </row>
        <row r="263">
          <cell r="A263" t="str">
            <v>P239</v>
          </cell>
          <cell r="O263">
            <v>0.25062082139446035</v>
          </cell>
        </row>
        <row r="264">
          <cell r="A264" t="str">
            <v>P240</v>
          </cell>
          <cell r="O264">
            <v>8.6293505561535699E-2</v>
          </cell>
        </row>
        <row r="265">
          <cell r="A265" t="str">
            <v>P240</v>
          </cell>
          <cell r="O265">
            <v>8.6293505561535699E-2</v>
          </cell>
        </row>
        <row r="266">
          <cell r="A266" t="str">
            <v>P240</v>
          </cell>
          <cell r="O266">
            <v>8.6293505561535699E-2</v>
          </cell>
        </row>
        <row r="267">
          <cell r="A267" t="str">
            <v>P241</v>
          </cell>
          <cell r="O267">
            <v>0.17743908486792079</v>
          </cell>
        </row>
        <row r="268">
          <cell r="A268" t="str">
            <v>P242</v>
          </cell>
          <cell r="O268">
            <v>0.18519683938186141</v>
          </cell>
        </row>
        <row r="269">
          <cell r="A269" t="str">
            <v>P243</v>
          </cell>
          <cell r="O269">
            <v>9.7001272669424113E-2</v>
          </cell>
        </row>
        <row r="270">
          <cell r="A270" t="str">
            <v>P244</v>
          </cell>
          <cell r="O270">
            <v>0.25869984981763572</v>
          </cell>
        </row>
        <row r="271">
          <cell r="A271" t="str">
            <v>P245</v>
          </cell>
          <cell r="O271">
            <v>0.12232704402515723</v>
          </cell>
        </row>
        <row r="272">
          <cell r="A272" t="str">
            <v>P246</v>
          </cell>
          <cell r="O272">
            <v>0.23656250000000001</v>
          </cell>
        </row>
        <row r="273">
          <cell r="A273" t="str">
            <v>P247</v>
          </cell>
          <cell r="O273">
            <v>0.11879910213243547</v>
          </cell>
        </row>
        <row r="274">
          <cell r="A274" t="str">
            <v>P247</v>
          </cell>
          <cell r="O274">
            <v>0.11879910213243547</v>
          </cell>
        </row>
        <row r="275">
          <cell r="A275" t="str">
            <v>P247</v>
          </cell>
          <cell r="O275">
            <v>0.11879910213243547</v>
          </cell>
        </row>
        <row r="276">
          <cell r="A276" t="str">
            <v>P248</v>
          </cell>
          <cell r="O276">
            <v>0.26297968397291194</v>
          </cell>
        </row>
        <row r="277">
          <cell r="A277" t="str">
            <v>P249</v>
          </cell>
          <cell r="O277">
            <v>8.7733440816874911E-2</v>
          </cell>
        </row>
        <row r="278">
          <cell r="A278" t="str">
            <v>P250</v>
          </cell>
          <cell r="O278">
            <v>7.3170731707317069E-2</v>
          </cell>
        </row>
        <row r="279">
          <cell r="A279" t="str">
            <v>P251</v>
          </cell>
          <cell r="O279">
            <v>0.11619462599854757</v>
          </cell>
        </row>
        <row r="280">
          <cell r="A280" t="str">
            <v>P252</v>
          </cell>
          <cell r="O280">
            <v>0.15761129727142173</v>
          </cell>
        </row>
        <row r="281">
          <cell r="A281" t="str">
            <v>P253</v>
          </cell>
          <cell r="O281">
            <v>8.6897539284772202E-2</v>
          </cell>
        </row>
        <row r="282">
          <cell r="A282" t="str">
            <v>P254</v>
          </cell>
          <cell r="O282">
            <v>0.13331166419019316</v>
          </cell>
        </row>
        <row r="283">
          <cell r="A283" t="str">
            <v>P255</v>
          </cell>
          <cell r="O283">
            <v>0.11996283514733209</v>
          </cell>
        </row>
        <row r="284">
          <cell r="A284" t="str">
            <v>P256</v>
          </cell>
          <cell r="O284">
            <v>5.7936488444630008E-2</v>
          </cell>
        </row>
        <row r="285">
          <cell r="A285" t="str">
            <v>P257</v>
          </cell>
          <cell r="O285">
            <v>7.9915048543689318E-2</v>
          </cell>
        </row>
        <row r="286">
          <cell r="A286" t="str">
            <v>P257</v>
          </cell>
          <cell r="O286">
            <v>7.9915048543689318E-2</v>
          </cell>
        </row>
        <row r="287">
          <cell r="A287" t="str">
            <v>P257</v>
          </cell>
          <cell r="O287">
            <v>7.9915048543689318E-2</v>
          </cell>
        </row>
        <row r="288">
          <cell r="A288" t="str">
            <v>P258</v>
          </cell>
          <cell r="O288">
            <v>0.2023049153013052</v>
          </cell>
        </row>
        <row r="289">
          <cell r="A289" t="str">
            <v>P259</v>
          </cell>
          <cell r="O289">
            <v>0.25771055753262156</v>
          </cell>
        </row>
        <row r="290">
          <cell r="A290" t="str">
            <v>P260</v>
          </cell>
          <cell r="O290">
            <v>8.7752275425405618E-2</v>
          </cell>
        </row>
        <row r="291">
          <cell r="A291" t="str">
            <v>P260</v>
          </cell>
          <cell r="O291">
            <v>8.7752275425405618E-2</v>
          </cell>
        </row>
        <row r="292">
          <cell r="A292" t="str">
            <v>P260</v>
          </cell>
          <cell r="O292">
            <v>8.7752275425405618E-2</v>
          </cell>
        </row>
        <row r="293">
          <cell r="A293" t="str">
            <v>P261</v>
          </cell>
          <cell r="O293">
            <v>8.2835359571399134E-2</v>
          </cell>
        </row>
        <row r="294">
          <cell r="A294" t="str">
            <v>P262</v>
          </cell>
          <cell r="O294">
            <v>0.15339966832504145</v>
          </cell>
        </row>
        <row r="295">
          <cell r="A295" t="str">
            <v>P263</v>
          </cell>
          <cell r="O295">
            <v>0.26876680752977333</v>
          </cell>
        </row>
        <row r="296">
          <cell r="A296" t="str">
            <v>P264</v>
          </cell>
          <cell r="O296">
            <v>0.53389830508474578</v>
          </cell>
        </row>
        <row r="297">
          <cell r="A297" t="str">
            <v>P265</v>
          </cell>
          <cell r="O297">
            <v>0.25279701651571657</v>
          </cell>
        </row>
        <row r="298">
          <cell r="A298" t="str">
            <v>P266</v>
          </cell>
          <cell r="O298">
            <v>0.10086880280567512</v>
          </cell>
        </row>
        <row r="299">
          <cell r="A299" t="str">
            <v>P267</v>
          </cell>
          <cell r="O299">
            <v>6.3947934081681396E-2</v>
          </cell>
        </row>
        <row r="300">
          <cell r="A300" t="str">
            <v>P268</v>
          </cell>
          <cell r="O300">
            <v>8.4062694239588759E-2</v>
          </cell>
        </row>
        <row r="301">
          <cell r="A301" t="str">
            <v>P269</v>
          </cell>
          <cell r="O301">
            <v>0.22157421618066214</v>
          </cell>
        </row>
        <row r="302">
          <cell r="A302" t="str">
            <v>P270</v>
          </cell>
          <cell r="O302">
            <v>6.7103868574456813E-2</v>
          </cell>
        </row>
        <row r="303">
          <cell r="A303" t="str">
            <v>P271</v>
          </cell>
          <cell r="O303">
            <v>0.20675990675990677</v>
          </cell>
        </row>
        <row r="304">
          <cell r="A304" t="str">
            <v>P272</v>
          </cell>
          <cell r="O304">
            <v>0.14220299534507186</v>
          </cell>
        </row>
        <row r="305">
          <cell r="A305" t="str">
            <v>P273</v>
          </cell>
          <cell r="O305">
            <v>9.7700431949264685E-2</v>
          </cell>
        </row>
        <row r="306">
          <cell r="A306" t="str">
            <v>P274</v>
          </cell>
          <cell r="O306">
            <v>7.8849599245638849E-2</v>
          </cell>
        </row>
        <row r="307">
          <cell r="A307" t="str">
            <v>P275</v>
          </cell>
          <cell r="O307">
            <v>0.16754738655944859</v>
          </cell>
        </row>
        <row r="308">
          <cell r="A308" t="str">
            <v>P276</v>
          </cell>
          <cell r="O308">
            <v>0.2015852613538989</v>
          </cell>
        </row>
        <row r="309">
          <cell r="A309" t="str">
            <v>P277</v>
          </cell>
          <cell r="O309">
            <v>0.24763928234183191</v>
          </cell>
        </row>
        <row r="310">
          <cell r="A310" t="str">
            <v>P278</v>
          </cell>
          <cell r="O310">
            <v>0.11114018842096787</v>
          </cell>
        </row>
        <row r="311">
          <cell r="A311" t="str">
            <v>P279</v>
          </cell>
          <cell r="O311">
            <v>5.9928644240570844E-2</v>
          </cell>
        </row>
        <row r="312">
          <cell r="A312" t="str">
            <v>P280</v>
          </cell>
          <cell r="O312">
            <v>8.3274853801169585E-2</v>
          </cell>
        </row>
        <row r="313">
          <cell r="A313" t="str">
            <v>P280</v>
          </cell>
          <cell r="O313">
            <v>8.3274853801169585E-2</v>
          </cell>
        </row>
        <row r="314">
          <cell r="A314" t="str">
            <v>P280</v>
          </cell>
          <cell r="O314">
            <v>8.3274853801169585E-2</v>
          </cell>
        </row>
        <row r="315">
          <cell r="A315" t="str">
            <v>P281</v>
          </cell>
          <cell r="O315">
            <v>6.3118551273952411E-2</v>
          </cell>
        </row>
        <row r="316">
          <cell r="A316" t="str">
            <v>P282</v>
          </cell>
          <cell r="O316">
            <v>0.1071650124069479</v>
          </cell>
        </row>
        <row r="317">
          <cell r="A317" t="str">
            <v>P283</v>
          </cell>
          <cell r="O317">
            <v>5.8243321401216137E-2</v>
          </cell>
        </row>
        <row r="318">
          <cell r="A318" t="str">
            <v>P284</v>
          </cell>
          <cell r="O318">
            <v>0.11465952405480581</v>
          </cell>
        </row>
        <row r="319">
          <cell r="A319" t="str">
            <v>P285</v>
          </cell>
          <cell r="O319">
            <v>0.13517919809886983</v>
          </cell>
        </row>
        <row r="320">
          <cell r="A320" t="str">
            <v>P286</v>
          </cell>
          <cell r="O320">
            <v>0.19484607062063539</v>
          </cell>
        </row>
        <row r="321">
          <cell r="A321" t="str">
            <v>P287</v>
          </cell>
          <cell r="O321">
            <v>0.30126002290950743</v>
          </cell>
        </row>
        <row r="322">
          <cell r="A322" t="str">
            <v>P288</v>
          </cell>
          <cell r="O322">
            <v>6.800325430032543E-2</v>
          </cell>
        </row>
        <row r="323">
          <cell r="A323" t="str">
            <v>P289</v>
          </cell>
          <cell r="O323">
            <v>7.3018902217375503E-2</v>
          </cell>
        </row>
        <row r="324">
          <cell r="A324" t="str">
            <v>P290</v>
          </cell>
          <cell r="O324">
            <v>8.3921940869371006E-2</v>
          </cell>
        </row>
        <row r="325">
          <cell r="A325" t="str">
            <v>P291</v>
          </cell>
          <cell r="O325">
            <v>7.1956537279290869E-2</v>
          </cell>
        </row>
        <row r="326">
          <cell r="A326" t="str">
            <v>P292</v>
          </cell>
          <cell r="O326">
            <v>0.12353896103896105</v>
          </cell>
        </row>
        <row r="327">
          <cell r="A327" t="str">
            <v>P292</v>
          </cell>
          <cell r="O327">
            <v>0.12353896103896105</v>
          </cell>
        </row>
        <row r="328">
          <cell r="A328" t="str">
            <v>P293</v>
          </cell>
          <cell r="O328">
            <v>0.12428384068475185</v>
          </cell>
        </row>
        <row r="329">
          <cell r="A329" t="str">
            <v>P294</v>
          </cell>
          <cell r="O329">
            <v>0.18248432325794406</v>
          </cell>
        </row>
        <row r="330">
          <cell r="A330" t="str">
            <v>P295</v>
          </cell>
          <cell r="O330">
            <v>0.16540727459016394</v>
          </cell>
        </row>
        <row r="331">
          <cell r="A331" t="str">
            <v>P295</v>
          </cell>
          <cell r="O331">
            <v>0.16540727459016394</v>
          </cell>
        </row>
        <row r="332">
          <cell r="A332" t="str">
            <v>P295</v>
          </cell>
          <cell r="O332">
            <v>0.16540727459016394</v>
          </cell>
        </row>
        <row r="333">
          <cell r="A333" t="str">
            <v>P296</v>
          </cell>
          <cell r="O333">
            <v>5.9387824897400819E-2</v>
          </cell>
        </row>
        <row r="334">
          <cell r="A334" t="str">
            <v>P296</v>
          </cell>
          <cell r="O334">
            <v>5.9387824897400819E-2</v>
          </cell>
        </row>
        <row r="335">
          <cell r="A335" t="str">
            <v>P297</v>
          </cell>
          <cell r="O335">
            <v>0.24349030470914126</v>
          </cell>
        </row>
        <row r="336">
          <cell r="A336" t="str">
            <v>P298</v>
          </cell>
          <cell r="O336">
            <v>5.8563792702765516E-2</v>
          </cell>
        </row>
        <row r="337">
          <cell r="A337" t="str">
            <v>P299</v>
          </cell>
          <cell r="O337">
            <v>0.13840458048129492</v>
          </cell>
        </row>
        <row r="338">
          <cell r="A338" t="str">
            <v>P300</v>
          </cell>
          <cell r="O338">
            <v>8.3539958039290485E-2</v>
          </cell>
        </row>
        <row r="339">
          <cell r="A339" t="str">
            <v>P300</v>
          </cell>
          <cell r="O339">
            <v>8.3539958039290485E-2</v>
          </cell>
        </row>
        <row r="340">
          <cell r="A340" t="str">
            <v>P300</v>
          </cell>
          <cell r="O340">
            <v>8.3539958039290485E-2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dia/AppData/Local/Temp/9f718357-ceab-468c-bd61-2b1fe2d6d3b7_excel%20project-sanikabalaji07@gmail.com.zip.3b7/excel%20project/Social_Media_Analytics_Datase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dia/AppData/Local/Temp/9f718357-ceab-468c-bd61-2b1fe2d6d3b7_excel%20project-sanikabalaji07@gmail.com.zip.3b7/excel%20project/Social_Media_Analytics_Datase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dia/AppData/Local/Temp/9f718357-ceab-468c-bd61-2b1fe2d6d3b7_excel%20project-sanikabalaji07@gmail.com.zip.3b7/excel%20project/Social_Media_Analytics_Dataset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ika P" refreshedDate="45883.486135995372" createdVersion="8" refreshedVersion="8" minRefreshableVersion="3" recordCount="339" xr:uid="{A5487366-044B-4FCA-8E2A-8B27C40AA658}">
  <cacheSource type="worksheet">
    <worksheetSource ref="X5:Z344" sheet="Task 2" r:id="rId2"/>
  </cacheSource>
  <cacheFields count="3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Hashtags Used" numFmtId="0">
      <sharedItems count="6">
        <s v="#LiveForNow"/>
        <s v="#AnytimeIsPepsiTime"/>
        <s v="#PepsiCoRefresh"/>
        <s v="#BetterWithPepsi"/>
        <s v="#ThirstyForMore"/>
        <s v="#SmoothLikeNitroPepsi"/>
      </sharedItems>
    </cacheField>
    <cacheField name="Clicks" numFmtId="0">
      <sharedItems containsSemiMixedTypes="0" containsString="0" containsNumber="1" containsInteger="1" minValue="1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ika P" refreshedDate="45883.469920254633" createdVersion="8" refreshedVersion="8" minRefreshableVersion="3" recordCount="300" xr:uid="{8B4FEE80-D85D-4959-8268-1AAFEB3B4608}">
  <cacheSource type="worksheet">
    <worksheetSource ref="G6:Q306" sheet="Task 2" r:id="rId2"/>
  </cacheSource>
  <cacheFields count="11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0">
      <sharedItems containsSemiMixedTypes="0" containsString="0" containsNumber="1" containsInteger="1" minValue="45444" maxValue="45791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ika P" refreshedDate="45883.492984375" createdVersion="8" refreshedVersion="8" minRefreshableVersion="3" recordCount="339" xr:uid="{E0A55705-D910-4521-A256-4FD9E7985784}">
  <cacheSource type="worksheet">
    <worksheetSource ref="AD3:AE342" sheet="Task 2" r:id="rId2"/>
  </cacheSource>
  <cacheFields count="3">
    <cacheField name="Hashtags Used" numFmtId="0">
      <sharedItems count="6">
        <s v="#LiveForNow"/>
        <s v="#AnytimeIsPepsiTime"/>
        <s v="#PepsiCoRefresh"/>
        <s v="#BetterWithPepsi"/>
        <s v="#ThirstyForMore"/>
        <s v="#SmoothLikeNitroPepsi"/>
      </sharedItems>
    </cacheField>
    <cacheField name="Engagement rate per Post" numFmtId="0">
      <sharedItems containsSemiMixedTypes="0" containsString="0" containsNumber="1" minValue="5.2551586421122697E-2" maxValue="1.8129251700680271"/>
    </cacheField>
    <cacheField name="Formula Based Ranking" numFmtId="0" formula="_xlfn.IFS('Engagement rate per Post'&gt;30,&quot;Top&quot;,'Engagement rate per Post'&gt;25,&quot;Medium&quot;,'Engagement rate per Post'&lt;10,&quot;Least&quot;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x v="0"/>
    <x v="0"/>
    <n v="15"/>
  </r>
  <r>
    <x v="0"/>
    <x v="1"/>
    <n v="15"/>
  </r>
  <r>
    <x v="1"/>
    <x v="2"/>
    <n v="117"/>
  </r>
  <r>
    <x v="1"/>
    <x v="3"/>
    <n v="117"/>
  </r>
  <r>
    <x v="2"/>
    <x v="2"/>
    <n v="204"/>
  </r>
  <r>
    <x v="3"/>
    <x v="4"/>
    <n v="128"/>
  </r>
  <r>
    <x v="4"/>
    <x v="4"/>
    <n v="224"/>
  </r>
  <r>
    <x v="4"/>
    <x v="2"/>
    <n v="224"/>
  </r>
  <r>
    <x v="5"/>
    <x v="2"/>
    <n v="256"/>
  </r>
  <r>
    <x v="6"/>
    <x v="2"/>
    <n v="235"/>
  </r>
  <r>
    <x v="7"/>
    <x v="4"/>
    <n v="39"/>
  </r>
  <r>
    <x v="8"/>
    <x v="2"/>
    <n v="131"/>
  </r>
  <r>
    <x v="9"/>
    <x v="2"/>
    <n v="167"/>
  </r>
  <r>
    <x v="10"/>
    <x v="0"/>
    <n v="65"/>
  </r>
  <r>
    <x v="11"/>
    <x v="0"/>
    <n v="213"/>
  </r>
  <r>
    <x v="12"/>
    <x v="4"/>
    <n v="114"/>
  </r>
  <r>
    <x v="13"/>
    <x v="0"/>
    <n v="265"/>
  </r>
  <r>
    <x v="14"/>
    <x v="0"/>
    <n v="20"/>
  </r>
  <r>
    <x v="15"/>
    <x v="0"/>
    <n v="87"/>
  </r>
  <r>
    <x v="16"/>
    <x v="4"/>
    <n v="159"/>
  </r>
  <r>
    <x v="17"/>
    <x v="0"/>
    <n v="19"/>
  </r>
  <r>
    <x v="18"/>
    <x v="2"/>
    <n v="103"/>
  </r>
  <r>
    <x v="19"/>
    <x v="2"/>
    <n v="25"/>
  </r>
  <r>
    <x v="20"/>
    <x v="0"/>
    <n v="83"/>
  </r>
  <r>
    <x v="21"/>
    <x v="2"/>
    <n v="133"/>
  </r>
  <r>
    <x v="22"/>
    <x v="2"/>
    <n v="225"/>
  </r>
  <r>
    <x v="22"/>
    <x v="1"/>
    <n v="225"/>
  </r>
  <r>
    <x v="23"/>
    <x v="0"/>
    <n v="161"/>
  </r>
  <r>
    <x v="24"/>
    <x v="4"/>
    <n v="238"/>
  </r>
  <r>
    <x v="25"/>
    <x v="0"/>
    <n v="211"/>
  </r>
  <r>
    <x v="26"/>
    <x v="0"/>
    <n v="51"/>
  </r>
  <r>
    <x v="27"/>
    <x v="0"/>
    <n v="79"/>
  </r>
  <r>
    <x v="28"/>
    <x v="0"/>
    <n v="221"/>
  </r>
  <r>
    <x v="29"/>
    <x v="4"/>
    <n v="93"/>
  </r>
  <r>
    <x v="30"/>
    <x v="2"/>
    <n v="282"/>
  </r>
  <r>
    <x v="31"/>
    <x v="4"/>
    <n v="275"/>
  </r>
  <r>
    <x v="32"/>
    <x v="2"/>
    <n v="113"/>
  </r>
  <r>
    <x v="33"/>
    <x v="2"/>
    <n v="215"/>
  </r>
  <r>
    <x v="34"/>
    <x v="0"/>
    <n v="271"/>
  </r>
  <r>
    <x v="35"/>
    <x v="4"/>
    <n v="31"/>
  </r>
  <r>
    <x v="36"/>
    <x v="4"/>
    <n v="36"/>
  </r>
  <r>
    <x v="37"/>
    <x v="2"/>
    <n v="87"/>
  </r>
  <r>
    <x v="38"/>
    <x v="2"/>
    <n v="92"/>
  </r>
  <r>
    <x v="39"/>
    <x v="4"/>
    <n v="299"/>
  </r>
  <r>
    <x v="40"/>
    <x v="0"/>
    <n v="205"/>
  </r>
  <r>
    <x v="41"/>
    <x v="4"/>
    <n v="241"/>
  </r>
  <r>
    <x v="42"/>
    <x v="2"/>
    <n v="137"/>
  </r>
  <r>
    <x v="43"/>
    <x v="2"/>
    <n v="216"/>
  </r>
  <r>
    <x v="44"/>
    <x v="0"/>
    <n v="176"/>
  </r>
  <r>
    <x v="45"/>
    <x v="2"/>
    <n v="97"/>
  </r>
  <r>
    <x v="46"/>
    <x v="0"/>
    <n v="127"/>
  </r>
  <r>
    <x v="47"/>
    <x v="2"/>
    <n v="119"/>
  </r>
  <r>
    <x v="48"/>
    <x v="2"/>
    <n v="177"/>
  </r>
  <r>
    <x v="49"/>
    <x v="2"/>
    <n v="112"/>
  </r>
  <r>
    <x v="50"/>
    <x v="0"/>
    <n v="225"/>
  </r>
  <r>
    <x v="51"/>
    <x v="2"/>
    <n v="34"/>
  </r>
  <r>
    <x v="52"/>
    <x v="4"/>
    <n v="11"/>
  </r>
  <r>
    <x v="52"/>
    <x v="3"/>
    <n v="11"/>
  </r>
  <r>
    <x v="53"/>
    <x v="0"/>
    <n v="52"/>
  </r>
  <r>
    <x v="54"/>
    <x v="4"/>
    <n v="123"/>
  </r>
  <r>
    <x v="55"/>
    <x v="0"/>
    <n v="60"/>
  </r>
  <r>
    <x v="56"/>
    <x v="2"/>
    <n v="169"/>
  </r>
  <r>
    <x v="57"/>
    <x v="2"/>
    <n v="262"/>
  </r>
  <r>
    <x v="58"/>
    <x v="4"/>
    <n v="174"/>
  </r>
  <r>
    <x v="59"/>
    <x v="4"/>
    <n v="84"/>
  </r>
  <r>
    <x v="59"/>
    <x v="2"/>
    <n v="84"/>
  </r>
  <r>
    <x v="59"/>
    <x v="1"/>
    <n v="84"/>
  </r>
  <r>
    <x v="60"/>
    <x v="2"/>
    <n v="65"/>
  </r>
  <r>
    <x v="61"/>
    <x v="2"/>
    <n v="148"/>
  </r>
  <r>
    <x v="62"/>
    <x v="0"/>
    <n v="125"/>
  </r>
  <r>
    <x v="63"/>
    <x v="0"/>
    <n v="75"/>
  </r>
  <r>
    <x v="64"/>
    <x v="4"/>
    <n v="289"/>
  </r>
  <r>
    <x v="65"/>
    <x v="4"/>
    <n v="184"/>
  </r>
  <r>
    <x v="66"/>
    <x v="4"/>
    <n v="100"/>
  </r>
  <r>
    <x v="67"/>
    <x v="4"/>
    <n v="73"/>
  </r>
  <r>
    <x v="68"/>
    <x v="0"/>
    <n v="149"/>
  </r>
  <r>
    <x v="69"/>
    <x v="2"/>
    <n v="43"/>
  </r>
  <r>
    <x v="70"/>
    <x v="2"/>
    <n v="227"/>
  </r>
  <r>
    <x v="71"/>
    <x v="4"/>
    <n v="88"/>
  </r>
  <r>
    <x v="72"/>
    <x v="0"/>
    <n v="88"/>
  </r>
  <r>
    <x v="73"/>
    <x v="2"/>
    <n v="123"/>
  </r>
  <r>
    <x v="74"/>
    <x v="2"/>
    <n v="255"/>
  </r>
  <r>
    <x v="75"/>
    <x v="2"/>
    <n v="99"/>
  </r>
  <r>
    <x v="76"/>
    <x v="2"/>
    <n v="63"/>
  </r>
  <r>
    <x v="77"/>
    <x v="0"/>
    <n v="21"/>
  </r>
  <r>
    <x v="78"/>
    <x v="4"/>
    <n v="266"/>
  </r>
  <r>
    <x v="79"/>
    <x v="0"/>
    <n v="28"/>
  </r>
  <r>
    <x v="80"/>
    <x v="2"/>
    <n v="283"/>
  </r>
  <r>
    <x v="81"/>
    <x v="0"/>
    <n v="200"/>
  </r>
  <r>
    <x v="81"/>
    <x v="2"/>
    <n v="200"/>
  </r>
  <r>
    <x v="81"/>
    <x v="1"/>
    <n v="200"/>
  </r>
  <r>
    <x v="82"/>
    <x v="4"/>
    <n v="112"/>
  </r>
  <r>
    <x v="83"/>
    <x v="0"/>
    <n v="255"/>
  </r>
  <r>
    <x v="84"/>
    <x v="0"/>
    <n v="230"/>
  </r>
  <r>
    <x v="85"/>
    <x v="4"/>
    <n v="242"/>
  </r>
  <r>
    <x v="85"/>
    <x v="3"/>
    <n v="242"/>
  </r>
  <r>
    <x v="86"/>
    <x v="0"/>
    <n v="197"/>
  </r>
  <r>
    <x v="87"/>
    <x v="2"/>
    <n v="25"/>
  </r>
  <r>
    <x v="88"/>
    <x v="4"/>
    <n v="180"/>
  </r>
  <r>
    <x v="89"/>
    <x v="2"/>
    <n v="297"/>
  </r>
  <r>
    <x v="90"/>
    <x v="4"/>
    <n v="137"/>
  </r>
  <r>
    <x v="91"/>
    <x v="0"/>
    <n v="236"/>
  </r>
  <r>
    <x v="92"/>
    <x v="4"/>
    <n v="150"/>
  </r>
  <r>
    <x v="93"/>
    <x v="0"/>
    <n v="46"/>
  </r>
  <r>
    <x v="94"/>
    <x v="0"/>
    <n v="163"/>
  </r>
  <r>
    <x v="95"/>
    <x v="0"/>
    <n v="123"/>
  </r>
  <r>
    <x v="96"/>
    <x v="2"/>
    <n v="36"/>
  </r>
  <r>
    <x v="96"/>
    <x v="1"/>
    <n v="36"/>
  </r>
  <r>
    <x v="97"/>
    <x v="0"/>
    <n v="17"/>
  </r>
  <r>
    <x v="98"/>
    <x v="0"/>
    <n v="173"/>
  </r>
  <r>
    <x v="99"/>
    <x v="4"/>
    <n v="52"/>
  </r>
  <r>
    <x v="100"/>
    <x v="0"/>
    <n v="12"/>
  </r>
  <r>
    <x v="101"/>
    <x v="4"/>
    <n v="223"/>
  </r>
  <r>
    <x v="102"/>
    <x v="4"/>
    <n v="212"/>
  </r>
  <r>
    <x v="103"/>
    <x v="2"/>
    <n v="199"/>
  </r>
  <r>
    <x v="104"/>
    <x v="0"/>
    <n v="32"/>
  </r>
  <r>
    <x v="105"/>
    <x v="2"/>
    <n v="298"/>
  </r>
  <r>
    <x v="106"/>
    <x v="2"/>
    <n v="182"/>
  </r>
  <r>
    <x v="107"/>
    <x v="2"/>
    <n v="209"/>
  </r>
  <r>
    <x v="108"/>
    <x v="0"/>
    <n v="167"/>
  </r>
  <r>
    <x v="109"/>
    <x v="4"/>
    <n v="270"/>
  </r>
  <r>
    <x v="110"/>
    <x v="2"/>
    <n v="40"/>
  </r>
  <r>
    <x v="111"/>
    <x v="0"/>
    <n v="297"/>
  </r>
  <r>
    <x v="112"/>
    <x v="4"/>
    <n v="10"/>
  </r>
  <r>
    <x v="113"/>
    <x v="0"/>
    <n v="44"/>
  </r>
  <r>
    <x v="114"/>
    <x v="2"/>
    <n v="242"/>
  </r>
  <r>
    <x v="114"/>
    <x v="1"/>
    <n v="242"/>
  </r>
  <r>
    <x v="115"/>
    <x v="2"/>
    <n v="131"/>
  </r>
  <r>
    <x v="116"/>
    <x v="4"/>
    <n v="219"/>
  </r>
  <r>
    <x v="117"/>
    <x v="0"/>
    <n v="57"/>
  </r>
  <r>
    <x v="118"/>
    <x v="0"/>
    <n v="117"/>
  </r>
  <r>
    <x v="119"/>
    <x v="4"/>
    <n v="91"/>
  </r>
  <r>
    <x v="120"/>
    <x v="0"/>
    <n v="185"/>
  </r>
  <r>
    <x v="121"/>
    <x v="4"/>
    <n v="264"/>
  </r>
  <r>
    <x v="122"/>
    <x v="4"/>
    <n v="157"/>
  </r>
  <r>
    <x v="123"/>
    <x v="4"/>
    <n v="19"/>
  </r>
  <r>
    <x v="124"/>
    <x v="2"/>
    <n v="233"/>
  </r>
  <r>
    <x v="125"/>
    <x v="0"/>
    <n v="142"/>
  </r>
  <r>
    <x v="126"/>
    <x v="0"/>
    <n v="158"/>
  </r>
  <r>
    <x v="127"/>
    <x v="0"/>
    <n v="102"/>
  </r>
  <r>
    <x v="128"/>
    <x v="2"/>
    <n v="170"/>
  </r>
  <r>
    <x v="129"/>
    <x v="4"/>
    <n v="22"/>
  </r>
  <r>
    <x v="130"/>
    <x v="0"/>
    <n v="57"/>
  </r>
  <r>
    <x v="131"/>
    <x v="0"/>
    <n v="186"/>
  </r>
  <r>
    <x v="132"/>
    <x v="2"/>
    <n v="25"/>
  </r>
  <r>
    <x v="133"/>
    <x v="2"/>
    <n v="103"/>
  </r>
  <r>
    <x v="134"/>
    <x v="0"/>
    <n v="272"/>
  </r>
  <r>
    <x v="135"/>
    <x v="4"/>
    <n v="130"/>
  </r>
  <r>
    <x v="136"/>
    <x v="0"/>
    <n v="277"/>
  </r>
  <r>
    <x v="137"/>
    <x v="0"/>
    <n v="234"/>
  </r>
  <r>
    <x v="138"/>
    <x v="4"/>
    <n v="147"/>
  </r>
  <r>
    <x v="139"/>
    <x v="4"/>
    <n v="10"/>
  </r>
  <r>
    <x v="139"/>
    <x v="5"/>
    <n v="10"/>
  </r>
  <r>
    <x v="140"/>
    <x v="0"/>
    <n v="240"/>
  </r>
  <r>
    <x v="141"/>
    <x v="0"/>
    <n v="114"/>
  </r>
  <r>
    <x v="142"/>
    <x v="2"/>
    <n v="117"/>
  </r>
  <r>
    <x v="143"/>
    <x v="4"/>
    <n v="66"/>
  </r>
  <r>
    <x v="144"/>
    <x v="2"/>
    <n v="142"/>
  </r>
  <r>
    <x v="145"/>
    <x v="4"/>
    <n v="200"/>
  </r>
  <r>
    <x v="145"/>
    <x v="1"/>
    <n v="200"/>
  </r>
  <r>
    <x v="146"/>
    <x v="2"/>
    <n v="143"/>
  </r>
  <r>
    <x v="147"/>
    <x v="4"/>
    <n v="176"/>
  </r>
  <r>
    <x v="148"/>
    <x v="4"/>
    <n v="76"/>
  </r>
  <r>
    <x v="149"/>
    <x v="2"/>
    <n v="290"/>
  </r>
  <r>
    <x v="150"/>
    <x v="4"/>
    <n v="122"/>
  </r>
  <r>
    <x v="151"/>
    <x v="4"/>
    <n v="47"/>
  </r>
  <r>
    <x v="152"/>
    <x v="2"/>
    <n v="212"/>
  </r>
  <r>
    <x v="153"/>
    <x v="0"/>
    <n v="64"/>
  </r>
  <r>
    <x v="154"/>
    <x v="0"/>
    <n v="143"/>
  </r>
  <r>
    <x v="155"/>
    <x v="0"/>
    <n v="240"/>
  </r>
  <r>
    <x v="156"/>
    <x v="0"/>
    <n v="187"/>
  </r>
  <r>
    <x v="157"/>
    <x v="2"/>
    <n v="25"/>
  </r>
  <r>
    <x v="158"/>
    <x v="0"/>
    <n v="17"/>
  </r>
  <r>
    <x v="159"/>
    <x v="2"/>
    <n v="20"/>
  </r>
  <r>
    <x v="160"/>
    <x v="2"/>
    <n v="245"/>
  </r>
  <r>
    <x v="161"/>
    <x v="0"/>
    <n v="120"/>
  </r>
  <r>
    <x v="162"/>
    <x v="2"/>
    <n v="132"/>
  </r>
  <r>
    <x v="163"/>
    <x v="2"/>
    <n v="169"/>
  </r>
  <r>
    <x v="163"/>
    <x v="1"/>
    <n v="169"/>
  </r>
  <r>
    <x v="164"/>
    <x v="2"/>
    <n v="230"/>
  </r>
  <r>
    <x v="165"/>
    <x v="0"/>
    <n v="104"/>
  </r>
  <r>
    <x v="166"/>
    <x v="0"/>
    <n v="150"/>
  </r>
  <r>
    <x v="167"/>
    <x v="4"/>
    <n v="182"/>
  </r>
  <r>
    <x v="168"/>
    <x v="4"/>
    <n v="83"/>
  </r>
  <r>
    <x v="169"/>
    <x v="2"/>
    <n v="53"/>
  </r>
  <r>
    <x v="170"/>
    <x v="0"/>
    <n v="38"/>
  </r>
  <r>
    <x v="171"/>
    <x v="4"/>
    <n v="246"/>
  </r>
  <r>
    <x v="172"/>
    <x v="0"/>
    <n v="229"/>
  </r>
  <r>
    <x v="173"/>
    <x v="4"/>
    <n v="235"/>
  </r>
  <r>
    <x v="174"/>
    <x v="0"/>
    <n v="154"/>
  </r>
  <r>
    <x v="175"/>
    <x v="2"/>
    <n v="266"/>
  </r>
  <r>
    <x v="176"/>
    <x v="2"/>
    <n v="52"/>
  </r>
  <r>
    <x v="177"/>
    <x v="2"/>
    <n v="238"/>
  </r>
  <r>
    <x v="178"/>
    <x v="2"/>
    <n v="292"/>
  </r>
  <r>
    <x v="179"/>
    <x v="2"/>
    <n v="11"/>
  </r>
  <r>
    <x v="180"/>
    <x v="4"/>
    <n v="239"/>
  </r>
  <r>
    <x v="181"/>
    <x v="2"/>
    <n v="173"/>
  </r>
  <r>
    <x v="182"/>
    <x v="0"/>
    <n v="208"/>
  </r>
  <r>
    <x v="183"/>
    <x v="4"/>
    <n v="251"/>
  </r>
  <r>
    <x v="184"/>
    <x v="4"/>
    <n v="71"/>
  </r>
  <r>
    <x v="185"/>
    <x v="4"/>
    <n v="264"/>
  </r>
  <r>
    <x v="186"/>
    <x v="4"/>
    <n v="300"/>
  </r>
  <r>
    <x v="187"/>
    <x v="0"/>
    <n v="137"/>
  </r>
  <r>
    <x v="188"/>
    <x v="2"/>
    <n v="192"/>
  </r>
  <r>
    <x v="189"/>
    <x v="0"/>
    <n v="145"/>
  </r>
  <r>
    <x v="190"/>
    <x v="0"/>
    <n v="51"/>
  </r>
  <r>
    <x v="191"/>
    <x v="4"/>
    <n v="272"/>
  </r>
  <r>
    <x v="192"/>
    <x v="4"/>
    <n v="223"/>
  </r>
  <r>
    <x v="193"/>
    <x v="4"/>
    <n v="195"/>
  </r>
  <r>
    <x v="194"/>
    <x v="0"/>
    <n v="282"/>
  </r>
  <r>
    <x v="194"/>
    <x v="2"/>
    <n v="282"/>
  </r>
  <r>
    <x v="194"/>
    <x v="1"/>
    <n v="282"/>
  </r>
  <r>
    <x v="195"/>
    <x v="4"/>
    <n v="85"/>
  </r>
  <r>
    <x v="196"/>
    <x v="4"/>
    <n v="19"/>
  </r>
  <r>
    <x v="197"/>
    <x v="2"/>
    <n v="158"/>
  </r>
  <r>
    <x v="198"/>
    <x v="2"/>
    <n v="277"/>
  </r>
  <r>
    <x v="199"/>
    <x v="2"/>
    <n v="233"/>
  </r>
  <r>
    <x v="200"/>
    <x v="4"/>
    <n v="49"/>
  </r>
  <r>
    <x v="201"/>
    <x v="4"/>
    <n v="288"/>
  </r>
  <r>
    <x v="202"/>
    <x v="0"/>
    <n v="286"/>
  </r>
  <r>
    <x v="203"/>
    <x v="0"/>
    <n v="198"/>
  </r>
  <r>
    <x v="204"/>
    <x v="2"/>
    <n v="171"/>
  </r>
  <r>
    <x v="204"/>
    <x v="5"/>
    <n v="171"/>
  </r>
  <r>
    <x v="205"/>
    <x v="4"/>
    <n v="87"/>
  </r>
  <r>
    <x v="206"/>
    <x v="2"/>
    <n v="129"/>
  </r>
  <r>
    <x v="206"/>
    <x v="5"/>
    <n v="129"/>
  </r>
  <r>
    <x v="207"/>
    <x v="2"/>
    <n v="135"/>
  </r>
  <r>
    <x v="208"/>
    <x v="0"/>
    <n v="49"/>
  </r>
  <r>
    <x v="208"/>
    <x v="1"/>
    <n v="49"/>
  </r>
  <r>
    <x v="209"/>
    <x v="0"/>
    <n v="287"/>
  </r>
  <r>
    <x v="210"/>
    <x v="0"/>
    <n v="21"/>
  </r>
  <r>
    <x v="211"/>
    <x v="2"/>
    <n v="219"/>
  </r>
  <r>
    <x v="212"/>
    <x v="4"/>
    <n v="248"/>
  </r>
  <r>
    <x v="213"/>
    <x v="0"/>
    <n v="282"/>
  </r>
  <r>
    <x v="214"/>
    <x v="4"/>
    <n v="89"/>
  </r>
  <r>
    <x v="215"/>
    <x v="4"/>
    <n v="119"/>
  </r>
  <r>
    <x v="216"/>
    <x v="2"/>
    <n v="56"/>
  </r>
  <r>
    <x v="217"/>
    <x v="2"/>
    <n v="275"/>
  </r>
  <r>
    <x v="218"/>
    <x v="2"/>
    <n v="270"/>
  </r>
  <r>
    <x v="219"/>
    <x v="4"/>
    <n v="12"/>
  </r>
  <r>
    <x v="220"/>
    <x v="2"/>
    <n v="23"/>
  </r>
  <r>
    <x v="221"/>
    <x v="0"/>
    <n v="39"/>
  </r>
  <r>
    <x v="221"/>
    <x v="5"/>
    <n v="39"/>
  </r>
  <r>
    <x v="222"/>
    <x v="2"/>
    <n v="252"/>
  </r>
  <r>
    <x v="223"/>
    <x v="2"/>
    <n v="164"/>
  </r>
  <r>
    <x v="224"/>
    <x v="4"/>
    <n v="118"/>
  </r>
  <r>
    <x v="225"/>
    <x v="2"/>
    <n v="121"/>
  </r>
  <r>
    <x v="226"/>
    <x v="0"/>
    <n v="217"/>
  </r>
  <r>
    <x v="227"/>
    <x v="4"/>
    <n v="195"/>
  </r>
  <r>
    <x v="228"/>
    <x v="2"/>
    <n v="118"/>
  </r>
  <r>
    <x v="229"/>
    <x v="4"/>
    <n v="84"/>
  </r>
  <r>
    <x v="230"/>
    <x v="0"/>
    <n v="251"/>
  </r>
  <r>
    <x v="231"/>
    <x v="4"/>
    <n v="201"/>
  </r>
  <r>
    <x v="232"/>
    <x v="0"/>
    <n v="249"/>
  </r>
  <r>
    <x v="233"/>
    <x v="2"/>
    <n v="42"/>
  </r>
  <r>
    <x v="234"/>
    <x v="2"/>
    <n v="241"/>
  </r>
  <r>
    <x v="235"/>
    <x v="0"/>
    <n v="194"/>
  </r>
  <r>
    <x v="235"/>
    <x v="1"/>
    <n v="194"/>
  </r>
  <r>
    <x v="235"/>
    <x v="4"/>
    <n v="194"/>
  </r>
  <r>
    <x v="236"/>
    <x v="0"/>
    <n v="76"/>
  </r>
  <r>
    <x v="237"/>
    <x v="0"/>
    <n v="43"/>
  </r>
  <r>
    <x v="238"/>
    <x v="0"/>
    <n v="102"/>
  </r>
  <r>
    <x v="239"/>
    <x v="4"/>
    <n v="145"/>
  </r>
  <r>
    <x v="239"/>
    <x v="2"/>
    <n v="145"/>
  </r>
  <r>
    <x v="239"/>
    <x v="1"/>
    <n v="145"/>
  </r>
  <r>
    <x v="240"/>
    <x v="2"/>
    <n v="122"/>
  </r>
  <r>
    <x v="241"/>
    <x v="4"/>
    <n v="210"/>
  </r>
  <r>
    <x v="242"/>
    <x v="0"/>
    <n v="32"/>
  </r>
  <r>
    <x v="243"/>
    <x v="0"/>
    <n v="63"/>
  </r>
  <r>
    <x v="244"/>
    <x v="4"/>
    <n v="177"/>
  </r>
  <r>
    <x v="245"/>
    <x v="0"/>
    <n v="160"/>
  </r>
  <r>
    <x v="246"/>
    <x v="0"/>
    <n v="208"/>
  </r>
  <r>
    <x v="246"/>
    <x v="4"/>
    <n v="208"/>
  </r>
  <r>
    <x v="246"/>
    <x v="3"/>
    <n v="208"/>
  </r>
  <r>
    <x v="247"/>
    <x v="4"/>
    <n v="212"/>
  </r>
  <r>
    <x v="248"/>
    <x v="4"/>
    <n v="254"/>
  </r>
  <r>
    <x v="249"/>
    <x v="0"/>
    <n v="251"/>
  </r>
  <r>
    <x v="250"/>
    <x v="0"/>
    <n v="189"/>
  </r>
  <r>
    <x v="251"/>
    <x v="0"/>
    <n v="64"/>
  </r>
  <r>
    <x v="252"/>
    <x v="4"/>
    <n v="205"/>
  </r>
  <r>
    <x v="253"/>
    <x v="0"/>
    <n v="224"/>
  </r>
  <r>
    <x v="254"/>
    <x v="0"/>
    <n v="226"/>
  </r>
  <r>
    <x v="255"/>
    <x v="4"/>
    <n v="248"/>
  </r>
  <r>
    <x v="256"/>
    <x v="4"/>
    <n v="25"/>
  </r>
  <r>
    <x v="256"/>
    <x v="4"/>
    <n v="25"/>
  </r>
  <r>
    <x v="256"/>
    <x v="3"/>
    <n v="25"/>
  </r>
  <r>
    <x v="257"/>
    <x v="4"/>
    <n v="172"/>
  </r>
  <r>
    <x v="258"/>
    <x v="2"/>
    <n v="93"/>
  </r>
  <r>
    <x v="259"/>
    <x v="2"/>
    <n v="10"/>
  </r>
  <r>
    <x v="259"/>
    <x v="4"/>
    <n v="10"/>
  </r>
  <r>
    <x v="259"/>
    <x v="3"/>
    <n v="10"/>
  </r>
  <r>
    <x v="260"/>
    <x v="4"/>
    <n v="170"/>
  </r>
  <r>
    <x v="261"/>
    <x v="2"/>
    <n v="237"/>
  </r>
  <r>
    <x v="262"/>
    <x v="0"/>
    <n v="20"/>
  </r>
  <r>
    <x v="263"/>
    <x v="2"/>
    <n v="293"/>
  </r>
  <r>
    <x v="264"/>
    <x v="4"/>
    <n v="41"/>
  </r>
  <r>
    <x v="265"/>
    <x v="2"/>
    <n v="10"/>
  </r>
  <r>
    <x v="266"/>
    <x v="0"/>
    <n v="62"/>
  </r>
  <r>
    <x v="267"/>
    <x v="4"/>
    <n v="269"/>
  </r>
  <r>
    <x v="268"/>
    <x v="2"/>
    <n v="45"/>
  </r>
  <r>
    <x v="269"/>
    <x v="2"/>
    <n v="241"/>
  </r>
  <r>
    <x v="270"/>
    <x v="4"/>
    <n v="195"/>
  </r>
  <r>
    <x v="271"/>
    <x v="2"/>
    <n v="217"/>
  </r>
  <r>
    <x v="272"/>
    <x v="4"/>
    <n v="296"/>
  </r>
  <r>
    <x v="273"/>
    <x v="2"/>
    <n v="44"/>
  </r>
  <r>
    <x v="274"/>
    <x v="4"/>
    <n v="58"/>
  </r>
  <r>
    <x v="275"/>
    <x v="2"/>
    <n v="137"/>
  </r>
  <r>
    <x v="276"/>
    <x v="0"/>
    <n v="238"/>
  </r>
  <r>
    <x v="277"/>
    <x v="4"/>
    <n v="282"/>
  </r>
  <r>
    <x v="278"/>
    <x v="2"/>
    <n v="279"/>
  </r>
  <r>
    <x v="279"/>
    <x v="4"/>
    <n v="104"/>
  </r>
  <r>
    <x v="279"/>
    <x v="2"/>
    <n v="104"/>
  </r>
  <r>
    <x v="279"/>
    <x v="1"/>
    <n v="104"/>
  </r>
  <r>
    <x v="280"/>
    <x v="4"/>
    <n v="135"/>
  </r>
  <r>
    <x v="281"/>
    <x v="0"/>
    <n v="30"/>
  </r>
  <r>
    <x v="282"/>
    <x v="0"/>
    <n v="157"/>
  </r>
  <r>
    <x v="283"/>
    <x v="2"/>
    <n v="231"/>
  </r>
  <r>
    <x v="284"/>
    <x v="4"/>
    <n v="174"/>
  </r>
  <r>
    <x v="285"/>
    <x v="0"/>
    <n v="228"/>
  </r>
  <r>
    <x v="286"/>
    <x v="4"/>
    <n v="82"/>
  </r>
  <r>
    <x v="287"/>
    <x v="0"/>
    <n v="262"/>
  </r>
  <r>
    <x v="288"/>
    <x v="0"/>
    <n v="129"/>
  </r>
  <r>
    <x v="289"/>
    <x v="4"/>
    <n v="191"/>
  </r>
  <r>
    <x v="290"/>
    <x v="4"/>
    <n v="35"/>
  </r>
  <r>
    <x v="291"/>
    <x v="2"/>
    <n v="238"/>
  </r>
  <r>
    <x v="291"/>
    <x v="1"/>
    <n v="238"/>
  </r>
  <r>
    <x v="292"/>
    <x v="4"/>
    <n v="277"/>
  </r>
  <r>
    <x v="293"/>
    <x v="4"/>
    <n v="89"/>
  </r>
  <r>
    <x v="294"/>
    <x v="0"/>
    <n v="235"/>
  </r>
  <r>
    <x v="294"/>
    <x v="2"/>
    <n v="235"/>
  </r>
  <r>
    <x v="294"/>
    <x v="1"/>
    <n v="235"/>
  </r>
  <r>
    <x v="295"/>
    <x v="2"/>
    <n v="210"/>
  </r>
  <r>
    <x v="295"/>
    <x v="5"/>
    <n v="210"/>
  </r>
  <r>
    <x v="296"/>
    <x v="4"/>
    <n v="24"/>
  </r>
  <r>
    <x v="297"/>
    <x v="2"/>
    <n v="14"/>
  </r>
  <r>
    <x v="298"/>
    <x v="0"/>
    <n v="70"/>
  </r>
  <r>
    <x v="299"/>
    <x v="2"/>
    <n v="191"/>
  </r>
  <r>
    <x v="299"/>
    <x v="4"/>
    <n v="191"/>
  </r>
  <r>
    <x v="299"/>
    <x v="3"/>
    <n v="1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n v="45649"/>
    <x v="0"/>
    <s v="Check out our latest reel on twitter!"/>
    <n v="1461"/>
    <n v="184"/>
    <n v="344"/>
    <n v="21915"/>
    <n v="21675"/>
    <n v="15"/>
  </r>
  <r>
    <s v="P002"/>
    <x v="0"/>
    <n v="45750"/>
    <x v="1"/>
    <s v="Check out our latest text on twitter!"/>
    <n v="4054"/>
    <n v="389"/>
    <n v="493"/>
    <n v="64864"/>
    <n v="64383"/>
    <n v="117"/>
  </r>
  <r>
    <s v="P003"/>
    <x v="1"/>
    <n v="45789"/>
    <x v="0"/>
    <s v="Check out our latest reel on youtube!"/>
    <n v="2795"/>
    <n v="105"/>
    <n v="49"/>
    <n v="53105"/>
    <n v="52307"/>
    <n v="204"/>
  </r>
  <r>
    <s v="P004"/>
    <x v="2"/>
    <n v="45516"/>
    <x v="2"/>
    <s v="Check out our latest story on instagram!"/>
    <n v="2404"/>
    <n v="363"/>
    <n v="138"/>
    <n v="19232"/>
    <n v="18636"/>
    <n v="128"/>
  </r>
  <r>
    <s v="P005"/>
    <x v="1"/>
    <n v="45469"/>
    <x v="0"/>
    <s v="Check out our latest reel on youtube!"/>
    <n v="3557"/>
    <n v="687"/>
    <n v="424"/>
    <n v="71140"/>
    <n v="70701"/>
    <n v="224"/>
  </r>
  <r>
    <s v="P006"/>
    <x v="3"/>
    <n v="45596"/>
    <x v="3"/>
    <s v="Check out our latest carousel on facebook!"/>
    <n v="2945"/>
    <n v="930"/>
    <n v="355"/>
    <n v="23560"/>
    <n v="23275"/>
    <n v="256"/>
  </r>
  <r>
    <s v="P007"/>
    <x v="0"/>
    <n v="45467"/>
    <x v="3"/>
    <s v="Check out our latest carousel on twitter!"/>
    <n v="3860"/>
    <n v="201"/>
    <n v="279"/>
    <n v="61760"/>
    <n v="61660"/>
    <n v="235"/>
  </r>
  <r>
    <s v="P008"/>
    <x v="1"/>
    <n v="45486"/>
    <x v="4"/>
    <s v="Check out our latest image on youtube!"/>
    <n v="3929"/>
    <n v="262"/>
    <n v="278"/>
    <n v="43219"/>
    <n v="42841"/>
    <n v="39"/>
  </r>
  <r>
    <s v="P009"/>
    <x v="3"/>
    <n v="45534"/>
    <x v="1"/>
    <s v="Check out our latest text on facebook!"/>
    <n v="3784"/>
    <n v="808"/>
    <n v="404"/>
    <n v="56760"/>
    <n v="56343"/>
    <n v="131"/>
  </r>
  <r>
    <s v="P010"/>
    <x v="3"/>
    <n v="45727"/>
    <x v="4"/>
    <s v="Check out our latest image on facebook!"/>
    <n v="4241"/>
    <n v="902"/>
    <n v="47"/>
    <n v="72097"/>
    <n v="71598"/>
    <n v="167"/>
  </r>
  <r>
    <s v="P011"/>
    <x v="2"/>
    <n v="45690"/>
    <x v="2"/>
    <s v="Check out our latest story on instagram!"/>
    <n v="1792"/>
    <n v="614"/>
    <n v="497"/>
    <n v="25088"/>
    <n v="24675"/>
    <n v="65"/>
  </r>
  <r>
    <s v="P012"/>
    <x v="3"/>
    <n v="45494"/>
    <x v="0"/>
    <s v="Check out our latest reel on facebook!"/>
    <n v="1946"/>
    <n v="686"/>
    <n v="377"/>
    <n v="23352"/>
    <n v="22982"/>
    <n v="213"/>
  </r>
  <r>
    <s v="P013"/>
    <x v="1"/>
    <n v="45614"/>
    <x v="3"/>
    <s v="Check out our latest carousel on youtube!"/>
    <n v="1171"/>
    <n v="286"/>
    <n v="231"/>
    <n v="22249"/>
    <n v="21282"/>
    <n v="114"/>
  </r>
  <r>
    <s v="P014"/>
    <x v="3"/>
    <n v="45704"/>
    <x v="2"/>
    <s v="Check out our latest story on facebook!"/>
    <n v="4242"/>
    <n v="555"/>
    <n v="131"/>
    <n v="33936"/>
    <n v="33802"/>
    <n v="265"/>
  </r>
  <r>
    <s v="P015"/>
    <x v="3"/>
    <n v="45589"/>
    <x v="5"/>
    <s v="Check out our latest video on facebook!"/>
    <n v="3888"/>
    <n v="604"/>
    <n v="128"/>
    <n v="77760"/>
    <n v="77167"/>
    <n v="20"/>
  </r>
  <r>
    <s v="P016"/>
    <x v="3"/>
    <n v="45530"/>
    <x v="1"/>
    <s v="Check out our latest text on facebook!"/>
    <n v="3452"/>
    <n v="377"/>
    <n v="360"/>
    <n v="55232"/>
    <n v="55075"/>
    <n v="87"/>
  </r>
  <r>
    <s v="P017"/>
    <x v="3"/>
    <n v="45782"/>
    <x v="1"/>
    <s v="Check out our latest text on facebook!"/>
    <n v="4441"/>
    <n v="511"/>
    <n v="70"/>
    <n v="53292"/>
    <n v="53082"/>
    <n v="159"/>
  </r>
  <r>
    <s v="P018"/>
    <x v="2"/>
    <n v="45523"/>
    <x v="0"/>
    <s v="Check out our latest reel on instagram!"/>
    <n v="3000"/>
    <n v="382"/>
    <n v="325"/>
    <n v="36000"/>
    <n v="35819"/>
    <n v="19"/>
  </r>
  <r>
    <s v="P019"/>
    <x v="2"/>
    <n v="45466"/>
    <x v="5"/>
    <s v="Check out our latest video on instagram!"/>
    <n v="1071"/>
    <n v="519"/>
    <n v="22"/>
    <n v="16065"/>
    <n v="15865"/>
    <n v="103"/>
  </r>
  <r>
    <s v="P020"/>
    <x v="2"/>
    <n v="45544"/>
    <x v="3"/>
    <s v="Check out our latest carousel on instagram!"/>
    <n v="4054"/>
    <n v="488"/>
    <n v="373"/>
    <n v="77026"/>
    <n v="76881"/>
    <n v="25"/>
  </r>
  <r>
    <s v="P021"/>
    <x v="2"/>
    <n v="45661"/>
    <x v="0"/>
    <s v="Check out our latest reel on instagram!"/>
    <n v="4838"/>
    <n v="640"/>
    <n v="128"/>
    <n v="72570"/>
    <n v="72396"/>
    <n v="83"/>
  </r>
  <r>
    <s v="P022"/>
    <x v="3"/>
    <n v="45715"/>
    <x v="1"/>
    <s v="Check out our latest text on facebook!"/>
    <n v="1570"/>
    <n v="187"/>
    <n v="260"/>
    <n v="25120"/>
    <n v="24613"/>
    <n v="133"/>
  </r>
  <r>
    <s v="P023"/>
    <x v="3"/>
    <n v="45602"/>
    <x v="5"/>
    <s v="Check out our latest video on facebook!"/>
    <n v="1606"/>
    <n v="547"/>
    <n v="316"/>
    <n v="32120"/>
    <n v="31736"/>
    <n v="225"/>
  </r>
  <r>
    <s v="P024"/>
    <x v="3"/>
    <n v="45680"/>
    <x v="5"/>
    <s v="Check out our latest video on facebook!"/>
    <n v="3961"/>
    <n v="761"/>
    <n v="131"/>
    <n v="67337"/>
    <n v="66615"/>
    <n v="161"/>
  </r>
  <r>
    <s v="P025"/>
    <x v="0"/>
    <n v="45757"/>
    <x v="3"/>
    <s v="Check out our latest carousel on twitter!"/>
    <n v="3128"/>
    <n v="211"/>
    <n v="197"/>
    <n v="59432"/>
    <n v="59182"/>
    <n v="238"/>
  </r>
  <r>
    <s v="P026"/>
    <x v="1"/>
    <n v="45752"/>
    <x v="0"/>
    <s v="Check out our latest reel on youtube!"/>
    <n v="3009"/>
    <n v="413"/>
    <n v="358"/>
    <n v="42126"/>
    <n v="41309"/>
    <n v="211"/>
  </r>
  <r>
    <s v="P027"/>
    <x v="1"/>
    <n v="45552"/>
    <x v="1"/>
    <s v="Check out our latest text on youtube!"/>
    <n v="2076"/>
    <n v="195"/>
    <n v="104"/>
    <n v="33216"/>
    <n v="32244"/>
    <n v="51"/>
  </r>
  <r>
    <s v="P028"/>
    <x v="2"/>
    <n v="45720"/>
    <x v="5"/>
    <s v="Check out our latest video on instagram!"/>
    <n v="432"/>
    <n v="624"/>
    <n v="123"/>
    <n v="6912"/>
    <n v="6259"/>
    <n v="79"/>
  </r>
  <r>
    <s v="P029"/>
    <x v="2"/>
    <n v="45688"/>
    <x v="3"/>
    <s v="Check out our latest carousel on instagram!"/>
    <n v="2566"/>
    <n v="118"/>
    <n v="37"/>
    <n v="12830"/>
    <n v="12264"/>
    <n v="221"/>
  </r>
  <r>
    <s v="P030"/>
    <x v="2"/>
    <n v="45713"/>
    <x v="5"/>
    <s v="Check out our latest video on instagram!"/>
    <n v="3095"/>
    <n v="39"/>
    <n v="78"/>
    <n v="55710"/>
    <n v="54808"/>
    <n v="93"/>
  </r>
  <r>
    <s v="P031"/>
    <x v="2"/>
    <n v="45642"/>
    <x v="1"/>
    <s v="Check out our latest text on instagram!"/>
    <n v="438"/>
    <n v="153"/>
    <n v="275"/>
    <n v="3066"/>
    <n v="2701"/>
    <n v="282"/>
  </r>
  <r>
    <s v="P032"/>
    <x v="0"/>
    <n v="45504"/>
    <x v="3"/>
    <s v="Check out our latest carousel on twitter!"/>
    <n v="2278"/>
    <n v="10"/>
    <n v="321"/>
    <n v="13668"/>
    <n v="12676"/>
    <n v="275"/>
  </r>
  <r>
    <s v="P033"/>
    <x v="3"/>
    <n v="45525"/>
    <x v="4"/>
    <s v="Check out our latest image on facebook!"/>
    <n v="1407"/>
    <n v="400"/>
    <n v="351"/>
    <n v="16884"/>
    <n v="15954"/>
    <n v="113"/>
  </r>
  <r>
    <s v="P034"/>
    <x v="3"/>
    <n v="45742"/>
    <x v="1"/>
    <s v="Check out our latest text on facebook!"/>
    <n v="1652"/>
    <n v="89"/>
    <n v="357"/>
    <n v="29736"/>
    <n v="28771"/>
    <n v="215"/>
  </r>
  <r>
    <s v="P035"/>
    <x v="2"/>
    <n v="45626"/>
    <x v="5"/>
    <s v="Check out our latest video on instagram!"/>
    <n v="3775"/>
    <n v="16"/>
    <n v="239"/>
    <n v="33975"/>
    <n v="33310"/>
    <n v="271"/>
  </r>
  <r>
    <s v="P036"/>
    <x v="2"/>
    <n v="45766"/>
    <x v="2"/>
    <s v="Check out our latest story on instagram!"/>
    <n v="4518"/>
    <n v="285"/>
    <n v="383"/>
    <n v="67770"/>
    <n v="67621"/>
    <n v="31"/>
  </r>
  <r>
    <s v="P037"/>
    <x v="3"/>
    <n v="45663"/>
    <x v="3"/>
    <s v="Check out our latest carousel on facebook!"/>
    <n v="3024"/>
    <n v="925"/>
    <n v="350"/>
    <n v="24192"/>
    <n v="23518"/>
    <n v="36"/>
  </r>
  <r>
    <s v="P038"/>
    <x v="1"/>
    <n v="45705"/>
    <x v="0"/>
    <s v="Check out our latest reel on youtube!"/>
    <n v="3138"/>
    <n v="123"/>
    <n v="291"/>
    <n v="28242"/>
    <n v="27550"/>
    <n v="87"/>
  </r>
  <r>
    <s v="P039"/>
    <x v="3"/>
    <n v="45621"/>
    <x v="4"/>
    <s v="Check out our latest image on facebook!"/>
    <n v="3564"/>
    <n v="629"/>
    <n v="177"/>
    <n v="60588"/>
    <n v="59627"/>
    <n v="92"/>
  </r>
  <r>
    <s v="P040"/>
    <x v="0"/>
    <n v="45723"/>
    <x v="4"/>
    <s v="Check out our latest image on twitter!"/>
    <n v="4750"/>
    <n v="151"/>
    <n v="415"/>
    <n v="38000"/>
    <n v="37792"/>
    <n v="299"/>
  </r>
  <r>
    <s v="P041"/>
    <x v="2"/>
    <n v="45724"/>
    <x v="0"/>
    <s v="Check out our latest reel on instagram!"/>
    <n v="456"/>
    <n v="629"/>
    <n v="428"/>
    <n v="8208"/>
    <n v="7377"/>
    <n v="205"/>
  </r>
  <r>
    <s v="P042"/>
    <x v="1"/>
    <n v="45721"/>
    <x v="0"/>
    <s v="Check out our latest reel on youtube!"/>
    <n v="1543"/>
    <n v="820"/>
    <n v="333"/>
    <n v="12344"/>
    <n v="11496"/>
    <n v="241"/>
  </r>
  <r>
    <s v="P043"/>
    <x v="2"/>
    <n v="45640"/>
    <x v="3"/>
    <s v="Check out our latest carousel on instagram!"/>
    <n v="2174"/>
    <n v="658"/>
    <n v="15"/>
    <n v="13044"/>
    <n v="12206"/>
    <n v="137"/>
  </r>
  <r>
    <s v="P044"/>
    <x v="0"/>
    <n v="45718"/>
    <x v="4"/>
    <s v="Check out our latest image on twitter!"/>
    <n v="2358"/>
    <n v="784"/>
    <n v="344"/>
    <n v="35370"/>
    <n v="34475"/>
    <n v="216"/>
  </r>
  <r>
    <s v="P045"/>
    <x v="3"/>
    <n v="45597"/>
    <x v="5"/>
    <s v="Check out our latest video on facebook!"/>
    <n v="3371"/>
    <n v="106"/>
    <n v="327"/>
    <n v="50565"/>
    <n v="49816"/>
    <n v="176"/>
  </r>
  <r>
    <s v="P046"/>
    <x v="0"/>
    <n v="45779"/>
    <x v="5"/>
    <s v="Check out our latest video on twitter!"/>
    <n v="1108"/>
    <n v="177"/>
    <n v="212"/>
    <n v="8864"/>
    <n v="8710"/>
    <n v="97"/>
  </r>
  <r>
    <s v="P047"/>
    <x v="0"/>
    <n v="45712"/>
    <x v="3"/>
    <s v="Check out our latest carousel on twitter!"/>
    <n v="2704"/>
    <n v="752"/>
    <n v="153"/>
    <n v="21632"/>
    <n v="20792"/>
    <n v="127"/>
  </r>
  <r>
    <s v="P048"/>
    <x v="0"/>
    <n v="45727"/>
    <x v="2"/>
    <s v="Check out our latest story on twitter!"/>
    <n v="1950"/>
    <n v="295"/>
    <n v="478"/>
    <n v="37050"/>
    <n v="36272"/>
    <n v="119"/>
  </r>
  <r>
    <s v="P049"/>
    <x v="0"/>
    <n v="45453"/>
    <x v="2"/>
    <s v="Check out our latest story on twitter!"/>
    <n v="2164"/>
    <n v="549"/>
    <n v="274"/>
    <n v="28132"/>
    <n v="27361"/>
    <n v="177"/>
  </r>
  <r>
    <s v="P050"/>
    <x v="1"/>
    <n v="45476"/>
    <x v="2"/>
    <s v="Check out our latest story on youtube!"/>
    <n v="2754"/>
    <n v="130"/>
    <n v="90"/>
    <n v="22032"/>
    <n v="21288"/>
    <n v="112"/>
  </r>
  <r>
    <s v="P051"/>
    <x v="3"/>
    <n v="45456"/>
    <x v="3"/>
    <s v="Check out our latest carousel on facebook!"/>
    <n v="2200"/>
    <n v="504"/>
    <n v="239"/>
    <n v="37400"/>
    <n v="36938"/>
    <n v="225"/>
  </r>
  <r>
    <s v="P052"/>
    <x v="3"/>
    <n v="45660"/>
    <x v="4"/>
    <s v="Check out our latest image on facebook!"/>
    <n v="947"/>
    <n v="338"/>
    <n v="350"/>
    <n v="10417"/>
    <n v="9730"/>
    <n v="34"/>
  </r>
  <r>
    <s v="P053"/>
    <x v="1"/>
    <n v="45712"/>
    <x v="3"/>
    <s v="Check out our latest carousel on youtube!"/>
    <n v="804"/>
    <n v="639"/>
    <n v="43"/>
    <n v="4020"/>
    <n v="3144"/>
    <n v="11"/>
  </r>
  <r>
    <s v="P054"/>
    <x v="1"/>
    <n v="45729"/>
    <x v="3"/>
    <s v="Check out our latest carousel on youtube!"/>
    <n v="1686"/>
    <n v="904"/>
    <n v="472"/>
    <n v="18546"/>
    <n v="18171"/>
    <n v="52"/>
  </r>
  <r>
    <s v="P055"/>
    <x v="3"/>
    <n v="45460"/>
    <x v="4"/>
    <s v="Check out our latest image on facebook!"/>
    <n v="1226"/>
    <n v="119"/>
    <n v="7"/>
    <n v="14712"/>
    <n v="14049"/>
    <n v="123"/>
  </r>
  <r>
    <s v="P056"/>
    <x v="3"/>
    <n v="45644"/>
    <x v="3"/>
    <s v="Check out our latest carousel on facebook!"/>
    <n v="2946"/>
    <n v="498"/>
    <n v="367"/>
    <n v="29460"/>
    <n v="28527"/>
    <n v="60"/>
  </r>
  <r>
    <s v="P057"/>
    <x v="0"/>
    <n v="45586"/>
    <x v="5"/>
    <s v="Check out our latest video on twitter!"/>
    <n v="2825"/>
    <n v="535"/>
    <n v="295"/>
    <n v="45200"/>
    <n v="44739"/>
    <n v="169"/>
  </r>
  <r>
    <s v="P058"/>
    <x v="2"/>
    <n v="45762"/>
    <x v="0"/>
    <s v="Check out our latest reel on instagram!"/>
    <n v="103"/>
    <n v="770"/>
    <n v="19"/>
    <n v="1030"/>
    <n v="410"/>
    <n v="262"/>
  </r>
  <r>
    <s v="P059"/>
    <x v="2"/>
    <n v="45465"/>
    <x v="1"/>
    <s v="Check out our latest text on instagram!"/>
    <n v="2180"/>
    <n v="263"/>
    <n v="387"/>
    <n v="30520"/>
    <n v="30059"/>
    <n v="174"/>
  </r>
  <r>
    <s v="P060"/>
    <x v="2"/>
    <n v="45685"/>
    <x v="5"/>
    <s v="Check out our latest video on instagram!"/>
    <n v="904"/>
    <n v="973"/>
    <n v="63"/>
    <n v="11752"/>
    <n v="11580"/>
    <n v="84"/>
  </r>
  <r>
    <s v="P061"/>
    <x v="0"/>
    <n v="45540"/>
    <x v="5"/>
    <s v="Check out our latest video on twitter!"/>
    <n v="4886"/>
    <n v="983"/>
    <n v="409"/>
    <n v="43974"/>
    <n v="43239"/>
    <n v="65"/>
  </r>
  <r>
    <s v="P062"/>
    <x v="0"/>
    <n v="45618"/>
    <x v="3"/>
    <s v="Check out our latest carousel on twitter!"/>
    <n v="53"/>
    <n v="81"/>
    <n v="379"/>
    <n v="954"/>
    <n v="7"/>
    <n v="148"/>
  </r>
  <r>
    <s v="P063"/>
    <x v="0"/>
    <n v="45504"/>
    <x v="3"/>
    <s v="Check out our latest carousel on twitter!"/>
    <n v="4507"/>
    <n v="217"/>
    <n v="13"/>
    <n v="90140"/>
    <n v="89591"/>
    <n v="125"/>
  </r>
  <r>
    <s v="P064"/>
    <x v="3"/>
    <n v="45521"/>
    <x v="4"/>
    <s v="Check out our latest image on facebook!"/>
    <n v="2878"/>
    <n v="248"/>
    <n v="416"/>
    <n v="43170"/>
    <n v="42667"/>
    <n v="75"/>
  </r>
  <r>
    <s v="P065"/>
    <x v="2"/>
    <n v="45744"/>
    <x v="2"/>
    <s v="Check out our latest story on instagram!"/>
    <n v="1881"/>
    <n v="501"/>
    <n v="99"/>
    <n v="20691"/>
    <n v="19987"/>
    <n v="289"/>
  </r>
  <r>
    <s v="P066"/>
    <x v="0"/>
    <n v="45499"/>
    <x v="3"/>
    <s v="Check out our latest carousel on twitter!"/>
    <n v="432"/>
    <n v="171"/>
    <n v="280"/>
    <n v="3024"/>
    <n v="2285"/>
    <n v="184"/>
  </r>
  <r>
    <s v="P067"/>
    <x v="3"/>
    <n v="45745"/>
    <x v="3"/>
    <s v="Check out our latest carousel on facebook!"/>
    <n v="4712"/>
    <n v="568"/>
    <n v="127"/>
    <n v="84816"/>
    <n v="84691"/>
    <n v="100"/>
  </r>
  <r>
    <s v="P068"/>
    <x v="2"/>
    <n v="45634"/>
    <x v="2"/>
    <s v="Check out our latest story on instagram!"/>
    <n v="2610"/>
    <n v="126"/>
    <n v="288"/>
    <n v="15660"/>
    <n v="15145"/>
    <n v="73"/>
  </r>
  <r>
    <s v="P069"/>
    <x v="0"/>
    <n v="45724"/>
    <x v="1"/>
    <s v="Check out our latest text on twitter!"/>
    <n v="1292"/>
    <n v="626"/>
    <n v="496"/>
    <n v="25840"/>
    <n v="24916"/>
    <n v="149"/>
  </r>
  <r>
    <s v="P070"/>
    <x v="3"/>
    <n v="45749"/>
    <x v="5"/>
    <s v="Check out our latest video on facebook!"/>
    <n v="199"/>
    <n v="772"/>
    <n v="400"/>
    <n v="3582"/>
    <n v="2988"/>
    <n v="43"/>
  </r>
  <r>
    <s v="P071"/>
    <x v="1"/>
    <n v="45537"/>
    <x v="3"/>
    <s v="Check out our latest carousel on youtube!"/>
    <n v="2551"/>
    <n v="915"/>
    <n v="205"/>
    <n v="30612"/>
    <n v="30360"/>
    <n v="227"/>
  </r>
  <r>
    <s v="P072"/>
    <x v="1"/>
    <n v="45719"/>
    <x v="0"/>
    <s v="Check out our latest reel on youtube!"/>
    <n v="296"/>
    <n v="60"/>
    <n v="141"/>
    <n v="5624"/>
    <n v="5239"/>
    <n v="88"/>
  </r>
  <r>
    <s v="P073"/>
    <x v="3"/>
    <n v="45583"/>
    <x v="2"/>
    <s v="Check out our latest story on facebook!"/>
    <n v="4126"/>
    <n v="426"/>
    <n v="486"/>
    <n v="78394"/>
    <n v="77798"/>
    <n v="88"/>
  </r>
  <r>
    <s v="P074"/>
    <x v="1"/>
    <n v="45593"/>
    <x v="0"/>
    <s v="Check out our latest reel on youtube!"/>
    <n v="1855"/>
    <n v="200"/>
    <n v="174"/>
    <n v="16695"/>
    <n v="16330"/>
    <n v="123"/>
  </r>
  <r>
    <s v="P075"/>
    <x v="2"/>
    <n v="45505"/>
    <x v="0"/>
    <s v="Check out our latest reel on instagram!"/>
    <n v="1674"/>
    <n v="929"/>
    <n v="37"/>
    <n v="21762"/>
    <n v="20998"/>
    <n v="255"/>
  </r>
  <r>
    <s v="P076"/>
    <x v="0"/>
    <n v="45603"/>
    <x v="2"/>
    <s v="Check out our latest story on twitter!"/>
    <n v="1121"/>
    <n v="135"/>
    <n v="18"/>
    <n v="15694"/>
    <n v="14957"/>
    <n v="99"/>
  </r>
  <r>
    <s v="P077"/>
    <x v="3"/>
    <n v="45720"/>
    <x v="2"/>
    <s v="Check out our latest story on facebook!"/>
    <n v="1249"/>
    <n v="116"/>
    <n v="420"/>
    <n v="8743"/>
    <n v="8538"/>
    <n v="63"/>
  </r>
  <r>
    <s v="P078"/>
    <x v="0"/>
    <n v="45460"/>
    <x v="4"/>
    <s v="Check out our latest image on twitter!"/>
    <n v="954"/>
    <n v="324"/>
    <n v="288"/>
    <n v="19080"/>
    <n v="18859"/>
    <n v="21"/>
  </r>
  <r>
    <s v="P079"/>
    <x v="2"/>
    <n v="45574"/>
    <x v="3"/>
    <s v="Check out our latest carousel on instagram!"/>
    <n v="3068"/>
    <n v="137"/>
    <n v="329"/>
    <n v="39884"/>
    <n v="39404"/>
    <n v="266"/>
  </r>
  <r>
    <s v="P080"/>
    <x v="2"/>
    <n v="45456"/>
    <x v="2"/>
    <s v="Check out our latest story on instagram!"/>
    <n v="2103"/>
    <n v="892"/>
    <n v="103"/>
    <n v="39957"/>
    <n v="39466"/>
    <n v="28"/>
  </r>
  <r>
    <s v="P081"/>
    <x v="2"/>
    <n v="45584"/>
    <x v="2"/>
    <s v="Check out our latest story on instagram!"/>
    <n v="1816"/>
    <n v="29"/>
    <n v="41"/>
    <n v="19976"/>
    <n v="19262"/>
    <n v="283"/>
  </r>
  <r>
    <s v="P082"/>
    <x v="2"/>
    <n v="45497"/>
    <x v="4"/>
    <s v="Check out our latest image on instagram!"/>
    <n v="725"/>
    <n v="88"/>
    <n v="428"/>
    <n v="14500"/>
    <n v="13637"/>
    <n v="200"/>
  </r>
  <r>
    <s v="P083"/>
    <x v="1"/>
    <n v="45580"/>
    <x v="5"/>
    <s v="Check out our latest video on youtube!"/>
    <n v="1094"/>
    <n v="472"/>
    <n v="21"/>
    <n v="9846"/>
    <n v="9609"/>
    <n v="112"/>
  </r>
  <r>
    <s v="P084"/>
    <x v="3"/>
    <n v="45635"/>
    <x v="4"/>
    <s v="Check out our latest image on facebook!"/>
    <n v="1841"/>
    <n v="851"/>
    <n v="342"/>
    <n v="34979"/>
    <n v="34154"/>
    <n v="255"/>
  </r>
  <r>
    <s v="P085"/>
    <x v="2"/>
    <n v="45766"/>
    <x v="4"/>
    <s v="Check out our latest image on instagram!"/>
    <n v="4177"/>
    <n v="569"/>
    <n v="55"/>
    <n v="25062"/>
    <n v="24847"/>
    <n v="230"/>
  </r>
  <r>
    <s v="P086"/>
    <x v="1"/>
    <n v="45684"/>
    <x v="1"/>
    <s v="Check out our latest text on youtube!"/>
    <n v="3428"/>
    <n v="305"/>
    <n v="85"/>
    <n v="58276"/>
    <n v="58052"/>
    <n v="242"/>
  </r>
  <r>
    <s v="P087"/>
    <x v="0"/>
    <n v="45449"/>
    <x v="5"/>
    <s v="Check out our latest video on twitter!"/>
    <n v="1436"/>
    <n v="765"/>
    <n v="496"/>
    <n v="12924"/>
    <n v="12701"/>
    <n v="197"/>
  </r>
  <r>
    <s v="P088"/>
    <x v="3"/>
    <n v="45480"/>
    <x v="2"/>
    <s v="Check out our latest story on facebook!"/>
    <n v="302"/>
    <n v="47"/>
    <n v="430"/>
    <n v="5738"/>
    <n v="4890"/>
    <n v="25"/>
  </r>
  <r>
    <s v="P089"/>
    <x v="0"/>
    <n v="45667"/>
    <x v="4"/>
    <s v="Check out our latest image on twitter!"/>
    <n v="2214"/>
    <n v="249"/>
    <n v="152"/>
    <n v="15498"/>
    <n v="14800"/>
    <n v="180"/>
  </r>
  <r>
    <s v="P090"/>
    <x v="2"/>
    <n v="45446"/>
    <x v="4"/>
    <s v="Check out our latest image on instagram!"/>
    <n v="3861"/>
    <n v="960"/>
    <n v="101"/>
    <n v="69498"/>
    <n v="68817"/>
    <n v="297"/>
  </r>
  <r>
    <s v="P091"/>
    <x v="3"/>
    <n v="45740"/>
    <x v="4"/>
    <s v="Check out our latest image on facebook!"/>
    <n v="1263"/>
    <n v="397"/>
    <n v="357"/>
    <n v="25260"/>
    <n v="24615"/>
    <n v="137"/>
  </r>
  <r>
    <s v="P092"/>
    <x v="0"/>
    <n v="45586"/>
    <x v="2"/>
    <s v="Check out our latest story on twitter!"/>
    <n v="3801"/>
    <n v="967"/>
    <n v="401"/>
    <n v="38010"/>
    <n v="37625"/>
    <n v="236"/>
  </r>
  <r>
    <s v="P093"/>
    <x v="2"/>
    <n v="45637"/>
    <x v="5"/>
    <s v="Check out our latest video on instagram!"/>
    <n v="1431"/>
    <n v="951"/>
    <n v="26"/>
    <n v="8586"/>
    <n v="8396"/>
    <n v="150"/>
  </r>
  <r>
    <s v="P094"/>
    <x v="2"/>
    <n v="45603"/>
    <x v="4"/>
    <s v="Check out our latest image on instagram!"/>
    <n v="2647"/>
    <n v="304"/>
    <n v="170"/>
    <n v="18529"/>
    <n v="17841"/>
    <n v="46"/>
  </r>
  <r>
    <s v="P095"/>
    <x v="2"/>
    <n v="45604"/>
    <x v="1"/>
    <s v="Check out our latest text on instagram!"/>
    <n v="3182"/>
    <n v="559"/>
    <n v="160"/>
    <n v="57276"/>
    <n v="56890"/>
    <n v="163"/>
  </r>
  <r>
    <s v="P096"/>
    <x v="0"/>
    <n v="45545"/>
    <x v="4"/>
    <s v="Check out our latest image on twitter!"/>
    <n v="1238"/>
    <n v="366"/>
    <n v="444"/>
    <n v="19808"/>
    <n v="19334"/>
    <n v="123"/>
  </r>
  <r>
    <s v="P097"/>
    <x v="2"/>
    <n v="45517"/>
    <x v="4"/>
    <s v="Check out our latest image on instagram!"/>
    <n v="4739"/>
    <n v="527"/>
    <n v="135"/>
    <n v="61607"/>
    <n v="61333"/>
    <n v="36"/>
  </r>
  <r>
    <s v="P098"/>
    <x v="0"/>
    <n v="45453"/>
    <x v="2"/>
    <s v="Check out our latest story on twitter!"/>
    <n v="1575"/>
    <n v="771"/>
    <n v="486"/>
    <n v="25200"/>
    <n v="24826"/>
    <n v="17"/>
  </r>
  <r>
    <s v="P099"/>
    <x v="1"/>
    <n v="45475"/>
    <x v="3"/>
    <s v="Check out our latest carousel on youtube!"/>
    <n v="4171"/>
    <n v="548"/>
    <n v="86"/>
    <n v="66736"/>
    <n v="66634"/>
    <n v="173"/>
  </r>
  <r>
    <s v="P100"/>
    <x v="1"/>
    <n v="45698"/>
    <x v="5"/>
    <s v="Check out our latest video on youtube!"/>
    <n v="1766"/>
    <n v="92"/>
    <n v="424"/>
    <n v="24724"/>
    <n v="24333"/>
    <n v="52"/>
  </r>
  <r>
    <s v="P101"/>
    <x v="1"/>
    <n v="45583"/>
    <x v="5"/>
    <s v="Check out our latest video on youtube!"/>
    <n v="4450"/>
    <n v="983"/>
    <n v="143"/>
    <n v="75650"/>
    <n v="75008"/>
    <n v="12"/>
  </r>
  <r>
    <s v="P102"/>
    <x v="0"/>
    <n v="45553"/>
    <x v="0"/>
    <s v="Check out our latest reel on twitter!"/>
    <n v="1000"/>
    <n v="978"/>
    <n v="162"/>
    <n v="6000"/>
    <n v="5221"/>
    <n v="223"/>
  </r>
  <r>
    <s v="P103"/>
    <x v="3"/>
    <n v="45454"/>
    <x v="4"/>
    <s v="Check out our latest image on facebook!"/>
    <n v="3689"/>
    <n v="48"/>
    <n v="306"/>
    <n v="40579"/>
    <n v="39588"/>
    <n v="212"/>
  </r>
  <r>
    <s v="P104"/>
    <x v="1"/>
    <n v="45739"/>
    <x v="2"/>
    <s v="Check out our latest story on youtube!"/>
    <n v="3655"/>
    <n v="568"/>
    <n v="286"/>
    <n v="32895"/>
    <n v="32015"/>
    <n v="199"/>
  </r>
  <r>
    <s v="P105"/>
    <x v="2"/>
    <n v="45457"/>
    <x v="3"/>
    <s v="Check out our latest carousel on instagram!"/>
    <n v="498"/>
    <n v="38"/>
    <n v="42"/>
    <n v="4482"/>
    <n v="3647"/>
    <n v="32"/>
  </r>
  <r>
    <s v="P106"/>
    <x v="2"/>
    <n v="45692"/>
    <x v="4"/>
    <s v="Check out our latest image on instagram!"/>
    <n v="4619"/>
    <n v="821"/>
    <n v="499"/>
    <n v="69285"/>
    <n v="69141"/>
    <n v="298"/>
  </r>
  <r>
    <s v="P107"/>
    <x v="1"/>
    <n v="45464"/>
    <x v="4"/>
    <s v="Check out our latest image on youtube!"/>
    <n v="4832"/>
    <n v="893"/>
    <n v="10"/>
    <n v="91808"/>
    <n v="91296"/>
    <n v="182"/>
  </r>
  <r>
    <s v="P108"/>
    <x v="0"/>
    <n v="45741"/>
    <x v="5"/>
    <s v="Check out our latest video on twitter!"/>
    <n v="4050"/>
    <n v="871"/>
    <n v="347"/>
    <n v="52650"/>
    <n v="51755"/>
    <n v="209"/>
  </r>
  <r>
    <s v="P109"/>
    <x v="0"/>
    <n v="45512"/>
    <x v="2"/>
    <s v="Check out our latest story on twitter!"/>
    <n v="3649"/>
    <n v="215"/>
    <n v="413"/>
    <n v="25543"/>
    <n v="24963"/>
    <n v="167"/>
  </r>
  <r>
    <s v="P110"/>
    <x v="2"/>
    <n v="45502"/>
    <x v="0"/>
    <s v="Check out our latest reel on instagram!"/>
    <n v="3523"/>
    <n v="753"/>
    <n v="482"/>
    <n v="38753"/>
    <n v="38579"/>
    <n v="270"/>
  </r>
  <r>
    <s v="P111"/>
    <x v="1"/>
    <n v="45619"/>
    <x v="4"/>
    <s v="Check out our latest image on youtube!"/>
    <n v="2719"/>
    <n v="17"/>
    <n v="285"/>
    <n v="40785"/>
    <n v="40281"/>
    <n v="40"/>
  </r>
  <r>
    <s v="P112"/>
    <x v="0"/>
    <n v="45570"/>
    <x v="2"/>
    <s v="Check out our latest story on twitter!"/>
    <n v="1957"/>
    <n v="877"/>
    <n v="238"/>
    <n v="17613"/>
    <n v="16865"/>
    <n v="297"/>
  </r>
  <r>
    <s v="P113"/>
    <x v="0"/>
    <n v="45567"/>
    <x v="3"/>
    <s v="Check out our latest carousel on twitter!"/>
    <n v="4419"/>
    <n v="236"/>
    <n v="369"/>
    <n v="44190"/>
    <n v="43582"/>
    <n v="10"/>
  </r>
  <r>
    <s v="P114"/>
    <x v="0"/>
    <n v="45610"/>
    <x v="2"/>
    <s v="Check out our latest story on twitter!"/>
    <n v="4000"/>
    <n v="689"/>
    <n v="488"/>
    <n v="40000"/>
    <n v="39569"/>
    <n v="44"/>
  </r>
  <r>
    <s v="P115"/>
    <x v="0"/>
    <n v="45788"/>
    <x v="4"/>
    <s v="Check out our latest image on twitter!"/>
    <n v="2493"/>
    <n v="97"/>
    <n v="44"/>
    <n v="42381"/>
    <n v="41991"/>
    <n v="242"/>
  </r>
  <r>
    <s v="P116"/>
    <x v="1"/>
    <n v="45734"/>
    <x v="0"/>
    <s v="Check out our latest reel on youtube!"/>
    <n v="3704"/>
    <n v="186"/>
    <n v="458"/>
    <n v="25928"/>
    <n v="25081"/>
    <n v="131"/>
  </r>
  <r>
    <s v="P117"/>
    <x v="0"/>
    <n v="45600"/>
    <x v="4"/>
    <s v="Check out our latest image on twitter!"/>
    <n v="1606"/>
    <n v="451"/>
    <n v="405"/>
    <n v="20878"/>
    <n v="20190"/>
    <n v="219"/>
  </r>
  <r>
    <s v="P118"/>
    <x v="3"/>
    <n v="45600"/>
    <x v="4"/>
    <s v="Check out our latest image on facebook!"/>
    <n v="4551"/>
    <n v="714"/>
    <n v="207"/>
    <n v="68265"/>
    <n v="67754"/>
    <n v="57"/>
  </r>
  <r>
    <s v="P119"/>
    <x v="2"/>
    <n v="45695"/>
    <x v="0"/>
    <s v="Check out our latest reel on instagram!"/>
    <n v="1970"/>
    <n v="675"/>
    <n v="478"/>
    <n v="9850"/>
    <n v="8924"/>
    <n v="117"/>
  </r>
  <r>
    <s v="P120"/>
    <x v="3"/>
    <n v="45586"/>
    <x v="2"/>
    <s v="Check out our latest story on facebook!"/>
    <n v="780"/>
    <n v="928"/>
    <n v="301"/>
    <n v="8580"/>
    <n v="8081"/>
    <n v="91"/>
  </r>
  <r>
    <s v="P121"/>
    <x v="2"/>
    <n v="45502"/>
    <x v="2"/>
    <s v="Check out our latest story on instagram!"/>
    <n v="498"/>
    <n v="701"/>
    <n v="412"/>
    <n v="4980"/>
    <n v="4185"/>
    <n v="185"/>
  </r>
  <r>
    <s v="P122"/>
    <x v="2"/>
    <n v="45567"/>
    <x v="1"/>
    <s v="Check out our latest text on instagram!"/>
    <n v="3432"/>
    <n v="869"/>
    <n v="123"/>
    <n v="54912"/>
    <n v="53916"/>
    <n v="264"/>
  </r>
  <r>
    <s v="P123"/>
    <x v="2"/>
    <n v="45457"/>
    <x v="2"/>
    <s v="Check out our latest story on instagram!"/>
    <n v="4363"/>
    <n v="649"/>
    <n v="140"/>
    <n v="21815"/>
    <n v="21481"/>
    <n v="157"/>
  </r>
  <r>
    <s v="P124"/>
    <x v="1"/>
    <n v="45753"/>
    <x v="3"/>
    <s v="Check out our latest carousel on youtube!"/>
    <n v="736"/>
    <n v="771"/>
    <n v="225"/>
    <n v="5152"/>
    <n v="4706"/>
    <n v="19"/>
  </r>
  <r>
    <s v="P125"/>
    <x v="0"/>
    <n v="45543"/>
    <x v="3"/>
    <s v="Check out our latest carousel on twitter!"/>
    <n v="3811"/>
    <n v="866"/>
    <n v="216"/>
    <n v="34299"/>
    <n v="34088"/>
    <n v="233"/>
  </r>
  <r>
    <s v="P126"/>
    <x v="2"/>
    <n v="45744"/>
    <x v="3"/>
    <s v="Check out our latest carousel on instagram!"/>
    <n v="4158"/>
    <n v="167"/>
    <n v="241"/>
    <n v="45738"/>
    <n v="45183"/>
    <n v="142"/>
  </r>
  <r>
    <s v="P127"/>
    <x v="3"/>
    <n v="45684"/>
    <x v="0"/>
    <s v="Check out our latest reel on facebook!"/>
    <n v="3452"/>
    <n v="652"/>
    <n v="442"/>
    <n v="65588"/>
    <n v="65049"/>
    <n v="158"/>
  </r>
  <r>
    <s v="P128"/>
    <x v="0"/>
    <n v="45667"/>
    <x v="4"/>
    <s v="Check out our latest image on twitter!"/>
    <n v="3092"/>
    <n v="106"/>
    <n v="291"/>
    <n v="27828"/>
    <n v="27217"/>
    <n v="102"/>
  </r>
  <r>
    <s v="P129"/>
    <x v="0"/>
    <n v="45494"/>
    <x v="1"/>
    <s v="Check out our latest text on twitter!"/>
    <n v="2147"/>
    <n v="430"/>
    <n v="393"/>
    <n v="17176"/>
    <n v="16483"/>
    <n v="170"/>
  </r>
  <r>
    <s v="P130"/>
    <x v="1"/>
    <n v="45564"/>
    <x v="0"/>
    <s v="Check out our latest reel on youtube!"/>
    <n v="2936"/>
    <n v="439"/>
    <n v="44"/>
    <n v="38168"/>
    <n v="37571"/>
    <n v="22"/>
  </r>
  <r>
    <s v="P131"/>
    <x v="2"/>
    <n v="45586"/>
    <x v="0"/>
    <s v="Check out our latest reel on instagram!"/>
    <n v="4840"/>
    <n v="658"/>
    <n v="211"/>
    <n v="43560"/>
    <n v="43225"/>
    <n v="57"/>
  </r>
  <r>
    <s v="P132"/>
    <x v="2"/>
    <n v="45720"/>
    <x v="2"/>
    <s v="Check out our latest story on instagram!"/>
    <n v="1947"/>
    <n v="842"/>
    <n v="101"/>
    <n v="21417"/>
    <n v="20967"/>
    <n v="186"/>
  </r>
  <r>
    <s v="P133"/>
    <x v="3"/>
    <n v="45694"/>
    <x v="4"/>
    <s v="Check out our latest image on facebook!"/>
    <n v="2072"/>
    <n v="532"/>
    <n v="71"/>
    <n v="37296"/>
    <n v="36467"/>
    <n v="25"/>
  </r>
  <r>
    <s v="P134"/>
    <x v="0"/>
    <n v="45771"/>
    <x v="0"/>
    <s v="Check out our latest reel on twitter!"/>
    <n v="3731"/>
    <n v="115"/>
    <n v="135"/>
    <n v="55965"/>
    <n v="55436"/>
    <n v="103"/>
  </r>
  <r>
    <s v="P135"/>
    <x v="3"/>
    <n v="45624"/>
    <x v="1"/>
    <s v="Check out our latest text on facebook!"/>
    <n v="4213"/>
    <n v="253"/>
    <n v="434"/>
    <n v="75834"/>
    <n v="75437"/>
    <n v="272"/>
  </r>
  <r>
    <s v="P136"/>
    <x v="2"/>
    <n v="45484"/>
    <x v="1"/>
    <s v="Check out our latest text on instagram!"/>
    <n v="3134"/>
    <n v="888"/>
    <n v="444"/>
    <n v="21938"/>
    <n v="21337"/>
    <n v="130"/>
  </r>
  <r>
    <s v="P137"/>
    <x v="3"/>
    <n v="45504"/>
    <x v="5"/>
    <s v="Check out our latest video on facebook!"/>
    <n v="3008"/>
    <n v="94"/>
    <n v="37"/>
    <n v="15040"/>
    <n v="14639"/>
    <n v="277"/>
  </r>
  <r>
    <s v="P138"/>
    <x v="0"/>
    <n v="45745"/>
    <x v="4"/>
    <s v="Check out our latest image on twitter!"/>
    <n v="305"/>
    <n v="187"/>
    <n v="243"/>
    <n v="4575"/>
    <n v="3704"/>
    <n v="234"/>
  </r>
  <r>
    <s v="P139"/>
    <x v="1"/>
    <n v="45594"/>
    <x v="1"/>
    <s v="Check out our latest text on youtube!"/>
    <n v="2746"/>
    <n v="156"/>
    <n v="203"/>
    <n v="32952"/>
    <n v="32147"/>
    <n v="147"/>
  </r>
  <r>
    <s v="P140"/>
    <x v="3"/>
    <n v="45488"/>
    <x v="4"/>
    <s v="Check out our latest image on facebook!"/>
    <n v="2291"/>
    <n v="78"/>
    <n v="485"/>
    <n v="18328"/>
    <n v="18101"/>
    <n v="10"/>
  </r>
  <r>
    <s v="P141"/>
    <x v="0"/>
    <n v="45535"/>
    <x v="4"/>
    <s v="Check out our latest image on twitter!"/>
    <n v="3170"/>
    <n v="857"/>
    <n v="379"/>
    <n v="19020"/>
    <n v="18559"/>
    <n v="240"/>
  </r>
  <r>
    <s v="P142"/>
    <x v="1"/>
    <n v="45741"/>
    <x v="2"/>
    <s v="Check out our latest story on youtube!"/>
    <n v="2070"/>
    <n v="275"/>
    <n v="386"/>
    <n v="39330"/>
    <n v="38627"/>
    <n v="114"/>
  </r>
  <r>
    <s v="P143"/>
    <x v="1"/>
    <n v="45567"/>
    <x v="3"/>
    <s v="Check out our latest carousel on youtube!"/>
    <n v="80"/>
    <n v="362"/>
    <n v="80"/>
    <n v="1040"/>
    <n v="349"/>
    <n v="117"/>
  </r>
  <r>
    <s v="P144"/>
    <x v="1"/>
    <n v="45593"/>
    <x v="2"/>
    <s v="Check out our latest story on youtube!"/>
    <n v="4929"/>
    <n v="749"/>
    <n v="452"/>
    <n v="93651"/>
    <n v="92810"/>
    <n v="66"/>
  </r>
  <r>
    <s v="P145"/>
    <x v="2"/>
    <n v="45516"/>
    <x v="3"/>
    <s v="Check out our latest carousel on instagram!"/>
    <n v="1878"/>
    <n v="62"/>
    <n v="179"/>
    <n v="37560"/>
    <n v="36874"/>
    <n v="142"/>
  </r>
  <r>
    <s v="P146"/>
    <x v="1"/>
    <n v="45448"/>
    <x v="0"/>
    <s v="Check out our latest reel on youtube!"/>
    <n v="3065"/>
    <n v="772"/>
    <n v="142"/>
    <n v="18390"/>
    <n v="17875"/>
    <n v="200"/>
  </r>
  <r>
    <s v="P147"/>
    <x v="2"/>
    <n v="45586"/>
    <x v="0"/>
    <s v="Check out our latest reel on instagram!"/>
    <n v="3256"/>
    <n v="459"/>
    <n v="266"/>
    <n v="26048"/>
    <n v="25529"/>
    <n v="143"/>
  </r>
  <r>
    <s v="P148"/>
    <x v="2"/>
    <n v="45762"/>
    <x v="5"/>
    <s v="Check out our latest video on instagram!"/>
    <n v="4133"/>
    <n v="466"/>
    <n v="327"/>
    <n v="24798"/>
    <n v="24620"/>
    <n v="176"/>
  </r>
  <r>
    <s v="P149"/>
    <x v="0"/>
    <n v="45459"/>
    <x v="5"/>
    <s v="Check out our latest video on twitter!"/>
    <n v="1702"/>
    <n v="750"/>
    <n v="179"/>
    <n v="34040"/>
    <n v="33174"/>
    <n v="76"/>
  </r>
  <r>
    <s v="P150"/>
    <x v="1"/>
    <n v="45526"/>
    <x v="3"/>
    <s v="Check out our latest carousel on youtube!"/>
    <n v="4295"/>
    <n v="853"/>
    <n v="325"/>
    <n v="85900"/>
    <n v="85788"/>
    <n v="290"/>
  </r>
  <r>
    <s v="P151"/>
    <x v="2"/>
    <n v="45499"/>
    <x v="4"/>
    <s v="Check out our latest image on instagram!"/>
    <n v="3559"/>
    <n v="59"/>
    <n v="289"/>
    <n v="35590"/>
    <n v="35105"/>
    <n v="122"/>
  </r>
  <r>
    <s v="P152"/>
    <x v="3"/>
    <n v="45769"/>
    <x v="4"/>
    <s v="Check out our latest image on facebook!"/>
    <n v="4804"/>
    <n v="550"/>
    <n v="270"/>
    <n v="28824"/>
    <n v="28370"/>
    <n v="47"/>
  </r>
  <r>
    <s v="P153"/>
    <x v="0"/>
    <n v="45658"/>
    <x v="5"/>
    <s v="Check out our latest video on twitter!"/>
    <n v="754"/>
    <n v="197"/>
    <n v="257"/>
    <n v="6786"/>
    <n v="6221"/>
    <n v="212"/>
  </r>
  <r>
    <s v="P154"/>
    <x v="2"/>
    <n v="45574"/>
    <x v="3"/>
    <s v="Check out our latest carousel on instagram!"/>
    <n v="985"/>
    <n v="932"/>
    <n v="287"/>
    <n v="6895"/>
    <n v="6757"/>
    <n v="64"/>
  </r>
  <r>
    <s v="P155"/>
    <x v="1"/>
    <n v="45647"/>
    <x v="4"/>
    <s v="Check out our latest image on youtube!"/>
    <n v="2283"/>
    <n v="210"/>
    <n v="130"/>
    <n v="22830"/>
    <n v="22617"/>
    <n v="143"/>
  </r>
  <r>
    <s v="P156"/>
    <x v="3"/>
    <n v="45587"/>
    <x v="3"/>
    <s v="Check out our latest carousel on facebook!"/>
    <n v="3352"/>
    <n v="941"/>
    <n v="482"/>
    <n v="43576"/>
    <n v="43338"/>
    <n v="240"/>
  </r>
  <r>
    <s v="P157"/>
    <x v="1"/>
    <n v="45496"/>
    <x v="2"/>
    <s v="Check out our latest story on youtube!"/>
    <n v="4775"/>
    <n v="173"/>
    <n v="206"/>
    <n v="47750"/>
    <n v="47544"/>
    <n v="187"/>
  </r>
  <r>
    <s v="P158"/>
    <x v="2"/>
    <n v="45515"/>
    <x v="2"/>
    <s v="Check out our latest story on instagram!"/>
    <n v="1762"/>
    <n v="405"/>
    <n v="423"/>
    <n v="22906"/>
    <n v="21925"/>
    <n v="25"/>
  </r>
  <r>
    <s v="P159"/>
    <x v="3"/>
    <n v="45621"/>
    <x v="2"/>
    <s v="Check out our latest story on facebook!"/>
    <n v="2120"/>
    <n v="158"/>
    <n v="488"/>
    <n v="12720"/>
    <n v="12085"/>
    <n v="17"/>
  </r>
  <r>
    <s v="P160"/>
    <x v="0"/>
    <n v="45528"/>
    <x v="5"/>
    <s v="Check out our latest video on twitter!"/>
    <n v="1082"/>
    <n v="209"/>
    <n v="484"/>
    <n v="19476"/>
    <n v="18654"/>
    <n v="20"/>
  </r>
  <r>
    <s v="P161"/>
    <x v="0"/>
    <n v="45707"/>
    <x v="1"/>
    <s v="Check out our latest text on twitter!"/>
    <n v="4671"/>
    <n v="876"/>
    <n v="366"/>
    <n v="51381"/>
    <n v="50565"/>
    <n v="245"/>
  </r>
  <r>
    <s v="P162"/>
    <x v="3"/>
    <n v="45748"/>
    <x v="2"/>
    <s v="Check out our latest story on facebook!"/>
    <n v="3430"/>
    <n v="566"/>
    <n v="164"/>
    <n v="48020"/>
    <n v="47305"/>
    <n v="120"/>
  </r>
  <r>
    <s v="P163"/>
    <x v="2"/>
    <n v="45755"/>
    <x v="4"/>
    <s v="Check out our latest image on instagram!"/>
    <n v="4501"/>
    <n v="375"/>
    <n v="323"/>
    <n v="22505"/>
    <n v="21836"/>
    <n v="132"/>
  </r>
  <r>
    <s v="P164"/>
    <x v="1"/>
    <n v="45715"/>
    <x v="1"/>
    <s v="Check out our latest text on youtube!"/>
    <n v="4934"/>
    <n v="971"/>
    <n v="156"/>
    <n v="39472"/>
    <n v="39025"/>
    <n v="169"/>
  </r>
  <r>
    <s v="P165"/>
    <x v="0"/>
    <n v="45637"/>
    <x v="1"/>
    <s v="Check out our latest text on twitter!"/>
    <n v="3239"/>
    <n v="43"/>
    <n v="211"/>
    <n v="22673"/>
    <n v="22171"/>
    <n v="230"/>
  </r>
  <r>
    <s v="P166"/>
    <x v="0"/>
    <n v="45704"/>
    <x v="0"/>
    <s v="Check out our latest reel on twitter!"/>
    <n v="1076"/>
    <n v="313"/>
    <n v="306"/>
    <n v="11836"/>
    <n v="11596"/>
    <n v="104"/>
  </r>
  <r>
    <s v="P167"/>
    <x v="2"/>
    <n v="45624"/>
    <x v="1"/>
    <s v="Check out our latest text on instagram!"/>
    <n v="4771"/>
    <n v="818"/>
    <n v="56"/>
    <n v="57252"/>
    <n v="56378"/>
    <n v="150"/>
  </r>
  <r>
    <s v="P168"/>
    <x v="3"/>
    <n v="45608"/>
    <x v="1"/>
    <s v="Check out our latest text on facebook!"/>
    <n v="2418"/>
    <n v="754"/>
    <n v="54"/>
    <n v="43524"/>
    <n v="42743"/>
    <n v="182"/>
  </r>
  <r>
    <s v="P169"/>
    <x v="1"/>
    <n v="45629"/>
    <x v="5"/>
    <s v="Check out our latest video on youtube!"/>
    <n v="3809"/>
    <n v="273"/>
    <n v="200"/>
    <n v="34281"/>
    <n v="33534"/>
    <n v="83"/>
  </r>
  <r>
    <s v="P170"/>
    <x v="0"/>
    <n v="45775"/>
    <x v="1"/>
    <s v="Check out our latest text on twitter!"/>
    <n v="3577"/>
    <n v="596"/>
    <n v="493"/>
    <n v="67963"/>
    <n v="67839"/>
    <n v="53"/>
  </r>
  <r>
    <s v="P171"/>
    <x v="1"/>
    <n v="45657"/>
    <x v="5"/>
    <s v="Check out our latest video on youtube!"/>
    <n v="1018"/>
    <n v="447"/>
    <n v="332"/>
    <n v="18324"/>
    <n v="18164"/>
    <n v="38"/>
  </r>
  <r>
    <s v="P172"/>
    <x v="3"/>
    <n v="45518"/>
    <x v="3"/>
    <s v="Check out our latest carousel on facebook!"/>
    <n v="3073"/>
    <n v="553"/>
    <n v="174"/>
    <n v="52241"/>
    <n v="51605"/>
    <n v="246"/>
  </r>
  <r>
    <s v="P173"/>
    <x v="0"/>
    <n v="45631"/>
    <x v="5"/>
    <s v="Check out our latest video on twitter!"/>
    <n v="1330"/>
    <n v="925"/>
    <n v="35"/>
    <n v="15960"/>
    <n v="15379"/>
    <n v="229"/>
  </r>
  <r>
    <s v="P174"/>
    <x v="3"/>
    <n v="45465"/>
    <x v="1"/>
    <s v="Check out our latest text on facebook!"/>
    <n v="3828"/>
    <n v="148"/>
    <n v="253"/>
    <n v="30624"/>
    <n v="30229"/>
    <n v="235"/>
  </r>
  <r>
    <s v="P175"/>
    <x v="2"/>
    <n v="45674"/>
    <x v="0"/>
    <s v="Check out our latest reel on instagram!"/>
    <n v="142"/>
    <n v="784"/>
    <n v="183"/>
    <n v="1704"/>
    <n v="995"/>
    <n v="154"/>
  </r>
  <r>
    <s v="P176"/>
    <x v="3"/>
    <n v="45463"/>
    <x v="5"/>
    <s v="Check out our latest video on facebook!"/>
    <n v="3798"/>
    <n v="31"/>
    <n v="279"/>
    <n v="75960"/>
    <n v="75813"/>
    <n v="266"/>
  </r>
  <r>
    <s v="P177"/>
    <x v="2"/>
    <n v="45483"/>
    <x v="3"/>
    <s v="Check out our latest carousel on instagram!"/>
    <n v="3099"/>
    <n v="694"/>
    <n v="171"/>
    <n v="43386"/>
    <n v="42921"/>
    <n v="52"/>
  </r>
  <r>
    <s v="P178"/>
    <x v="2"/>
    <n v="45603"/>
    <x v="5"/>
    <s v="Check out our latest video on instagram!"/>
    <n v="129"/>
    <n v="643"/>
    <n v="136"/>
    <n v="1290"/>
    <n v="839"/>
    <n v="238"/>
  </r>
  <r>
    <s v="P179"/>
    <x v="3"/>
    <n v="45488"/>
    <x v="3"/>
    <s v="Check out our latest carousel on facebook!"/>
    <n v="3796"/>
    <n v="667"/>
    <n v="395"/>
    <n v="64532"/>
    <n v="63550"/>
    <n v="292"/>
  </r>
  <r>
    <s v="P180"/>
    <x v="1"/>
    <n v="45629"/>
    <x v="1"/>
    <s v="Check out our latest text on youtube!"/>
    <n v="3711"/>
    <n v="352"/>
    <n v="290"/>
    <n v="48243"/>
    <n v="47579"/>
    <n v="11"/>
  </r>
  <r>
    <s v="P181"/>
    <x v="1"/>
    <n v="45737"/>
    <x v="4"/>
    <s v="Check out our latest image on youtube!"/>
    <n v="606"/>
    <n v="789"/>
    <n v="470"/>
    <n v="7878"/>
    <n v="7389"/>
    <n v="239"/>
  </r>
  <r>
    <s v="P182"/>
    <x v="3"/>
    <n v="45504"/>
    <x v="4"/>
    <s v="Check out our latest image on facebook!"/>
    <n v="4689"/>
    <n v="134"/>
    <n v="403"/>
    <n v="51579"/>
    <n v="50924"/>
    <n v="173"/>
  </r>
  <r>
    <s v="P183"/>
    <x v="2"/>
    <n v="45643"/>
    <x v="2"/>
    <s v="Check out our latest story on instagram!"/>
    <n v="360"/>
    <n v="590"/>
    <n v="393"/>
    <n v="4680"/>
    <n v="4322"/>
    <n v="208"/>
  </r>
  <r>
    <s v="P184"/>
    <x v="0"/>
    <n v="45501"/>
    <x v="4"/>
    <s v="Check out our latest image on twitter!"/>
    <n v="3215"/>
    <n v="960"/>
    <n v="202"/>
    <n v="32150"/>
    <n v="31404"/>
    <n v="251"/>
  </r>
  <r>
    <s v="P185"/>
    <x v="2"/>
    <n v="45668"/>
    <x v="3"/>
    <s v="Check out our latest carousel on instagram!"/>
    <n v="4523"/>
    <n v="61"/>
    <n v="157"/>
    <n v="49753"/>
    <n v="49329"/>
    <n v="71"/>
  </r>
  <r>
    <s v="P186"/>
    <x v="3"/>
    <n v="45528"/>
    <x v="3"/>
    <s v="Check out our latest carousel on facebook!"/>
    <n v="4292"/>
    <n v="51"/>
    <n v="392"/>
    <n v="55796"/>
    <n v="54826"/>
    <n v="264"/>
  </r>
  <r>
    <s v="P187"/>
    <x v="0"/>
    <n v="45648"/>
    <x v="0"/>
    <s v="Check out our latest reel on twitter!"/>
    <n v="1644"/>
    <n v="546"/>
    <n v="150"/>
    <n v="27948"/>
    <n v="27184"/>
    <n v="300"/>
  </r>
  <r>
    <s v="P188"/>
    <x v="1"/>
    <n v="45449"/>
    <x v="0"/>
    <s v="Check out our latest reel on youtube!"/>
    <n v="2728"/>
    <n v="533"/>
    <n v="215"/>
    <n v="40920"/>
    <n v="40816"/>
    <n v="137"/>
  </r>
  <r>
    <s v="P189"/>
    <x v="3"/>
    <n v="45740"/>
    <x v="0"/>
    <s v="Check out our latest reel on facebook!"/>
    <n v="3360"/>
    <n v="525"/>
    <n v="500"/>
    <n v="60480"/>
    <n v="59610"/>
    <n v="192"/>
  </r>
  <r>
    <s v="P190"/>
    <x v="1"/>
    <n v="45569"/>
    <x v="1"/>
    <s v="Check out our latest text on youtube!"/>
    <n v="1963"/>
    <n v="213"/>
    <n v="19"/>
    <n v="39260"/>
    <n v="38771"/>
    <n v="145"/>
  </r>
  <r>
    <s v="P191"/>
    <x v="1"/>
    <n v="45629"/>
    <x v="2"/>
    <s v="Check out our latest story on youtube!"/>
    <n v="4285"/>
    <n v="886"/>
    <n v="376"/>
    <n v="55705"/>
    <n v="55556"/>
    <n v="51"/>
  </r>
  <r>
    <s v="P192"/>
    <x v="2"/>
    <n v="45625"/>
    <x v="5"/>
    <s v="Check out our latest video on instagram!"/>
    <n v="1176"/>
    <n v="464"/>
    <n v="394"/>
    <n v="14112"/>
    <n v="13588"/>
    <n v="272"/>
  </r>
  <r>
    <s v="P193"/>
    <x v="0"/>
    <n v="45546"/>
    <x v="4"/>
    <s v="Check out our latest image on twitter!"/>
    <n v="4858"/>
    <n v="317"/>
    <n v="129"/>
    <n v="53438"/>
    <n v="52687"/>
    <n v="223"/>
  </r>
  <r>
    <s v="P194"/>
    <x v="1"/>
    <n v="45567"/>
    <x v="2"/>
    <s v="Check out our latest story on youtube!"/>
    <n v="4350"/>
    <n v="771"/>
    <n v="7"/>
    <n v="60900"/>
    <n v="60592"/>
    <n v="195"/>
  </r>
  <r>
    <s v="P195"/>
    <x v="2"/>
    <n v="45519"/>
    <x v="3"/>
    <s v="Check out our latest carousel on instagram!"/>
    <n v="914"/>
    <n v="464"/>
    <n v="246"/>
    <n v="11882"/>
    <n v="11500"/>
    <n v="282"/>
  </r>
  <r>
    <s v="P196"/>
    <x v="2"/>
    <n v="45645"/>
    <x v="1"/>
    <s v="Check out our latest text on instagram!"/>
    <n v="1813"/>
    <n v="623"/>
    <n v="72"/>
    <n v="19943"/>
    <n v="18959"/>
    <n v="85"/>
  </r>
  <r>
    <s v="P197"/>
    <x v="0"/>
    <n v="45587"/>
    <x v="0"/>
    <s v="Check out our latest reel on twitter!"/>
    <n v="4782"/>
    <n v="721"/>
    <n v="82"/>
    <n v="86076"/>
    <n v="85339"/>
    <n v="19"/>
  </r>
  <r>
    <s v="P198"/>
    <x v="0"/>
    <n v="45549"/>
    <x v="4"/>
    <s v="Check out our latest image on twitter!"/>
    <n v="1048"/>
    <n v="374"/>
    <n v="450"/>
    <n v="9432"/>
    <n v="8882"/>
    <n v="158"/>
  </r>
  <r>
    <s v="P199"/>
    <x v="1"/>
    <n v="45626"/>
    <x v="3"/>
    <s v="Check out our latest carousel on youtube!"/>
    <n v="2509"/>
    <n v="324"/>
    <n v="171"/>
    <n v="35126"/>
    <n v="34685"/>
    <n v="277"/>
  </r>
  <r>
    <s v="P200"/>
    <x v="3"/>
    <n v="45754"/>
    <x v="0"/>
    <s v="Check out our latest reel on facebook!"/>
    <n v="3718"/>
    <n v="385"/>
    <n v="310"/>
    <n v="70642"/>
    <n v="69749"/>
    <n v="233"/>
  </r>
  <r>
    <s v="P201"/>
    <x v="0"/>
    <n v="45672"/>
    <x v="0"/>
    <s v="Check out our latest reel on twitter!"/>
    <n v="802"/>
    <n v="262"/>
    <n v="244"/>
    <n v="14436"/>
    <n v="14280"/>
    <n v="49"/>
  </r>
  <r>
    <s v="P202"/>
    <x v="3"/>
    <n v="45445"/>
    <x v="4"/>
    <s v="Check out our latest image on facebook!"/>
    <n v="1871"/>
    <n v="252"/>
    <n v="335"/>
    <n v="29936"/>
    <n v="29576"/>
    <n v="288"/>
  </r>
  <r>
    <s v="P203"/>
    <x v="2"/>
    <n v="45617"/>
    <x v="3"/>
    <s v="Check out our latest carousel on instagram!"/>
    <n v="3773"/>
    <n v="299"/>
    <n v="38"/>
    <n v="71687"/>
    <n v="71447"/>
    <n v="286"/>
  </r>
  <r>
    <s v="P204"/>
    <x v="2"/>
    <n v="45658"/>
    <x v="3"/>
    <s v="Check out our latest carousel on instagram!"/>
    <n v="2234"/>
    <n v="653"/>
    <n v="432"/>
    <n v="11170"/>
    <n v="10569"/>
    <n v="198"/>
  </r>
  <r>
    <s v="P205"/>
    <x v="0"/>
    <n v="45771"/>
    <x v="5"/>
    <s v="Check out our latest video on twitter!"/>
    <n v="3820"/>
    <n v="697"/>
    <n v="268"/>
    <n v="45840"/>
    <n v="45631"/>
    <n v="171"/>
  </r>
  <r>
    <s v="P206"/>
    <x v="0"/>
    <n v="45467"/>
    <x v="1"/>
    <s v="Check out our latest text on twitter!"/>
    <n v="941"/>
    <n v="121"/>
    <n v="458"/>
    <n v="14115"/>
    <n v="13838"/>
    <n v="87"/>
  </r>
  <r>
    <s v="P207"/>
    <x v="0"/>
    <n v="45655"/>
    <x v="3"/>
    <s v="Check out our latest carousel on twitter!"/>
    <n v="4274"/>
    <n v="340"/>
    <n v="281"/>
    <n v="34192"/>
    <n v="33446"/>
    <n v="129"/>
  </r>
  <r>
    <s v="P208"/>
    <x v="1"/>
    <n v="45467"/>
    <x v="5"/>
    <s v="Check out our latest video on youtube!"/>
    <n v="2949"/>
    <n v="476"/>
    <n v="403"/>
    <n v="44235"/>
    <n v="43705"/>
    <n v="135"/>
  </r>
  <r>
    <s v="P209"/>
    <x v="0"/>
    <n v="45735"/>
    <x v="5"/>
    <s v="Check out our latest video on twitter!"/>
    <n v="3160"/>
    <n v="204"/>
    <n v="297"/>
    <n v="44240"/>
    <n v="43666"/>
    <n v="49"/>
  </r>
  <r>
    <s v="P210"/>
    <x v="1"/>
    <n v="45707"/>
    <x v="4"/>
    <s v="Check out our latest image on youtube!"/>
    <n v="257"/>
    <n v="966"/>
    <n v="398"/>
    <n v="3341"/>
    <n v="2753"/>
    <n v="287"/>
  </r>
  <r>
    <s v="P211"/>
    <x v="0"/>
    <n v="45491"/>
    <x v="3"/>
    <s v="Check out our latest carousel on twitter!"/>
    <n v="2120"/>
    <n v="38"/>
    <n v="212"/>
    <n v="12720"/>
    <n v="12564"/>
    <n v="21"/>
  </r>
  <r>
    <s v="P212"/>
    <x v="1"/>
    <n v="45719"/>
    <x v="5"/>
    <s v="Check out our latest video on youtube!"/>
    <n v="3874"/>
    <n v="884"/>
    <n v="19"/>
    <n v="38740"/>
    <n v="38552"/>
    <n v="219"/>
  </r>
  <r>
    <s v="P213"/>
    <x v="3"/>
    <n v="45778"/>
    <x v="3"/>
    <s v="Check out our latest carousel on facebook!"/>
    <n v="2696"/>
    <n v="628"/>
    <n v="443"/>
    <n v="45832"/>
    <n v="45632"/>
    <n v="248"/>
  </r>
  <r>
    <s v="P214"/>
    <x v="2"/>
    <n v="45649"/>
    <x v="4"/>
    <s v="Check out our latest image on instagram!"/>
    <n v="521"/>
    <n v="746"/>
    <n v="315"/>
    <n v="4168"/>
    <n v="3399"/>
    <n v="282"/>
  </r>
  <r>
    <s v="P215"/>
    <x v="3"/>
    <n v="45783"/>
    <x v="4"/>
    <s v="Check out our latest image on facebook!"/>
    <n v="4872"/>
    <n v="925"/>
    <n v="176"/>
    <n v="82824"/>
    <n v="82543"/>
    <n v="89"/>
  </r>
  <r>
    <s v="P216"/>
    <x v="1"/>
    <n v="45502"/>
    <x v="2"/>
    <s v="Check out our latest story on youtube!"/>
    <n v="1509"/>
    <n v="88"/>
    <n v="163"/>
    <n v="30180"/>
    <n v="29689"/>
    <n v="119"/>
  </r>
  <r>
    <s v="P217"/>
    <x v="3"/>
    <n v="45629"/>
    <x v="4"/>
    <s v="Check out our latest image on facebook!"/>
    <n v="4606"/>
    <n v="931"/>
    <n v="230"/>
    <n v="92120"/>
    <n v="91440"/>
    <n v="56"/>
  </r>
  <r>
    <s v="P218"/>
    <x v="3"/>
    <n v="45454"/>
    <x v="3"/>
    <s v="Check out our latest carousel on facebook!"/>
    <n v="1869"/>
    <n v="453"/>
    <n v="490"/>
    <n v="14952"/>
    <n v="14309"/>
    <n v="275"/>
  </r>
  <r>
    <s v="P219"/>
    <x v="0"/>
    <n v="45685"/>
    <x v="0"/>
    <s v="Check out our latest reel on twitter!"/>
    <n v="1188"/>
    <n v="470"/>
    <n v="174"/>
    <n v="7128"/>
    <n v="6145"/>
    <n v="270"/>
  </r>
  <r>
    <s v="P220"/>
    <x v="2"/>
    <n v="45445"/>
    <x v="2"/>
    <s v="Check out our latest story on instagram!"/>
    <n v="84"/>
    <n v="897"/>
    <n v="85"/>
    <n v="588"/>
    <n v="8"/>
    <n v="12"/>
  </r>
  <r>
    <s v="P221"/>
    <x v="3"/>
    <n v="45739"/>
    <x v="5"/>
    <s v="Check out our latest video on facebook!"/>
    <n v="4453"/>
    <n v="111"/>
    <n v="420"/>
    <n v="31171"/>
    <n v="30565"/>
    <n v="23"/>
  </r>
  <r>
    <s v="P222"/>
    <x v="3"/>
    <n v="45573"/>
    <x v="0"/>
    <s v="Check out our latest reel on facebook!"/>
    <n v="1814"/>
    <n v="653"/>
    <n v="363"/>
    <n v="25396"/>
    <n v="25286"/>
    <n v="39"/>
  </r>
  <r>
    <s v="P223"/>
    <x v="0"/>
    <n v="45608"/>
    <x v="4"/>
    <s v="Check out our latest image on twitter!"/>
    <n v="3338"/>
    <n v="277"/>
    <n v="118"/>
    <n v="60084"/>
    <n v="59842"/>
    <n v="252"/>
  </r>
  <r>
    <s v="P224"/>
    <x v="3"/>
    <n v="45790"/>
    <x v="4"/>
    <s v="Check out our latest image on facebook!"/>
    <n v="602"/>
    <n v="594"/>
    <n v="156"/>
    <n v="4214"/>
    <n v="3363"/>
    <n v="164"/>
  </r>
  <r>
    <s v="P225"/>
    <x v="0"/>
    <n v="45463"/>
    <x v="3"/>
    <s v="Check out our latest carousel on twitter!"/>
    <n v="4672"/>
    <n v="325"/>
    <n v="32"/>
    <n v="88768"/>
    <n v="87833"/>
    <n v="118"/>
  </r>
  <r>
    <s v="P226"/>
    <x v="2"/>
    <n v="45511"/>
    <x v="3"/>
    <s v="Check out our latest carousel on instagram!"/>
    <n v="1741"/>
    <n v="164"/>
    <n v="318"/>
    <n v="8705"/>
    <n v="8272"/>
    <n v="121"/>
  </r>
  <r>
    <s v="P227"/>
    <x v="2"/>
    <n v="45455"/>
    <x v="1"/>
    <s v="Check out our latest text on instagram!"/>
    <n v="246"/>
    <n v="149"/>
    <n v="130"/>
    <n v="4674"/>
    <n v="4390"/>
    <n v="217"/>
  </r>
  <r>
    <s v="P228"/>
    <x v="2"/>
    <n v="45474"/>
    <x v="2"/>
    <s v="Check out our latest story on instagram!"/>
    <n v="4808"/>
    <n v="772"/>
    <n v="320"/>
    <n v="72120"/>
    <n v="71696"/>
    <n v="195"/>
  </r>
  <r>
    <s v="P229"/>
    <x v="2"/>
    <n v="45476"/>
    <x v="3"/>
    <s v="Check out our latest carousel on instagram!"/>
    <n v="4799"/>
    <n v="694"/>
    <n v="289"/>
    <n v="43191"/>
    <n v="42228"/>
    <n v="118"/>
  </r>
  <r>
    <s v="P230"/>
    <x v="3"/>
    <n v="45488"/>
    <x v="0"/>
    <s v="Check out our latest reel on facebook!"/>
    <n v="3663"/>
    <n v="17"/>
    <n v="295"/>
    <n v="51282"/>
    <n v="50567"/>
    <n v="84"/>
  </r>
  <r>
    <s v="P231"/>
    <x v="2"/>
    <n v="45778"/>
    <x v="1"/>
    <s v="Check out our latest text on instagram!"/>
    <n v="1430"/>
    <n v="376"/>
    <n v="33"/>
    <n v="21450"/>
    <n v="20509"/>
    <n v="251"/>
  </r>
  <r>
    <s v="P232"/>
    <x v="0"/>
    <n v="45776"/>
    <x v="2"/>
    <s v="Check out our latest story on twitter!"/>
    <n v="249"/>
    <n v="592"/>
    <n v="230"/>
    <n v="1494"/>
    <n v="1044"/>
    <n v="201"/>
  </r>
  <r>
    <s v="P233"/>
    <x v="3"/>
    <n v="45724"/>
    <x v="4"/>
    <s v="Check out our latest image on facebook!"/>
    <n v="2382"/>
    <n v="265"/>
    <n v="134"/>
    <n v="38112"/>
    <n v="37437"/>
    <n v="249"/>
  </r>
  <r>
    <s v="P234"/>
    <x v="3"/>
    <n v="45444"/>
    <x v="1"/>
    <s v="Check out our latest text on facebook!"/>
    <n v="1272"/>
    <n v="465"/>
    <n v="99"/>
    <n v="24168"/>
    <n v="23719"/>
    <n v="42"/>
  </r>
  <r>
    <s v="P235"/>
    <x v="3"/>
    <n v="45648"/>
    <x v="4"/>
    <s v="Check out our latest image on facebook!"/>
    <n v="3196"/>
    <n v="941"/>
    <n v="376"/>
    <n v="35156"/>
    <n v="34444"/>
    <n v="241"/>
  </r>
  <r>
    <s v="P236"/>
    <x v="3"/>
    <n v="45523"/>
    <x v="1"/>
    <s v="Check out our latest text on facebook!"/>
    <n v="1257"/>
    <n v="19"/>
    <n v="351"/>
    <n v="12570"/>
    <n v="11660"/>
    <n v="194"/>
  </r>
  <r>
    <s v="P237"/>
    <x v="2"/>
    <n v="45587"/>
    <x v="2"/>
    <s v="Check out our latest story on instagram!"/>
    <n v="3770"/>
    <n v="917"/>
    <n v="129"/>
    <n v="71630"/>
    <n v="71322"/>
    <n v="76"/>
  </r>
  <r>
    <s v="P238"/>
    <x v="0"/>
    <n v="45489"/>
    <x v="1"/>
    <s v="Check out our latest text on twitter!"/>
    <n v="4725"/>
    <n v="400"/>
    <n v="362"/>
    <n v="75600"/>
    <n v="74927"/>
    <n v="43"/>
  </r>
  <r>
    <s v="P239"/>
    <x v="1"/>
    <n v="45712"/>
    <x v="1"/>
    <s v="Check out our latest text on youtube!"/>
    <n v="4188"/>
    <n v="942"/>
    <n v="118"/>
    <n v="20940"/>
    <n v="20471"/>
    <n v="102"/>
  </r>
  <r>
    <s v="P240"/>
    <x v="0"/>
    <n v="45530"/>
    <x v="3"/>
    <s v="Check out our latest carousel on twitter!"/>
    <n v="929"/>
    <n v="192"/>
    <n v="322"/>
    <n v="16722"/>
    <n v="15996"/>
    <n v="145"/>
  </r>
  <r>
    <s v="P241"/>
    <x v="3"/>
    <n v="45675"/>
    <x v="2"/>
    <s v="Check out our latest story on facebook!"/>
    <n v="4321"/>
    <n v="874"/>
    <n v="172"/>
    <n v="30247"/>
    <n v="29254"/>
    <n v="122"/>
  </r>
  <r>
    <s v="P242"/>
    <x v="3"/>
    <n v="45480"/>
    <x v="0"/>
    <s v="Check out our latest reel on facebook!"/>
    <n v="4767"/>
    <n v="190"/>
    <n v="340"/>
    <n v="28602"/>
    <n v="28044"/>
    <n v="210"/>
  </r>
  <r>
    <s v="P243"/>
    <x v="0"/>
    <n v="45722"/>
    <x v="4"/>
    <s v="Check out our latest image on twitter!"/>
    <n v="3592"/>
    <n v="911"/>
    <n v="375"/>
    <n v="50288"/>
    <n v="49490"/>
    <n v="32"/>
  </r>
  <r>
    <s v="P244"/>
    <x v="1"/>
    <n v="45590"/>
    <x v="5"/>
    <s v="Check out our latest video on youtube!"/>
    <n v="4661"/>
    <n v="935"/>
    <n v="433"/>
    <n v="23305"/>
    <n v="22583"/>
    <n v="63"/>
  </r>
  <r>
    <s v="P245"/>
    <x v="3"/>
    <n v="45669"/>
    <x v="0"/>
    <s v="Check out our latest reel on facebook!"/>
    <n v="4134"/>
    <n v="824"/>
    <n v="99"/>
    <n v="41340"/>
    <n v="41050"/>
    <n v="177"/>
  </r>
  <r>
    <s v="P246"/>
    <x v="3"/>
    <n v="45576"/>
    <x v="4"/>
    <s v="Check out our latest image on facebook!"/>
    <n v="400"/>
    <n v="680"/>
    <n v="434"/>
    <n v="6400"/>
    <n v="5472"/>
    <n v="160"/>
  </r>
  <r>
    <s v="P247"/>
    <x v="3"/>
    <n v="45531"/>
    <x v="0"/>
    <s v="Check out our latest reel on facebook!"/>
    <n v="3960"/>
    <n v="266"/>
    <n v="8"/>
    <n v="35640"/>
    <n v="34850"/>
    <n v="208"/>
  </r>
  <r>
    <s v="P248"/>
    <x v="3"/>
    <n v="45690"/>
    <x v="2"/>
    <s v="Check out our latest story on facebook!"/>
    <n v="886"/>
    <n v="126"/>
    <n v="153"/>
    <n v="4430"/>
    <n v="4037"/>
    <n v="212"/>
  </r>
  <r>
    <s v="P249"/>
    <x v="0"/>
    <n v="45491"/>
    <x v="4"/>
    <s v="Check out our latest image on twitter!"/>
    <n v="827"/>
    <n v="77"/>
    <n v="402"/>
    <n v="14886"/>
    <n v="14129"/>
    <n v="254"/>
  </r>
  <r>
    <s v="P250"/>
    <x v="3"/>
    <n v="45465"/>
    <x v="0"/>
    <s v="Check out our latest reel on facebook!"/>
    <n v="3813"/>
    <n v="935"/>
    <n v="274"/>
    <n v="68634"/>
    <n v="68488"/>
    <n v="251"/>
  </r>
  <r>
    <s v="P251"/>
    <x v="2"/>
    <n v="45743"/>
    <x v="3"/>
    <s v="Check out our latest carousel on instagram!"/>
    <n v="1377"/>
    <n v="796"/>
    <n v="387"/>
    <n v="22032"/>
    <n v="21869"/>
    <n v="189"/>
  </r>
  <r>
    <s v="P252"/>
    <x v="3"/>
    <n v="45775"/>
    <x v="3"/>
    <s v="Check out our latest carousel on facebook!"/>
    <n v="2089"/>
    <n v="476"/>
    <n v="69"/>
    <n v="16712"/>
    <n v="16309"/>
    <n v="64"/>
  </r>
  <r>
    <s v="P253"/>
    <x v="0"/>
    <n v="45507"/>
    <x v="0"/>
    <s v="Check out our latest reel on twitter!"/>
    <n v="3791"/>
    <n v="593"/>
    <n v="228"/>
    <n v="53074"/>
    <n v="52613"/>
    <n v="205"/>
  </r>
  <r>
    <s v="P254"/>
    <x v="0"/>
    <n v="45671"/>
    <x v="4"/>
    <s v="Check out our latest image on twitter!"/>
    <n v="2692"/>
    <n v="115"/>
    <n v="64"/>
    <n v="21536"/>
    <n v="21120"/>
    <n v="224"/>
  </r>
  <r>
    <s v="P255"/>
    <x v="3"/>
    <n v="45750"/>
    <x v="2"/>
    <s v="Check out our latest story on facebook!"/>
    <n v="3767"/>
    <n v="514"/>
    <n v="238"/>
    <n v="37670"/>
    <n v="36807"/>
    <n v="226"/>
  </r>
  <r>
    <s v="P256"/>
    <x v="1"/>
    <n v="45553"/>
    <x v="3"/>
    <s v="Check out our latest carousel on youtube!"/>
    <n v="2143"/>
    <n v="12"/>
    <n v="204"/>
    <n v="40717"/>
    <n v="40125"/>
    <n v="248"/>
  </r>
  <r>
    <s v="P257"/>
    <x v="3"/>
    <n v="45753"/>
    <x v="4"/>
    <s v="Check out our latest image on facebook!"/>
    <n v="3090"/>
    <n v="697"/>
    <n v="164"/>
    <n v="49440"/>
    <n v="48524"/>
    <n v="25"/>
  </r>
  <r>
    <s v="P258"/>
    <x v="2"/>
    <n v="45509"/>
    <x v="2"/>
    <s v="Check out our latest story on instagram!"/>
    <n v="3601"/>
    <n v="695"/>
    <n v="75"/>
    <n v="21606"/>
    <n v="21454"/>
    <n v="172"/>
  </r>
  <r>
    <s v="P259"/>
    <x v="3"/>
    <n v="45698"/>
    <x v="1"/>
    <s v="Check out our latest text on facebook!"/>
    <n v="562"/>
    <n v="158"/>
    <n v="149"/>
    <n v="3372"/>
    <n v="2940"/>
    <n v="93"/>
  </r>
  <r>
    <s v="P260"/>
    <x v="2"/>
    <n v="45700"/>
    <x v="2"/>
    <s v="Check out our latest story on instagram!"/>
    <n v="4332"/>
    <n v="771"/>
    <n v="219"/>
    <n v="60648"/>
    <n v="60397"/>
    <n v="10"/>
  </r>
  <r>
    <s v="P261"/>
    <x v="2"/>
    <n v="45592"/>
    <x v="4"/>
    <s v="Check out our latest image on instagram!"/>
    <n v="4853"/>
    <n v="837"/>
    <n v="340"/>
    <n v="72795"/>
    <n v="72237"/>
    <n v="170"/>
  </r>
  <r>
    <s v="P262"/>
    <x v="1"/>
    <n v="45675"/>
    <x v="4"/>
    <s v="Check out our latest image on youtube!"/>
    <n v="1206"/>
    <n v="238"/>
    <n v="36"/>
    <n v="9648"/>
    <n v="9417"/>
    <n v="237"/>
  </r>
  <r>
    <s v="P263"/>
    <x v="2"/>
    <n v="45524"/>
    <x v="0"/>
    <s v="Check out our latest reel on instagram!"/>
    <n v="2603"/>
    <n v="690"/>
    <n v="205"/>
    <n v="13015"/>
    <n v="12130"/>
    <n v="20"/>
  </r>
  <r>
    <s v="P264"/>
    <x v="0"/>
    <n v="45687"/>
    <x v="4"/>
    <s v="Check out our latest image on twitter!"/>
    <n v="59"/>
    <n v="163"/>
    <n v="93"/>
    <n v="590"/>
    <n v="475"/>
    <n v="293"/>
  </r>
  <r>
    <s v="P265"/>
    <x v="0"/>
    <n v="45708"/>
    <x v="3"/>
    <s v="Check out our latest carousel on twitter!"/>
    <n v="1877"/>
    <n v="745"/>
    <n v="225"/>
    <n v="11262"/>
    <n v="10967"/>
    <n v="41"/>
  </r>
  <r>
    <s v="P266"/>
    <x v="3"/>
    <n v="45621"/>
    <x v="2"/>
    <s v="Check out our latest story on facebook!"/>
    <n v="4182"/>
    <n v="640"/>
    <n v="240"/>
    <n v="50184"/>
    <n v="49351"/>
    <n v="10"/>
  </r>
  <r>
    <s v="P267"/>
    <x v="0"/>
    <n v="45569"/>
    <x v="0"/>
    <s v="Check out our latest reel on twitter!"/>
    <n v="4187"/>
    <n v="66"/>
    <n v="31"/>
    <n v="66992"/>
    <n v="66614"/>
    <n v="62"/>
  </r>
  <r>
    <s v="P268"/>
    <x v="2"/>
    <n v="45760"/>
    <x v="0"/>
    <s v="Check out our latest reel on instagram!"/>
    <n v="4579"/>
    <n v="125"/>
    <n v="300"/>
    <n v="59527"/>
    <n v="59400"/>
    <n v="269"/>
  </r>
  <r>
    <s v="P269"/>
    <x v="2"/>
    <n v="45601"/>
    <x v="5"/>
    <s v="Check out our latest video on instagram!"/>
    <n v="4561"/>
    <n v="51"/>
    <n v="441"/>
    <n v="22805"/>
    <n v="21890"/>
    <n v="45"/>
  </r>
  <r>
    <s v="P270"/>
    <x v="1"/>
    <n v="45672"/>
    <x v="0"/>
    <s v="Check out our latest reel on youtube!"/>
    <n v="3774"/>
    <n v="239"/>
    <n v="39"/>
    <n v="60384"/>
    <n v="59490"/>
    <n v="241"/>
  </r>
  <r>
    <s v="P271"/>
    <x v="2"/>
    <n v="45582"/>
    <x v="5"/>
    <s v="Check out our latest video on instagram!"/>
    <n v="3575"/>
    <n v="749"/>
    <n v="111"/>
    <n v="21450"/>
    <n v="20785"/>
    <n v="195"/>
  </r>
  <r>
    <s v="P272"/>
    <x v="2"/>
    <n v="45743"/>
    <x v="1"/>
    <s v="Check out our latest text on instagram!"/>
    <n v="4941"/>
    <n v="414"/>
    <n v="266"/>
    <n v="39528"/>
    <n v="39154"/>
    <n v="217"/>
  </r>
  <r>
    <s v="P273"/>
    <x v="1"/>
    <n v="45577"/>
    <x v="2"/>
    <s v="Check out our latest story on youtube!"/>
    <n v="3641"/>
    <n v="226"/>
    <n v="46"/>
    <n v="40051"/>
    <n v="39319"/>
    <n v="296"/>
  </r>
  <r>
    <s v="P274"/>
    <x v="0"/>
    <n v="45658"/>
    <x v="3"/>
    <s v="Check out our latest carousel on twitter!"/>
    <n v="3535"/>
    <n v="494"/>
    <n v="152"/>
    <n v="53025"/>
    <n v="52791"/>
    <n v="44"/>
  </r>
  <r>
    <s v="P275"/>
    <x v="3"/>
    <n v="45509"/>
    <x v="0"/>
    <s v="Check out our latest reel on facebook!"/>
    <n v="1741"/>
    <n v="831"/>
    <n v="345"/>
    <n v="17410"/>
    <n v="16844"/>
    <n v="58"/>
  </r>
  <r>
    <s v="P276"/>
    <x v="0"/>
    <n v="45450"/>
    <x v="3"/>
    <s v="Check out our latest carousel on twitter!"/>
    <n v="1556"/>
    <n v="195"/>
    <n v="131"/>
    <n v="9336"/>
    <n v="8875"/>
    <n v="137"/>
  </r>
  <r>
    <s v="P277"/>
    <x v="3"/>
    <n v="45753"/>
    <x v="4"/>
    <s v="Check out our latest image on facebook!"/>
    <n v="4236"/>
    <n v="711"/>
    <n v="298"/>
    <n v="21180"/>
    <n v="20516"/>
    <n v="238"/>
  </r>
  <r>
    <s v="P278"/>
    <x v="0"/>
    <n v="45622"/>
    <x v="1"/>
    <s v="Check out our latest text on twitter!"/>
    <n v="4516"/>
    <n v="836"/>
    <n v="169"/>
    <n v="49676"/>
    <n v="49257"/>
    <n v="282"/>
  </r>
  <r>
    <s v="P279"/>
    <x v="1"/>
    <n v="45537"/>
    <x v="4"/>
    <s v="Check out our latest image on youtube!"/>
    <n v="4905"/>
    <n v="845"/>
    <n v="129"/>
    <n v="98100"/>
    <n v="97772"/>
    <n v="279"/>
  </r>
  <r>
    <s v="P280"/>
    <x v="1"/>
    <n v="45586"/>
    <x v="5"/>
    <s v="Check out our latest video on youtube!"/>
    <n v="4275"/>
    <n v="680"/>
    <n v="385"/>
    <n v="64125"/>
    <n v="63650"/>
    <n v="104"/>
  </r>
  <r>
    <s v="P281"/>
    <x v="1"/>
    <n v="45738"/>
    <x v="4"/>
    <s v="Check out our latest image on youtube!"/>
    <n v="3166"/>
    <n v="90"/>
    <n v="341"/>
    <n v="56988"/>
    <n v="56125"/>
    <n v="135"/>
  </r>
  <r>
    <s v="P282"/>
    <x v="2"/>
    <n v="45568"/>
    <x v="5"/>
    <s v="Check out our latest video on instagram!"/>
    <n v="1488"/>
    <n v="417"/>
    <n v="168"/>
    <n v="19344"/>
    <n v="18395"/>
    <n v="30"/>
  </r>
  <r>
    <s v="P283"/>
    <x v="0"/>
    <n v="45786"/>
    <x v="0"/>
    <s v="Check out our latest reel on twitter!"/>
    <n v="3367"/>
    <n v="302"/>
    <n v="57"/>
    <n v="63973"/>
    <n v="63789"/>
    <n v="157"/>
  </r>
  <r>
    <s v="P284"/>
    <x v="0"/>
    <n v="45552"/>
    <x v="1"/>
    <s v="Check out our latest text on twitter!"/>
    <n v="571"/>
    <n v="190"/>
    <n v="352"/>
    <n v="9707"/>
    <n v="9418"/>
    <n v="231"/>
  </r>
  <r>
    <s v="P285"/>
    <x v="1"/>
    <n v="45491"/>
    <x v="1"/>
    <s v="Check out our latest text on youtube!"/>
    <n v="4021"/>
    <n v="794"/>
    <n v="77"/>
    <n v="36189"/>
    <n v="35505"/>
    <n v="174"/>
  </r>
  <r>
    <s v="P286"/>
    <x v="1"/>
    <n v="45560"/>
    <x v="5"/>
    <s v="Check out our latest video on youtube!"/>
    <n v="3389"/>
    <n v="344"/>
    <n v="229"/>
    <n v="20334"/>
    <n v="19443"/>
    <n v="228"/>
  </r>
  <r>
    <s v="P287"/>
    <x v="2"/>
    <n v="45519"/>
    <x v="0"/>
    <s v="Check out our latest reel on instagram!"/>
    <n v="1164"/>
    <n v="616"/>
    <n v="324"/>
    <n v="6984"/>
    <n v="6636"/>
    <n v="82"/>
  </r>
  <r>
    <s v="P288"/>
    <x v="1"/>
    <n v="45764"/>
    <x v="3"/>
    <s v="Check out our latest carousel on youtube!"/>
    <n v="4780"/>
    <n v="691"/>
    <n v="380"/>
    <n v="86040"/>
    <n v="85743"/>
    <n v="262"/>
  </r>
  <r>
    <s v="P289"/>
    <x v="3"/>
    <n v="45624"/>
    <x v="3"/>
    <s v="Check out our latest carousel on facebook!"/>
    <n v="2751"/>
    <n v="33"/>
    <n v="430"/>
    <n v="44016"/>
    <n v="43415"/>
    <n v="129"/>
  </r>
  <r>
    <s v="P290"/>
    <x v="2"/>
    <n v="45646"/>
    <x v="3"/>
    <s v="Check out our latest carousel on instagram!"/>
    <n v="2107"/>
    <n v="550"/>
    <n v="349"/>
    <n v="35819"/>
    <n v="35340"/>
    <n v="191"/>
  </r>
  <r>
    <s v="P291"/>
    <x v="3"/>
    <n v="45602"/>
    <x v="5"/>
    <s v="Check out our latest video on facebook!"/>
    <n v="4663"/>
    <n v="145"/>
    <n v="225"/>
    <n v="69945"/>
    <n v="69596"/>
    <n v="35"/>
  </r>
  <r>
    <s v="P292"/>
    <x v="3"/>
    <n v="45613"/>
    <x v="1"/>
    <s v="Check out our latest text on facebook!"/>
    <n v="880"/>
    <n v="297"/>
    <n v="345"/>
    <n v="12320"/>
    <n v="11978"/>
    <n v="238"/>
  </r>
  <r>
    <s v="P293"/>
    <x v="3"/>
    <n v="45791"/>
    <x v="1"/>
    <s v="Check out our latest text on facebook!"/>
    <n v="2634"/>
    <n v="726"/>
    <n v="241"/>
    <n v="28974"/>
    <n v="28102"/>
    <n v="277"/>
  </r>
  <r>
    <s v="P294"/>
    <x v="3"/>
    <n v="45462"/>
    <x v="3"/>
    <s v="Check out our latest carousel on facebook!"/>
    <n v="4731"/>
    <n v="173"/>
    <n v="276"/>
    <n v="28386"/>
    <n v="28185"/>
    <n v="89"/>
  </r>
  <r>
    <s v="P295"/>
    <x v="0"/>
    <n v="45783"/>
    <x v="4"/>
    <s v="Check out our latest image on twitter!"/>
    <n v="1952"/>
    <n v="344"/>
    <n v="287"/>
    <n v="15616"/>
    <n v="15403"/>
    <n v="235"/>
  </r>
  <r>
    <s v="P296"/>
    <x v="0"/>
    <n v="45699"/>
    <x v="5"/>
    <s v="Check out our latest video on twitter!"/>
    <n v="3440"/>
    <n v="13"/>
    <n v="20"/>
    <n v="58480"/>
    <n v="58146"/>
    <n v="210"/>
  </r>
  <r>
    <s v="P297"/>
    <x v="0"/>
    <n v="45650"/>
    <x v="1"/>
    <s v="Check out our latest text on twitter!"/>
    <n v="2166"/>
    <n v="354"/>
    <n v="117"/>
    <n v="10830"/>
    <n v="10245"/>
    <n v="24"/>
  </r>
  <r>
    <s v="P298"/>
    <x v="3"/>
    <n v="45589"/>
    <x v="4"/>
    <s v="Check out our latest image on facebook!"/>
    <n v="4303"/>
    <n v="451"/>
    <n v="286"/>
    <n v="86060"/>
    <n v="85823"/>
    <n v="14"/>
  </r>
  <r>
    <s v="P299"/>
    <x v="3"/>
    <n v="45530"/>
    <x v="4"/>
    <s v="Check out our latest image on facebook!"/>
    <n v="2581"/>
    <n v="517"/>
    <n v="117"/>
    <n v="23229"/>
    <n v="22331"/>
    <n v="70"/>
  </r>
  <r>
    <s v="P300"/>
    <x v="0"/>
    <n v="45535"/>
    <x v="3"/>
    <s v="Check out our latest carousel on twitter!"/>
    <n v="4494"/>
    <n v="717"/>
    <n v="45"/>
    <n v="62916"/>
    <n v="62688"/>
    <n v="19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x v="0"/>
    <n v="9.0759753593429152E-2"/>
  </r>
  <r>
    <x v="1"/>
    <n v="9.0759753593429152E-2"/>
  </r>
  <r>
    <x v="2"/>
    <n v="7.6097681302417369E-2"/>
  </r>
  <r>
    <x v="3"/>
    <n v="7.6097681302417369E-2"/>
  </r>
  <r>
    <x v="2"/>
    <n v="5.5531494209584788E-2"/>
  </r>
  <r>
    <x v="4"/>
    <n v="0.15105033277870217"/>
  </r>
  <r>
    <x v="4"/>
    <n v="6.5617093055946027E-2"/>
  </r>
  <r>
    <x v="2"/>
    <n v="6.5617093055946027E-2"/>
  </r>
  <r>
    <x v="2"/>
    <n v="0.17954159592529711"/>
  </r>
  <r>
    <x v="2"/>
    <n v="7.0272020725388601E-2"/>
  </r>
  <r>
    <x v="4"/>
    <n v="0.10340359564080613"/>
  </r>
  <r>
    <x v="2"/>
    <n v="8.8019732205778717E-2"/>
  </r>
  <r>
    <x v="2"/>
    <n v="7.198635172059864E-2"/>
  </r>
  <r>
    <x v="0"/>
    <n v="0.11571269132653061"/>
  </r>
  <r>
    <x v="0"/>
    <n v="0.12885405960945528"/>
  </r>
  <r>
    <x v="4"/>
    <n v="7.5868578363072495E-2"/>
  </r>
  <r>
    <x v="0"/>
    <n v="0.14521452145214522"/>
  </r>
  <r>
    <x v="0"/>
    <n v="5.941358024691358E-2"/>
  </r>
  <r>
    <x v="0"/>
    <n v="7.5843713789107758E-2"/>
  </r>
  <r>
    <x v="4"/>
    <n v="9.4235532537716729E-2"/>
  </r>
  <r>
    <x v="0"/>
    <n v="0.10297222222222223"/>
  </r>
  <r>
    <x v="2"/>
    <n v="0.10034235916588857"/>
  </r>
  <r>
    <x v="2"/>
    <n v="6.3809622724794221E-2"/>
  </r>
  <r>
    <x v="0"/>
    <n v="7.7249552156538517E-2"/>
  </r>
  <r>
    <x v="2"/>
    <n v="8.0294585987261149E-2"/>
  </r>
  <r>
    <x v="2"/>
    <n v="7.6867995018679955E-2"/>
  </r>
  <r>
    <x v="1"/>
    <n v="7.6867995018679955E-2"/>
  </r>
  <r>
    <x v="0"/>
    <n v="7.2070332803659209E-2"/>
  </r>
  <r>
    <x v="4"/>
    <n v="5.9496567505720827E-2"/>
  </r>
  <r>
    <x v="0"/>
    <n v="8.9730807577268201E-2"/>
  </r>
  <r>
    <x v="0"/>
    <n v="7.1501685934489398E-2"/>
  </r>
  <r>
    <x v="0"/>
    <n v="0.17057291666666666"/>
  </r>
  <r>
    <x v="0"/>
    <n v="0.21208106001558846"/>
  </r>
  <r>
    <x v="4"/>
    <n v="5.7655717106444085E-2"/>
  </r>
  <r>
    <x v="2"/>
    <n v="0.28245270711024134"/>
  </r>
  <r>
    <x v="4"/>
    <n v="0.19088381621305239"/>
  </r>
  <r>
    <x v="2"/>
    <n v="0.12781331438047855"/>
  </r>
  <r>
    <x v="2"/>
    <n v="7.055421038471886E-2"/>
  </r>
  <r>
    <x v="0"/>
    <n v="0.11861662987490802"/>
  </r>
  <r>
    <x v="4"/>
    <n v="7.6523535487678915E-2"/>
  </r>
  <r>
    <x v="4"/>
    <n v="0.17770337301587302"/>
  </r>
  <r>
    <x v="2"/>
    <n v="0.12577012959422137"/>
  </r>
  <r>
    <x v="2"/>
    <n v="7.2126493695121141E-2"/>
  </r>
  <r>
    <x v="4"/>
    <n v="0.13989473684210527"/>
  </r>
  <r>
    <x v="0"/>
    <n v="0.18433235867446393"/>
  </r>
  <r>
    <x v="4"/>
    <n v="0.21840570317563188"/>
  </r>
  <r>
    <x v="2"/>
    <n v="0.21826126954921804"/>
  </r>
  <r>
    <x v="2"/>
    <n v="9.8558100084817649E-2"/>
  </r>
  <r>
    <x v="0"/>
    <n v="7.5229902106199939E-2"/>
  </r>
  <r>
    <x v="2"/>
    <n v="0.16888537906137185"/>
  </r>
  <r>
    <x v="0"/>
    <n v="0.16683616863905326"/>
  </r>
  <r>
    <x v="2"/>
    <n v="7.349527665317139E-2"/>
  </r>
  <r>
    <x v="2"/>
    <n v="0.10617801791554102"/>
  </r>
  <r>
    <x v="2"/>
    <n v="0.13498547567175018"/>
  </r>
  <r>
    <x v="0"/>
    <n v="7.8689839572192513E-2"/>
  </r>
  <r>
    <x v="2"/>
    <n v="0.1569549774407219"/>
  </r>
  <r>
    <x v="4"/>
    <n v="0.36965174129353234"/>
  </r>
  <r>
    <x v="3"/>
    <n v="0.36965174129353234"/>
  </r>
  <r>
    <x v="0"/>
    <n v="0.16510298716704411"/>
  </r>
  <r>
    <x v="4"/>
    <n v="9.1897770527460579E-2"/>
  </r>
  <r>
    <x v="0"/>
    <n v="0.12936184657162253"/>
  </r>
  <r>
    <x v="2"/>
    <n v="8.0862831858407078E-2"/>
  </r>
  <r>
    <x v="2"/>
    <n v="0.86601941747572819"/>
  </r>
  <r>
    <x v="4"/>
    <n v="9.2726081258191345E-2"/>
  </r>
  <r>
    <x v="4"/>
    <n v="0.1650782845473111"/>
  </r>
  <r>
    <x v="2"/>
    <n v="0.1650782845473111"/>
  </r>
  <r>
    <x v="1"/>
    <n v="0.1650782845473111"/>
  </r>
  <r>
    <x v="2"/>
    <n v="0.14276618001546368"/>
  </r>
  <r>
    <x v="2"/>
    <n v="0.53773584905660377"/>
  </r>
  <r>
    <x v="0"/>
    <n v="5.2551586421122697E-2"/>
  </r>
  <r>
    <x v="0"/>
    <n v="8.2047718322909427E-2"/>
  </r>
  <r>
    <x v="4"/>
    <n v="0.11990720603160794"/>
  </r>
  <r>
    <x v="4"/>
    <n v="0.29199735449735448"/>
  </r>
  <r>
    <x v="4"/>
    <n v="6.3749764195434822E-2"/>
  </r>
  <r>
    <x v="4"/>
    <n v="0.19310344827586207"/>
  </r>
  <r>
    <x v="0"/>
    <n v="9.3421052631578946E-2"/>
  </r>
  <r>
    <x v="2"/>
    <n v="0.38274706867671693"/>
  </r>
  <r>
    <x v="2"/>
    <n v="0.1199202926956749"/>
  </r>
  <r>
    <x v="4"/>
    <n v="8.837126600284495E-2"/>
  </r>
  <r>
    <x v="0"/>
    <n v="6.4265122330790625E-2"/>
  </r>
  <r>
    <x v="2"/>
    <n v="0.13351302785265048"/>
  </r>
  <r>
    <x v="2"/>
    <n v="0.12131237937689551"/>
  </r>
  <r>
    <x v="2"/>
    <n v="8.1177520071364848E-2"/>
  </r>
  <r>
    <x v="2"/>
    <n v="0.20416333066453163"/>
  </r>
  <r>
    <x v="0"/>
    <n v="8.2075471698113203E-2"/>
  </r>
  <r>
    <x v="4"/>
    <n v="8.860696018453515E-2"/>
  </r>
  <r>
    <x v="0"/>
    <n v="7.7533348349475686E-2"/>
  </r>
  <r>
    <x v="2"/>
    <n v="9.4413295955146179E-2"/>
  </r>
  <r>
    <x v="0"/>
    <n v="8.558620689655172E-2"/>
  </r>
  <r>
    <x v="2"/>
    <n v="8.558620689655172E-2"/>
  </r>
  <r>
    <x v="1"/>
    <n v="8.558620689655172E-2"/>
  </r>
  <r>
    <x v="4"/>
    <n v="0.16118220597196831"/>
  </r>
  <r>
    <x v="0"/>
    <n v="8.6737756939878216E-2"/>
  </r>
  <r>
    <x v="0"/>
    <n v="0.19156491900087783"/>
  </r>
  <r>
    <x v="4"/>
    <n v="6.5515821264328367E-2"/>
  </r>
  <r>
    <x v="3"/>
    <n v="6.5515821264328367E-2"/>
  </r>
  <r>
    <x v="0"/>
    <n v="0.20868152274837512"/>
  </r>
  <r>
    <x v="2"/>
    <n v="0.13576158940397351"/>
  </r>
  <r>
    <x v="4"/>
    <n v="0.16873144921925409"/>
  </r>
  <r>
    <x v="2"/>
    <n v="7.0822181933293038E-2"/>
  </r>
  <r>
    <x v="4"/>
    <n v="7.984956452889945E-2"/>
  </r>
  <r>
    <x v="0"/>
    <n v="0.13599052880820836"/>
  </r>
  <r>
    <x v="4"/>
    <n v="0.28045655718611695"/>
  </r>
  <r>
    <x v="0"/>
    <n v="0.16843866371633656"/>
  </r>
  <r>
    <x v="0"/>
    <n v="6.8108806480899509E-2"/>
  </r>
  <r>
    <x v="0"/>
    <n v="0.10339256865912763"/>
  </r>
  <r>
    <x v="2"/>
    <n v="8.7668609086629767E-2"/>
  </r>
  <r>
    <x v="1"/>
    <n v="8.7668609086629767E-2"/>
  </r>
  <r>
    <x v="0"/>
    <n v="0.11238095238095239"/>
  </r>
  <r>
    <x v="0"/>
    <n v="7.2000119875329657E-2"/>
  </r>
  <r>
    <x v="4"/>
    <n v="9.2298980747451867E-2"/>
  </r>
  <r>
    <x v="0"/>
    <n v="7.3707865168539333E-2"/>
  </r>
  <r>
    <x v="4"/>
    <n v="0.35666666666666669"/>
  </r>
  <r>
    <x v="4"/>
    <n v="9.9632815002833983E-2"/>
  </r>
  <r>
    <x v="2"/>
    <n v="0.13707250341997265"/>
  </r>
  <r>
    <x v="0"/>
    <n v="0.12896028558679162"/>
  </r>
  <r>
    <x v="2"/>
    <n v="8.5718409468138843E-2"/>
  </r>
  <r>
    <x v="2"/>
    <n v="6.2467323109097243E-2"/>
  </r>
  <r>
    <x v="2"/>
    <n v="0.10005698005698006"/>
  </r>
  <r>
    <x v="0"/>
    <n v="0.16744313510550835"/>
  </r>
  <r>
    <x v="4"/>
    <n v="0.12277759141227776"/>
  </r>
  <r>
    <x v="2"/>
    <n v="7.4071349760941527E-2"/>
  </r>
  <r>
    <x v="0"/>
    <n v="0.17441662408448305"/>
  </r>
  <r>
    <x v="4"/>
    <n v="0.11369088028965829"/>
  </r>
  <r>
    <x v="0"/>
    <n v="0.12942500000000001"/>
  </r>
  <r>
    <x v="2"/>
    <n v="6.2150491965739366E-2"/>
  </r>
  <r>
    <x v="1"/>
    <n v="6.2150491965739366E-2"/>
  </r>
  <r>
    <x v="2"/>
    <n v="0.16769515581610614"/>
  </r>
  <r>
    <x v="4"/>
    <n v="0.11792317271769326"/>
  </r>
  <r>
    <x v="0"/>
    <n v="8.0158206987475278E-2"/>
  </r>
  <r>
    <x v="0"/>
    <n v="0.31705583756345179"/>
  </r>
  <r>
    <x v="4"/>
    <n v="0.23414918414918415"/>
  </r>
  <r>
    <x v="0"/>
    <n v="0.32349397590361445"/>
  </r>
  <r>
    <x v="4"/>
    <n v="8.0565268065268064E-2"/>
  </r>
  <r>
    <x v="4"/>
    <n v="0.23616777446710979"/>
  </r>
  <r>
    <x v="4"/>
    <n v="0.33618012422360249"/>
  </r>
  <r>
    <x v="2"/>
    <n v="0.14265722032712325"/>
  </r>
  <r>
    <x v="0"/>
    <n v="9.9829463465827106E-2"/>
  </r>
  <r>
    <x v="0"/>
    <n v="6.9311459413307311E-2"/>
  </r>
  <r>
    <x v="0"/>
    <n v="0.12537731780940059"/>
  </r>
  <r>
    <x v="2"/>
    <n v="0.17291569632044715"/>
  </r>
  <r>
    <x v="4"/>
    <n v="8.9577656675749323E-2"/>
  </r>
  <r>
    <x v="0"/>
    <n v="0.13106060606060607"/>
  </r>
  <r>
    <x v="0"/>
    <n v="0.13493953401503478"/>
  </r>
  <r>
    <x v="2"/>
    <n v="7.172350922350923E-2"/>
  </r>
  <r>
    <x v="2"/>
    <n v="7.1133744304476013E-2"/>
  </r>
  <r>
    <x v="0"/>
    <n v="6.461481657304112E-2"/>
  </r>
  <r>
    <x v="4"/>
    <n v="0.20357370772176134"/>
  </r>
  <r>
    <x v="0"/>
    <n v="0.20871010638297871"/>
  </r>
  <r>
    <x v="0"/>
    <n v="0.16065573770491803"/>
  </r>
  <r>
    <x v="4"/>
    <n v="9.422796795338674E-2"/>
  </r>
  <r>
    <x v="4"/>
    <n v="0.15571802706241816"/>
  </r>
  <r>
    <x v="5"/>
    <n v="0.15571802706241816"/>
  </r>
  <r>
    <x v="0"/>
    <n v="0.2316508937960042"/>
  </r>
  <r>
    <x v="0"/>
    <n v="6.9438087973557078E-2"/>
  </r>
  <r>
    <x v="2"/>
    <n v="0.50192307692307692"/>
  </r>
  <r>
    <x v="4"/>
    <n v="6.5455787978772245E-2"/>
  </r>
  <r>
    <x v="2"/>
    <n v="5.6416400425985093E-2"/>
  </r>
  <r>
    <x v="4"/>
    <n v="0.21636759108210984"/>
  </r>
  <r>
    <x v="1"/>
    <n v="0.21636759108210984"/>
  </r>
  <r>
    <x v="2"/>
    <n v="0.15283323095823095"/>
  </r>
  <r>
    <x v="4"/>
    <n v="0.19864505202032423"/>
  </r>
  <r>
    <x v="4"/>
    <n v="7.7291421856639245E-2"/>
  </r>
  <r>
    <x v="2"/>
    <n v="6.3713620488940623E-2"/>
  </r>
  <r>
    <x v="4"/>
    <n v="0.10977802753582468"/>
  </r>
  <r>
    <x v="4"/>
    <n v="0.19511518179295032"/>
  </r>
  <r>
    <x v="2"/>
    <n v="0.17801355732390214"/>
  </r>
  <r>
    <x v="0"/>
    <n v="0.31965192168237855"/>
  </r>
  <r>
    <x v="0"/>
    <n v="0.11489268506351293"/>
  </r>
  <r>
    <x v="0"/>
    <n v="0.1095786671562328"/>
  </r>
  <r>
    <x v="0"/>
    <n v="0.10793717277486911"/>
  </r>
  <r>
    <x v="2"/>
    <n v="0.11307081114118571"/>
  </r>
  <r>
    <x v="0"/>
    <n v="0.21745283018867925"/>
  </r>
  <r>
    <x v="2"/>
    <n v="9.1137810638734856E-2"/>
  </r>
  <r>
    <x v="2"/>
    <n v="0.11508145034156594"/>
  </r>
  <r>
    <x v="0"/>
    <n v="8.6630570595585168E-2"/>
  </r>
  <r>
    <x v="2"/>
    <n v="0.23101532992668297"/>
  </r>
  <r>
    <x v="2"/>
    <n v="0.15355188488042157"/>
  </r>
  <r>
    <x v="1"/>
    <n v="0.15355188488042157"/>
  </r>
  <r>
    <x v="2"/>
    <n v="0.15405989502933004"/>
  </r>
  <r>
    <x v="0"/>
    <n v="0.14320716458262928"/>
  </r>
  <r>
    <x v="0"/>
    <n v="9.859917557465242E-2"/>
  </r>
  <r>
    <x v="4"/>
    <n v="7.412002573292896E-2"/>
  </r>
  <r>
    <x v="4"/>
    <n v="0.12490884163239112"/>
  </r>
  <r>
    <x v="2"/>
    <n v="6.8655003457763777E-2"/>
  </r>
  <r>
    <x v="0"/>
    <n v="9.8068107400130972E-2"/>
  </r>
  <r>
    <x v="4"/>
    <n v="7.2739802071170159E-2"/>
  </r>
  <r>
    <x v="0"/>
    <n v="0.14348370927318296"/>
  </r>
  <r>
    <x v="4"/>
    <n v="0.13809430512016718"/>
  </r>
  <r>
    <x v="0"/>
    <n v="0.6508215962441315"/>
  </r>
  <r>
    <x v="2"/>
    <n v="5.4081095313322801E-2"/>
  </r>
  <r>
    <x v="2"/>
    <n v="9.1365878393951966E-2"/>
  </r>
  <r>
    <x v="2"/>
    <n v="0.70387596899224802"/>
  </r>
  <r>
    <x v="2"/>
    <n v="7.5280481001673588E-2"/>
  </r>
  <r>
    <x v="2"/>
    <n v="9.023070704558174E-2"/>
  </r>
  <r>
    <x v="4"/>
    <n v="0.23673521198273673"/>
  </r>
  <r>
    <x v="2"/>
    <n v="0.10132030477519921"/>
  </r>
  <r>
    <x v="0"/>
    <n v="0.28696581196581195"/>
  </r>
  <r>
    <x v="4"/>
    <n v="0.13614307931570763"/>
  </r>
  <r>
    <x v="4"/>
    <n v="9.5290736237010829E-2"/>
  </r>
  <r>
    <x v="4"/>
    <n v="8.4862714173059003E-2"/>
  </r>
  <r>
    <x v="4"/>
    <n v="8.3726921425504502E-2"/>
  </r>
  <r>
    <x v="0"/>
    <n v="8.4946236559139784E-2"/>
  </r>
  <r>
    <x v="2"/>
    <n v="7.2503306878306875E-2"/>
  </r>
  <r>
    <x v="0"/>
    <n v="5.5909322465613857E-2"/>
  </r>
  <r>
    <x v="0"/>
    <n v="9.9578134817341346E-2"/>
  </r>
  <r>
    <x v="4"/>
    <n v="0.1441326530612245"/>
  </r>
  <r>
    <x v="4"/>
    <n v="9.9255211647142488E-2"/>
  </r>
  <r>
    <x v="4"/>
    <n v="8.4203612479474554E-2"/>
  </r>
  <r>
    <x v="0"/>
    <n v="0.13667732704931829"/>
  </r>
  <r>
    <x v="2"/>
    <n v="0.13667732704931829"/>
  </r>
  <r>
    <x v="1"/>
    <n v="0.13667732704931829"/>
  </r>
  <r>
    <x v="4"/>
    <n v="0.12575841147269717"/>
  </r>
  <r>
    <x v="4"/>
    <n v="6.4884520656164318E-2"/>
  </r>
  <r>
    <x v="2"/>
    <n v="0.19847328244274809"/>
  </r>
  <r>
    <x v="2"/>
    <n v="8.5520696919660646E-2"/>
  </r>
  <r>
    <x v="2"/>
    <n v="6.246991874522239E-2"/>
  </r>
  <r>
    <x v="4"/>
    <n v="9.0606816292601824E-2"/>
  </r>
  <r>
    <x v="4"/>
    <n v="8.2108498129342594E-2"/>
  </r>
  <r>
    <x v="0"/>
    <n v="5.7332570758993957E-2"/>
  </r>
  <r>
    <x v="0"/>
    <n v="0.29713518352730528"/>
  </r>
  <r>
    <x v="2"/>
    <n v="0.1043848167539267"/>
  </r>
  <r>
    <x v="5"/>
    <n v="0.1043848167539267"/>
  </r>
  <r>
    <x v="4"/>
    <n v="0.10768685795253277"/>
  </r>
  <r>
    <x v="2"/>
    <n v="0.14316214319138981"/>
  </r>
  <r>
    <x v="5"/>
    <n v="0.14316214319138981"/>
  </r>
  <r>
    <x v="2"/>
    <n v="8.6537809426924378E-2"/>
  </r>
  <r>
    <x v="0"/>
    <n v="8.2753164556962022E-2"/>
  </r>
  <r>
    <x v="1"/>
    <n v="8.2753164556962022E-2"/>
  </r>
  <r>
    <x v="0"/>
    <n v="0.48518407662376534"/>
  </r>
  <r>
    <x v="0"/>
    <n v="0.18632075471698112"/>
  </r>
  <r>
    <x v="2"/>
    <n v="0.123309241094476"/>
  </r>
  <r>
    <x v="4"/>
    <n v="8.21914819340199E-2"/>
  </r>
  <r>
    <x v="0"/>
    <n v="0.37955854126679461"/>
  </r>
  <r>
    <x v="4"/>
    <n v="7.2116777745580993E-2"/>
  </r>
  <r>
    <x v="4"/>
    <n v="5.8316766070245198E-2"/>
  </r>
  <r>
    <x v="2"/>
    <n v="6.2603126356925748E-2"/>
  </r>
  <r>
    <x v="2"/>
    <n v="0.18806848582129482"/>
  </r>
  <r>
    <x v="2"/>
    <n v="0.25701459034792368"/>
  </r>
  <r>
    <x v="4"/>
    <n v="1.8129251700680271"/>
  </r>
  <r>
    <x v="2"/>
    <n v="0.15989220750056141"/>
  </r>
  <r>
    <x v="0"/>
    <n v="0.11143487163332809"/>
  </r>
  <r>
    <x v="5"/>
    <n v="0.11143487163332809"/>
  </r>
  <r>
    <x v="2"/>
    <n v="6.2129685107516146E-2"/>
  </r>
  <r>
    <x v="2"/>
    <n v="0.32083531086853345"/>
  </r>
  <r>
    <x v="4"/>
    <n v="5.6653298485940883E-2"/>
  </r>
  <r>
    <x v="2"/>
    <n v="0.25537047673750718"/>
  </r>
  <r>
    <x v="0"/>
    <n v="0.11232349165596919"/>
  </r>
  <r>
    <x v="4"/>
    <n v="8.1808097615085965E-2"/>
  </r>
  <r>
    <x v="2"/>
    <n v="0.13387048227640017"/>
  </r>
  <r>
    <x v="4"/>
    <n v="7.7512577512577507E-2"/>
  </r>
  <r>
    <x v="0"/>
    <n v="8.5734265734265735E-2"/>
  </r>
  <r>
    <x v="4"/>
    <n v="0.7168674698795181"/>
  </r>
  <r>
    <x v="0"/>
    <n v="7.2969143576826198E-2"/>
  </r>
  <r>
    <x v="2"/>
    <n v="7.5968222442899705E-2"/>
  </r>
  <r>
    <x v="2"/>
    <n v="0.1283706906360223"/>
  </r>
  <r>
    <x v="0"/>
    <n v="0.12943516308671441"/>
  </r>
  <r>
    <x v="1"/>
    <n v="0.12943516308671441"/>
  </r>
  <r>
    <x v="4"/>
    <n v="0.12943516308671441"/>
  </r>
  <r>
    <x v="0"/>
    <n v="6.7234398994834563E-2"/>
  </r>
  <r>
    <x v="0"/>
    <n v="7.2579365079365077E-2"/>
  </r>
  <r>
    <x v="0"/>
    <n v="0.25062082139446035"/>
  </r>
  <r>
    <x v="4"/>
    <n v="8.6293505561535699E-2"/>
  </r>
  <r>
    <x v="2"/>
    <n v="8.6293505561535699E-2"/>
  </r>
  <r>
    <x v="1"/>
    <n v="8.6293505561535699E-2"/>
  </r>
  <r>
    <x v="2"/>
    <n v="0.17743908486792079"/>
  </r>
  <r>
    <x v="4"/>
    <n v="0.18519683938186141"/>
  </r>
  <r>
    <x v="0"/>
    <n v="9.7001272669424113E-2"/>
  </r>
  <r>
    <x v="0"/>
    <n v="0.25869984981763572"/>
  </r>
  <r>
    <x v="4"/>
    <n v="0.12232704402515723"/>
  </r>
  <r>
    <x v="0"/>
    <n v="0.23656250000000001"/>
  </r>
  <r>
    <x v="0"/>
    <n v="0.11879910213243547"/>
  </r>
  <r>
    <x v="4"/>
    <n v="0.11879910213243547"/>
  </r>
  <r>
    <x v="3"/>
    <n v="0.11879910213243547"/>
  </r>
  <r>
    <x v="4"/>
    <n v="0.26297968397291194"/>
  </r>
  <r>
    <x v="4"/>
    <n v="8.7733440816874911E-2"/>
  </r>
  <r>
    <x v="0"/>
    <n v="7.3170731707317069E-2"/>
  </r>
  <r>
    <x v="0"/>
    <n v="0.11619462599854757"/>
  </r>
  <r>
    <x v="0"/>
    <n v="0.15761129727142173"/>
  </r>
  <r>
    <x v="4"/>
    <n v="8.6897539284772202E-2"/>
  </r>
  <r>
    <x v="0"/>
    <n v="0.13331166419019316"/>
  </r>
  <r>
    <x v="0"/>
    <n v="0.11996283514733209"/>
  </r>
  <r>
    <x v="4"/>
    <n v="5.7936488444630008E-2"/>
  </r>
  <r>
    <x v="4"/>
    <n v="7.9915048543689318E-2"/>
  </r>
  <r>
    <x v="4"/>
    <n v="7.9915048543689318E-2"/>
  </r>
  <r>
    <x v="3"/>
    <n v="7.9915048543689318E-2"/>
  </r>
  <r>
    <x v="4"/>
    <n v="0.2023049153013052"/>
  </r>
  <r>
    <x v="2"/>
    <n v="0.25771055753262156"/>
  </r>
  <r>
    <x v="2"/>
    <n v="8.7752275425405618E-2"/>
  </r>
  <r>
    <x v="4"/>
    <n v="8.7752275425405618E-2"/>
  </r>
  <r>
    <x v="3"/>
    <n v="8.7752275425405618E-2"/>
  </r>
  <r>
    <x v="4"/>
    <n v="8.2835359571399134E-2"/>
  </r>
  <r>
    <x v="2"/>
    <n v="0.15339966832504145"/>
  </r>
  <r>
    <x v="0"/>
    <n v="0.26876680752977333"/>
  </r>
  <r>
    <x v="2"/>
    <n v="0.53389830508474578"/>
  </r>
  <r>
    <x v="4"/>
    <n v="0.25279701651571657"/>
  </r>
  <r>
    <x v="2"/>
    <n v="0.10086880280567512"/>
  </r>
  <r>
    <x v="0"/>
    <n v="6.3947934081681396E-2"/>
  </r>
  <r>
    <x v="4"/>
    <n v="8.4062694239588759E-2"/>
  </r>
  <r>
    <x v="2"/>
    <n v="0.22157421618066214"/>
  </r>
  <r>
    <x v="2"/>
    <n v="6.7103868574456813E-2"/>
  </r>
  <r>
    <x v="4"/>
    <n v="0.20675990675990677"/>
  </r>
  <r>
    <x v="2"/>
    <n v="0.14220299534507186"/>
  </r>
  <r>
    <x v="4"/>
    <n v="9.7700431949264685E-2"/>
  </r>
  <r>
    <x v="2"/>
    <n v="7.8849599245638849E-2"/>
  </r>
  <r>
    <x v="4"/>
    <n v="0.16754738655944859"/>
  </r>
  <r>
    <x v="2"/>
    <n v="0.2015852613538989"/>
  </r>
  <r>
    <x v="0"/>
    <n v="0.24763928234183191"/>
  </r>
  <r>
    <x v="4"/>
    <n v="0.11114018842096787"/>
  </r>
  <r>
    <x v="2"/>
    <n v="5.9928644240570844E-2"/>
  </r>
  <r>
    <x v="4"/>
    <n v="8.3274853801169585E-2"/>
  </r>
  <r>
    <x v="2"/>
    <n v="8.3274853801169585E-2"/>
  </r>
  <r>
    <x v="1"/>
    <n v="8.3274853801169585E-2"/>
  </r>
  <r>
    <x v="4"/>
    <n v="6.3118551273952411E-2"/>
  </r>
  <r>
    <x v="0"/>
    <n v="0.1071650124069479"/>
  </r>
  <r>
    <x v="0"/>
    <n v="5.8243321401216137E-2"/>
  </r>
  <r>
    <x v="2"/>
    <n v="0.11465952405480581"/>
  </r>
  <r>
    <x v="4"/>
    <n v="0.13517919809886983"/>
  </r>
  <r>
    <x v="0"/>
    <n v="0.19484607062063539"/>
  </r>
  <r>
    <x v="4"/>
    <n v="0.30126002290950743"/>
  </r>
  <r>
    <x v="0"/>
    <n v="6.800325430032543E-2"/>
  </r>
  <r>
    <x v="0"/>
    <n v="7.3018902217375503E-2"/>
  </r>
  <r>
    <x v="4"/>
    <n v="8.3921940869371006E-2"/>
  </r>
  <r>
    <x v="4"/>
    <n v="7.1956537279290869E-2"/>
  </r>
  <r>
    <x v="2"/>
    <n v="0.12353896103896105"/>
  </r>
  <r>
    <x v="1"/>
    <n v="0.12353896103896105"/>
  </r>
  <r>
    <x v="4"/>
    <n v="0.12428384068475185"/>
  </r>
  <r>
    <x v="4"/>
    <n v="0.18248432325794406"/>
  </r>
  <r>
    <x v="0"/>
    <n v="0.16540727459016394"/>
  </r>
  <r>
    <x v="2"/>
    <n v="0.16540727459016394"/>
  </r>
  <r>
    <x v="1"/>
    <n v="0.16540727459016394"/>
  </r>
  <r>
    <x v="2"/>
    <n v="5.9387824897400819E-2"/>
  </r>
  <r>
    <x v="5"/>
    <n v="5.9387824897400819E-2"/>
  </r>
  <r>
    <x v="4"/>
    <n v="0.24349030470914126"/>
  </r>
  <r>
    <x v="2"/>
    <n v="5.8563792702765516E-2"/>
  </r>
  <r>
    <x v="0"/>
    <n v="0.13840458048129492"/>
  </r>
  <r>
    <x v="2"/>
    <n v="8.3539958039290485E-2"/>
  </r>
  <r>
    <x v="4"/>
    <n v="8.3539958039290485E-2"/>
  </r>
  <r>
    <x v="3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A3677-B382-4626-B7BE-6BE1AE5F769A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AG6:AH13" firstHeaderRow="1" firstDataRow="1" firstDataCol="1"/>
  <pivotFields count="3">
    <pivotField axis="axisRow" showAll="0">
      <items count="7">
        <item x="1"/>
        <item x="3"/>
        <item x="0"/>
        <item x="2"/>
        <item x="5"/>
        <item x="4"/>
        <item t="default"/>
      </items>
    </pivotField>
    <pivotField dataField="1" showAll="0"/>
    <pivotField dragToRow="0" dragToCol="0" dragToPage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ercentage of Engagement rate per Hashtag" fld="1" showDataAs="percentOfTotal" baseField="0" baseItem="0" numFmtId="10"/>
  </dataFields>
  <formats count="19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type="all" dataOnly="0" outline="0" fieldPosition="0"/>
    </format>
    <format dxfId="3">
      <pivotArea dataOnly="0" labelOnly="1" fieldPosition="0">
        <references count="1">
          <reference field="0" count="0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5">
      <pivotArea collapsedLevelsAreSubtotals="1" fieldPosition="0">
        <references count="1">
          <reference field="0" count="1">
            <x v="5"/>
          </reference>
        </references>
      </pivotArea>
    </format>
    <format dxfId="6">
      <pivotArea dataOnly="0" labelOnly="1" fieldPosition="0">
        <references count="1">
          <reference field="0" count="1">
            <x v="5"/>
          </reference>
        </references>
      </pivotArea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2">
      <pivotArea dataOnly="0" labelOnly="1" outline="0" axis="axisValues" fieldPosition="0"/>
    </format>
    <format dxfId="13">
      <pivotArea collapsedLevelsAreSubtotals="1" fieldPosition="0">
        <references count="1">
          <reference field="0" count="1">
            <x v="3"/>
          </reference>
        </references>
      </pivotArea>
    </format>
    <format dxfId="14">
      <pivotArea dataOnly="0" labelOnly="1" fieldPosition="0">
        <references count="1">
          <reference field="0" count="1">
            <x v="3"/>
          </reference>
        </references>
      </pivotArea>
    </format>
    <format dxfId="15">
      <pivotArea collapsedLevelsAreSubtotals="1" fieldPosition="0">
        <references count="1">
          <reference field="0" count="1">
            <x v="5"/>
          </reference>
        </references>
      </pivotArea>
    </format>
    <format dxfId="16">
      <pivotArea dataOnly="0" labelOnly="1" fieldPosition="0">
        <references count="1">
          <reference field="0" count="1">
            <x v="5"/>
          </reference>
        </references>
      </pivotArea>
    </format>
    <format dxfId="17">
      <pivotArea collapsedLevelsAreSubtotals="1" fieldPosition="0">
        <references count="1">
          <reference field="0" count="1">
            <x v="3"/>
          </reference>
        </references>
      </pivotArea>
    </format>
    <format dxfId="18">
      <pivotArea dataOnly="0" labelOnly="1" fieldPosition="0">
        <references count="1">
          <reference field="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28413-4064-4C09-B530-5F2F9D343DAB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6:U35" firstHeaderRow="0" firstDataRow="1" firstDataCol="1"/>
  <pivotFields count="11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2">
    <field x="1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formats count="18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4">
      <pivotArea dataOnly="0" labelOnly="1" fieldPosition="0">
        <references count="2">
          <reference field="1" count="1" selected="0">
            <x v="0"/>
          </reference>
          <reference field="3" count="0"/>
        </references>
      </pivotArea>
    </format>
    <format dxfId="25">
      <pivotArea dataOnly="0" labelOnly="1" fieldPosition="0">
        <references count="2">
          <reference field="1" count="1" selected="0">
            <x v="1"/>
          </reference>
          <reference field="3" count="0"/>
        </references>
      </pivotArea>
    </format>
    <format dxfId="26">
      <pivotArea dataOnly="0" labelOnly="1" fieldPosition="0">
        <references count="2">
          <reference field="1" count="1" selected="0">
            <x v="2"/>
          </reference>
          <reference field="3" count="0"/>
        </references>
      </pivotArea>
    </format>
    <format dxfId="27">
      <pivotArea dataOnly="0" labelOnly="1" fieldPosition="0">
        <references count="2">
          <reference field="1" count="1" selected="0">
            <x v="3"/>
          </reference>
          <reference field="3" count="0"/>
        </references>
      </pivotArea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">
      <pivotArea collapsedLevelsAreSubtotals="1" fieldPosition="0">
        <references count="2">
          <reference field="1" count="1" selected="0">
            <x v="0"/>
          </reference>
          <reference field="3" count="1">
            <x v="1"/>
          </reference>
        </references>
      </pivotArea>
    </format>
    <format dxfId="30">
      <pivotArea dataOnly="0" labelOnly="1" fieldPosition="0">
        <references count="2">
          <reference field="1" count="1" selected="0">
            <x v="0"/>
          </reference>
          <reference field="3" count="1">
            <x v="1"/>
          </reference>
        </references>
      </pivotArea>
    </format>
    <format dxfId="31">
      <pivotArea collapsedLevelsAreSubtotals="1" fieldPosition="0">
        <references count="2">
          <reference field="1" count="1" selected="0">
            <x v="1"/>
          </reference>
          <reference field="3" count="1">
            <x v="3"/>
          </reference>
        </references>
      </pivotArea>
    </format>
    <format dxfId="32">
      <pivotArea dataOnly="0" labelOnly="1" fieldPosition="0">
        <references count="2">
          <reference field="1" count="1" selected="0">
            <x v="1"/>
          </reference>
          <reference field="3" count="1">
            <x v="3"/>
          </reference>
        </references>
      </pivotArea>
    </format>
    <format dxfId="33">
      <pivotArea collapsedLevelsAreSubtotals="1" fieldPosition="0">
        <references count="2">
          <reference field="1" count="1" selected="0">
            <x v="2"/>
          </reference>
          <reference field="3" count="1">
            <x v="0"/>
          </reference>
        </references>
      </pivotArea>
    </format>
    <format dxfId="34">
      <pivotArea dataOnly="0" labelOnly="1" fieldPosition="0">
        <references count="2">
          <reference field="1" count="1" selected="0">
            <x v="2"/>
          </reference>
          <reference field="3" count="1">
            <x v="0"/>
          </reference>
        </references>
      </pivotArea>
    </format>
    <format dxfId="35">
      <pivotArea collapsedLevelsAreSubtotals="1" fieldPosition="0">
        <references count="2">
          <reference field="1" count="1" selected="0">
            <x v="3"/>
          </reference>
          <reference field="3" count="1">
            <x v="2"/>
          </reference>
        </references>
      </pivotArea>
    </format>
    <format dxfId="36">
      <pivotArea dataOnly="0" labelOnly="1" fieldPosition="0">
        <references count="2">
          <reference field="1" count="1" selected="0">
            <x v="3"/>
          </reference>
          <reference field="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F9445-DEC2-4850-BF40-DB57E300FB78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ost ID">
  <location ref="AA6:AB22" firstHeaderRow="1" firstDataRow="1" firstDataCol="1" rowPageCount="1" colPageCount="1"/>
  <pivotFields count="3">
    <pivotField axis="axisRow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axis="axisPage" multipleItemSelectionAllowed="1" showAll="0">
      <items count="7">
        <item x="1"/>
        <item h="1" x="3"/>
        <item h="1" x="0"/>
        <item h="1" x="2"/>
        <item h="1" x="5"/>
        <item h="1" x="4"/>
        <item t="default"/>
      </items>
    </pivotField>
    <pivotField dataField="1" showAll="0"/>
  </pivotFields>
  <rowFields count="1">
    <field x="0"/>
  </rowFields>
  <rowItems count="16">
    <i>
      <x/>
    </i>
    <i>
      <x v="22"/>
    </i>
    <i>
      <x v="59"/>
    </i>
    <i>
      <x v="81"/>
    </i>
    <i>
      <x v="96"/>
    </i>
    <i>
      <x v="114"/>
    </i>
    <i>
      <x v="145"/>
    </i>
    <i>
      <x v="163"/>
    </i>
    <i>
      <x v="194"/>
    </i>
    <i>
      <x v="208"/>
    </i>
    <i>
      <x v="235"/>
    </i>
    <i>
      <x v="239"/>
    </i>
    <i>
      <x v="279"/>
    </i>
    <i>
      <x v="291"/>
    </i>
    <i>
      <x v="294"/>
    </i>
    <i t="grand">
      <x/>
    </i>
  </rowItems>
  <colItems count="1">
    <i/>
  </colItems>
  <pageFields count="1">
    <pageField fld="1" hier="-1"/>
  </pageFields>
  <dataFields count="1">
    <dataField name="Average of Clicks" fld="2" subtotal="average" baseField="0" baseItem="0"/>
  </dataFields>
  <formats count="23"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0" type="button" dataOnly="0" labelOnly="1" outline="0" axis="axisRow" fieldPosition="0"/>
    </format>
    <format dxfId="4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1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2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3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4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5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46">
      <pivotArea dataOnly="0" labelOnly="1" grandRow="1" outline="0" fieldPosition="0"/>
    </format>
    <format dxfId="47">
      <pivotArea dataOnly="0" labelOnly="1" outline="0" axis="axisValues" fieldPosition="0"/>
    </format>
    <format dxfId="48">
      <pivotArea field="1" type="button" dataOnly="0" labelOnly="1" outline="0" axis="axisPage" fieldPosition="0"/>
    </format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3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4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5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6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7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8">
      <pivotArea dataOnly="0" labelOnly="1" grandRow="1" outline="0" fieldPosition="0"/>
    </format>
    <format dxfId="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205B-9063-4A15-9426-0E445DE8B03A}">
  <dimension ref="A2:AI344"/>
  <sheetViews>
    <sheetView tabSelected="1" zoomScale="99" workbookViewId="0">
      <selection activeCell="B29" sqref="B29"/>
    </sheetView>
  </sheetViews>
  <sheetFormatPr defaultColWidth="11.42578125" defaultRowHeight="15" x14ac:dyDescent="0.25"/>
  <cols>
    <col min="1" max="1" width="19" customWidth="1"/>
    <col min="2" max="2" width="35.28515625" style="1" customWidth="1"/>
    <col min="5" max="5" width="36.42578125" customWidth="1"/>
    <col min="7" max="14" width="0" hidden="1" customWidth="1"/>
    <col min="15" max="15" width="1.42578125" hidden="1" customWidth="1"/>
    <col min="16" max="16" width="5.42578125" hidden="1" customWidth="1"/>
    <col min="17" max="17" width="0.140625" hidden="1" customWidth="1"/>
    <col min="18" max="18" width="12.28515625" bestFit="1" customWidth="1"/>
    <col min="19" max="19" width="10.7109375" bestFit="1" customWidth="1"/>
    <col min="20" max="20" width="11.85546875" bestFit="1" customWidth="1"/>
    <col min="21" max="21" width="15.140625" bestFit="1" customWidth="1"/>
    <col min="22" max="22" width="15.140625" customWidth="1"/>
    <col min="23" max="23" width="11.85546875" bestFit="1" customWidth="1"/>
    <col min="24" max="24" width="15.140625" hidden="1" customWidth="1"/>
    <col min="25" max="25" width="27.28515625" hidden="1" customWidth="1"/>
    <col min="26" max="26" width="11.85546875" hidden="1" customWidth="1"/>
    <col min="27" max="27" width="12.140625" bestFit="1" customWidth="1"/>
    <col min="28" max="28" width="20" bestFit="1" customWidth="1"/>
    <col min="29" max="29" width="18.140625" customWidth="1"/>
    <col min="30" max="30" width="19.28515625" hidden="1" customWidth="1"/>
    <col min="31" max="31" width="21.140625" hidden="1" customWidth="1"/>
    <col min="32" max="32" width="32.42578125" hidden="1" customWidth="1"/>
    <col min="33" max="33" width="19.28515625" bestFit="1" customWidth="1"/>
    <col min="34" max="34" width="35.42578125" bestFit="1" customWidth="1"/>
    <col min="35" max="35" width="32.7109375" customWidth="1"/>
    <col min="36" max="36" width="15.140625" bestFit="1" customWidth="1"/>
    <col min="37" max="37" width="14.85546875" bestFit="1" customWidth="1"/>
    <col min="38" max="38" width="16" bestFit="1" customWidth="1"/>
    <col min="39" max="39" width="19.42578125" bestFit="1" customWidth="1"/>
  </cols>
  <sheetData>
    <row r="2" spans="1:35" ht="24.95" customHeight="1" x14ac:dyDescent="0.35">
      <c r="D2" s="2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AD2" s="3" t="s">
        <v>1</v>
      </c>
      <c r="AE2" s="4"/>
      <c r="AF2" s="4"/>
    </row>
    <row r="3" spans="1:35" ht="38.1" customHeight="1" x14ac:dyDescent="0.25">
      <c r="AA3" s="5" t="s">
        <v>2</v>
      </c>
      <c r="AB3" s="5"/>
      <c r="AC3" s="6"/>
      <c r="AD3" s="7" t="s">
        <v>3</v>
      </c>
      <c r="AE3" s="7" t="str" cm="1">
        <f t="array" ref="AE3:AE342">_xlfn.TAKE('[1]Posts(Task1)'!O:O,340,1)</f>
        <v>Engagement rate per Post</v>
      </c>
      <c r="AF3" s="7" t="s">
        <v>4</v>
      </c>
    </row>
    <row r="4" spans="1:35" x14ac:dyDescent="0.25">
      <c r="AA4" s="7" t="s">
        <v>3</v>
      </c>
      <c r="AB4" s="9" t="s">
        <v>5</v>
      </c>
      <c r="AD4" s="8" t="s">
        <v>6</v>
      </c>
      <c r="AE4" s="8">
        <v>9.0759753593429152E-2</v>
      </c>
      <c r="AF4" s="9" t="str" cm="1">
        <f t="array" ref="AF4">_xlfn.IFS(AE4&gt;=0.4, "Top Performer",AE4&gt;=0.2,"Medium Performer",AE4&lt;0.2, "Least Performer")</f>
        <v>Least Performer</v>
      </c>
      <c r="AG4" s="10" t="s">
        <v>7</v>
      </c>
      <c r="AH4" s="10"/>
      <c r="AI4" s="10"/>
    </row>
    <row r="5" spans="1:35" x14ac:dyDescent="0.25">
      <c r="A5" s="10" t="s">
        <v>8</v>
      </c>
      <c r="B5" s="10"/>
      <c r="D5" s="10" t="s">
        <v>9</v>
      </c>
      <c r="E5" s="10"/>
      <c r="R5" s="10" t="s">
        <v>10</v>
      </c>
      <c r="S5" s="10"/>
      <c r="T5" s="10"/>
      <c r="U5" s="10"/>
      <c r="V5" s="11"/>
      <c r="X5" s="12" t="s">
        <v>11</v>
      </c>
      <c r="Y5" s="13" t="s">
        <v>3</v>
      </c>
      <c r="Z5" s="13" t="s">
        <v>12</v>
      </c>
      <c r="AA5" s="9"/>
      <c r="AB5" s="9"/>
      <c r="AD5" s="8" t="s">
        <v>5</v>
      </c>
      <c r="AE5" s="8">
        <v>9.0759753593429152E-2</v>
      </c>
      <c r="AF5" s="9" t="str" cm="1">
        <f t="array" ref="AF5">_xlfn.IFS(AE5&gt;=0.4, "Top Performer",AE5&gt;=0.2,"Medium Performer",AE5&lt;0.2, "Least Performer")</f>
        <v>Least Performer</v>
      </c>
      <c r="AG5" s="10"/>
      <c r="AH5" s="10"/>
      <c r="AI5" s="10"/>
    </row>
    <row r="6" spans="1:35" x14ac:dyDescent="0.25">
      <c r="A6" s="7" t="str" cm="1">
        <f t="array" ref="A6:A10">_xlfn.UNIQUE('[1]Engagement Summary(Task1)'!B1:B201)</f>
        <v>Platform</v>
      </c>
      <c r="B6" s="14" t="s">
        <v>13</v>
      </c>
      <c r="D6" s="15" t="str" cm="1">
        <f t="array" ref="D6:D307">_xlfn.UNIQUE('[1]Posts(Task1)'!A:A)</f>
        <v>Post ID</v>
      </c>
      <c r="E6" s="16" t="str" cm="1">
        <f t="array" ref="E6:E307">_xlfn.UNIQUE('[1]Posts(Task1)'!O:O)</f>
        <v>Engagement rate per Post</v>
      </c>
      <c r="G6" s="7" t="str" cm="1">
        <f t="array" ref="G6:Q306">_xlfn.UNIQUE([1]!Posts[[#All],[Post ID]:[Clicks]])</f>
        <v>Post ID</v>
      </c>
      <c r="H6" s="7" t="str">
        <v>Platform</v>
      </c>
      <c r="I6" s="7" t="str">
        <v>Date</v>
      </c>
      <c r="J6" s="7" t="str">
        <v>Content Type</v>
      </c>
      <c r="K6" s="7" t="str">
        <v>Post Text</v>
      </c>
      <c r="L6" s="7" t="str">
        <v>Likes</v>
      </c>
      <c r="M6" s="7" t="str">
        <v>Shares</v>
      </c>
      <c r="N6" s="7" t="str">
        <v>Comments</v>
      </c>
      <c r="O6" s="7" t="str">
        <v>Impressions</v>
      </c>
      <c r="P6" s="7" t="str">
        <v>Reach</v>
      </c>
      <c r="Q6" s="17" t="str">
        <v>Clicks</v>
      </c>
      <c r="R6" s="9" t="s">
        <v>14</v>
      </c>
      <c r="S6" s="9" t="s">
        <v>15</v>
      </c>
      <c r="T6" s="9" t="s">
        <v>16</v>
      </c>
      <c r="U6" s="9" t="s">
        <v>17</v>
      </c>
      <c r="V6" s="19" t="s">
        <v>18</v>
      </c>
      <c r="X6" s="20" t="s">
        <v>19</v>
      </c>
      <c r="Y6" s="21" t="s">
        <v>6</v>
      </c>
      <c r="Z6" s="21">
        <v>15</v>
      </c>
      <c r="AA6" s="9" t="s">
        <v>11</v>
      </c>
      <c r="AB6" s="9" t="s">
        <v>20</v>
      </c>
      <c r="AD6" s="8" t="s">
        <v>21</v>
      </c>
      <c r="AE6" s="8">
        <v>7.6097681302417369E-2</v>
      </c>
      <c r="AF6" s="9" t="str" cm="1">
        <f t="array" ref="AF6">_xlfn.IFS(AE6&gt;=0.4, "Top Performer",AE6&gt;=0.2,"Medium Performer",AE6&lt;0.2, "Least Performer")</f>
        <v>Least Performer</v>
      </c>
      <c r="AG6" s="9" t="s">
        <v>22</v>
      </c>
      <c r="AH6" s="9" t="s">
        <v>23</v>
      </c>
      <c r="AI6" s="22" t="s">
        <v>4</v>
      </c>
    </row>
    <row r="7" spans="1:35" x14ac:dyDescent="0.25">
      <c r="A7" s="9" t="str">
        <v>Facebook</v>
      </c>
      <c r="B7" s="23">
        <f ca="1">AVERAGEIF('[1]Engagement Summary(Task1)'!$B$2:$F$201,'Engagement Analysis'!A7,'[1]Engagement Summary(Task1)'!$F$2:$F$201)</f>
        <v>5.6485999999999995E-2</v>
      </c>
      <c r="D7" s="9" t="str">
        <v>P001</v>
      </c>
      <c r="E7" s="9">
        <v>9.0759753593429152E-2</v>
      </c>
      <c r="G7" s="9" t="str">
        <v>P001</v>
      </c>
      <c r="H7" s="9" t="str">
        <v>Twitter</v>
      </c>
      <c r="I7" s="9">
        <v>45649</v>
      </c>
      <c r="J7" s="9" t="str">
        <v>Reel</v>
      </c>
      <c r="K7" s="9" t="str">
        <v>Check out our latest reel on twitter!</v>
      </c>
      <c r="L7" s="9">
        <v>1461</v>
      </c>
      <c r="M7" s="9">
        <v>184</v>
      </c>
      <c r="N7" s="9">
        <v>344</v>
      </c>
      <c r="O7" s="9">
        <v>21915</v>
      </c>
      <c r="P7" s="9">
        <v>21675</v>
      </c>
      <c r="Q7" s="18">
        <v>15</v>
      </c>
      <c r="R7" s="24" t="s">
        <v>24</v>
      </c>
      <c r="S7" s="9">
        <v>242761</v>
      </c>
      <c r="T7" s="9">
        <v>39181</v>
      </c>
      <c r="U7" s="9">
        <v>23300</v>
      </c>
      <c r="V7" s="7">
        <f>GETPIVOTDATA("Sum of Likes",$R$6,"Platform","Facebook")+GETPIVOTDATA("Sum of Shares",$R$6,"Platform","Facebook")+GETPIVOTDATA("Sum of Comments",$R$6,"Platform","Facebook")</f>
        <v>305242</v>
      </c>
      <c r="X7" s="25" t="s">
        <v>19</v>
      </c>
      <c r="Y7" s="26" t="s">
        <v>5</v>
      </c>
      <c r="Z7" s="26">
        <v>15</v>
      </c>
      <c r="AA7" s="24" t="s">
        <v>19</v>
      </c>
      <c r="AB7" s="9">
        <v>15</v>
      </c>
      <c r="AD7" s="8" t="s">
        <v>25</v>
      </c>
      <c r="AE7" s="8">
        <v>7.6097681302417369E-2</v>
      </c>
      <c r="AF7" s="9" t="str" cm="1">
        <f t="array" ref="AF7">_xlfn.IFS(AE7&gt;=0.4, "Top Performer",AE7&gt;=0.2,"Medium Performer",AE7&lt;0.2, "Least Performer")</f>
        <v>Least Performer</v>
      </c>
      <c r="AG7" s="24" t="s">
        <v>5</v>
      </c>
      <c r="AH7" s="23">
        <v>3.5640298797159471E-2</v>
      </c>
      <c r="AI7" s="8" t="s">
        <v>26</v>
      </c>
    </row>
    <row r="8" spans="1:35" x14ac:dyDescent="0.25">
      <c r="A8" s="9" t="str">
        <v>Instagram</v>
      </c>
      <c r="B8" s="23">
        <f ca="1">AVERAGEIF('[1]Engagement Summary(Task1)'!$B$2:$F$201,'Engagement Analysis'!A8,'[1]Engagement Summary(Task1)'!$F$2:$F$201)</f>
        <v>5.7155999999999992E-2</v>
      </c>
      <c r="D8" s="9" t="str">
        <v>P002</v>
      </c>
      <c r="E8">
        <v>7.6097681302417369E-2</v>
      </c>
      <c r="G8" s="9" t="str">
        <v>P002</v>
      </c>
      <c r="H8" s="9" t="str">
        <v>Twitter</v>
      </c>
      <c r="I8" s="9">
        <v>45750</v>
      </c>
      <c r="J8" s="9" t="str">
        <v>Text</v>
      </c>
      <c r="K8" s="9" t="str">
        <v>Check out our latest text on twitter!</v>
      </c>
      <c r="L8" s="9">
        <v>4054</v>
      </c>
      <c r="M8" s="9">
        <v>389</v>
      </c>
      <c r="N8" s="9">
        <v>493</v>
      </c>
      <c r="O8" s="9">
        <v>64864</v>
      </c>
      <c r="P8" s="9">
        <v>64383</v>
      </c>
      <c r="Q8" s="18">
        <v>117</v>
      </c>
      <c r="R8" s="27" t="s">
        <v>27</v>
      </c>
      <c r="S8" s="9">
        <v>44476</v>
      </c>
      <c r="T8" s="9">
        <v>7400</v>
      </c>
      <c r="U8" s="9">
        <v>4589</v>
      </c>
      <c r="V8" s="9">
        <f xml:space="preserve"> S8+T8+U8</f>
        <v>56465</v>
      </c>
      <c r="X8" s="20" t="s">
        <v>28</v>
      </c>
      <c r="Y8" s="21" t="s">
        <v>21</v>
      </c>
      <c r="Z8" s="21">
        <v>117</v>
      </c>
      <c r="AA8" s="24" t="s">
        <v>29</v>
      </c>
      <c r="AB8" s="9">
        <v>225</v>
      </c>
      <c r="AD8" s="8" t="s">
        <v>21</v>
      </c>
      <c r="AE8" s="8">
        <v>5.5531494209584788E-2</v>
      </c>
      <c r="AF8" s="9" t="str" cm="1">
        <f t="array" ref="AF8">_xlfn.IFS(AE8&gt;=0.4, "Top Performer",AE8&gt;=0.2,"Medium Performer",AE8&lt;0.2, "Least Performer")</f>
        <v>Least Performer</v>
      </c>
      <c r="AG8" s="24" t="s">
        <v>25</v>
      </c>
      <c r="AH8" s="23">
        <v>1.7995064166631974E-2</v>
      </c>
      <c r="AI8" s="9" t="str" cm="1">
        <f t="array" ref="AI8">_xlfn.IFS(AH8&gt;30%,"TOP",AH8&gt;25%,"MEDIUM", AH8&lt;10%,"LEAST")</f>
        <v>LEAST</v>
      </c>
    </row>
    <row r="9" spans="1:35" x14ac:dyDescent="0.25">
      <c r="A9" s="9" t="str">
        <v>Twitter</v>
      </c>
      <c r="B9" s="23">
        <f ca="1">AVERAGEIF('[1]Engagement Summary(Task1)'!$B$2:$F$201,'Engagement Analysis'!A9,'[1]Engagement Summary(Task1)'!$F$2:$F$201)</f>
        <v>5.6557999999999983E-2</v>
      </c>
      <c r="D9" s="9" t="str">
        <v>P003</v>
      </c>
      <c r="E9" s="9">
        <v>5.5531494209584788E-2</v>
      </c>
      <c r="G9" s="9" t="str">
        <v>P003</v>
      </c>
      <c r="H9" s="9" t="str">
        <v>YouTube</v>
      </c>
      <c r="I9" s="9">
        <v>45789</v>
      </c>
      <c r="J9" s="9" t="str">
        <v>Reel</v>
      </c>
      <c r="K9" s="9" t="str">
        <v>Check out our latest reel on youtube!</v>
      </c>
      <c r="L9" s="9">
        <v>2795</v>
      </c>
      <c r="M9" s="9">
        <v>105</v>
      </c>
      <c r="N9" s="9">
        <v>49</v>
      </c>
      <c r="O9" s="9">
        <v>53105</v>
      </c>
      <c r="P9" s="9">
        <v>52307</v>
      </c>
      <c r="Q9" s="18">
        <v>204</v>
      </c>
      <c r="R9" s="28" t="s">
        <v>30</v>
      </c>
      <c r="S9" s="29">
        <v>71602</v>
      </c>
      <c r="T9" s="29">
        <v>12904</v>
      </c>
      <c r="U9" s="29">
        <v>6495</v>
      </c>
      <c r="V9" s="29">
        <f t="shared" ref="V9:V35" si="0" xml:space="preserve"> S9+T9+U9</f>
        <v>91001</v>
      </c>
      <c r="X9" s="25" t="s">
        <v>28</v>
      </c>
      <c r="Y9" s="26" t="s">
        <v>25</v>
      </c>
      <c r="Z9" s="26">
        <v>117</v>
      </c>
      <c r="AA9" s="24" t="s">
        <v>31</v>
      </c>
      <c r="AB9" s="9">
        <v>84</v>
      </c>
      <c r="AD9" s="8" t="s">
        <v>32</v>
      </c>
      <c r="AE9" s="8">
        <v>0.15105033277870217</v>
      </c>
      <c r="AF9" s="9" t="str" cm="1">
        <f t="array" ref="AF9">_xlfn.IFS(AE9&gt;=0.4, "Top Performer",AE9&gt;=0.2,"Medium Performer",AE9&lt;0.2, "Least Performer")</f>
        <v>Least Performer</v>
      </c>
      <c r="AG9" s="24" t="s">
        <v>6</v>
      </c>
      <c r="AH9" s="23">
        <v>0.2970403122898635</v>
      </c>
      <c r="AI9" s="9" t="str" cm="1">
        <f t="array" ref="AI9">_xlfn.IFS(AH9&gt;30%,"TOP",AH9&gt;25%,"MEDIUM", AH9&lt;10%,"LEAST")</f>
        <v>MEDIUM</v>
      </c>
    </row>
    <row r="10" spans="1:35" x14ac:dyDescent="0.25">
      <c r="A10" s="9" t="str">
        <v>YouTube</v>
      </c>
      <c r="B10" s="23">
        <f ca="1">AVERAGEIF('[1]Engagement Summary(Task1)'!$B$2:$F$201,'Engagement Analysis'!A10,'[1]Engagement Summary(Task1)'!$F$2:$F$201)</f>
        <v>5.5587999999999978E-2</v>
      </c>
      <c r="D10" s="9" t="str">
        <v>P004</v>
      </c>
      <c r="E10" s="9">
        <v>0.15105033277870217</v>
      </c>
      <c r="G10" s="9" t="str">
        <v>P004</v>
      </c>
      <c r="H10" s="9" t="str">
        <v>Instagram</v>
      </c>
      <c r="I10" s="9">
        <v>45516</v>
      </c>
      <c r="J10" s="9" t="str">
        <v>Story</v>
      </c>
      <c r="K10" s="9" t="str">
        <v>Check out our latest story on instagram!</v>
      </c>
      <c r="L10" s="9">
        <v>2404</v>
      </c>
      <c r="M10" s="9">
        <v>363</v>
      </c>
      <c r="N10" s="9">
        <v>138</v>
      </c>
      <c r="O10" s="9">
        <v>19232</v>
      </c>
      <c r="P10" s="9">
        <v>18636</v>
      </c>
      <c r="Q10" s="18">
        <v>128</v>
      </c>
      <c r="R10" s="27" t="s">
        <v>33</v>
      </c>
      <c r="S10" s="9">
        <v>36368</v>
      </c>
      <c r="T10" s="9">
        <v>5964</v>
      </c>
      <c r="U10" s="9">
        <v>3353</v>
      </c>
      <c r="V10" s="9">
        <f t="shared" si="0"/>
        <v>45685</v>
      </c>
      <c r="X10" s="20" t="s">
        <v>34</v>
      </c>
      <c r="Y10" s="21" t="s">
        <v>21</v>
      </c>
      <c r="Z10" s="21">
        <v>204</v>
      </c>
      <c r="AA10" s="24" t="s">
        <v>35</v>
      </c>
      <c r="AB10" s="9">
        <v>200</v>
      </c>
      <c r="AD10" s="8" t="s">
        <v>32</v>
      </c>
      <c r="AE10" s="8">
        <v>6.5617093055946027E-2</v>
      </c>
      <c r="AF10" s="9" t="str" cm="1">
        <f t="array" ref="AF10">_xlfn.IFS(AE10&gt;=0.4, "Top Performer",AE10&gt;=0.2,"Medium Performer",AE10&lt;0.2, "Least Performer")</f>
        <v>Least Performer</v>
      </c>
      <c r="AG10" s="30" t="s">
        <v>21</v>
      </c>
      <c r="AH10" s="31">
        <v>0.31714220243241636</v>
      </c>
      <c r="AI10" s="32" t="str" cm="1">
        <f t="array" ref="AI10">_xlfn.IFS(AH10&gt;30%,"TOP",AH10&gt;25%,"MEDIUM", AH10&lt;10%,"LEAST")</f>
        <v>TOP</v>
      </c>
    </row>
    <row r="11" spans="1:35" x14ac:dyDescent="0.25">
      <c r="D11" s="9" t="str">
        <v>P005</v>
      </c>
      <c r="E11" s="9">
        <v>6.5617093055946027E-2</v>
      </c>
      <c r="G11" s="9" t="str">
        <v>P005</v>
      </c>
      <c r="H11" s="9" t="str">
        <v>YouTube</v>
      </c>
      <c r="I11" s="9">
        <v>45469</v>
      </c>
      <c r="J11" s="9" t="str">
        <v>Reel</v>
      </c>
      <c r="K11" s="9" t="str">
        <v>Check out our latest reel on youtube!</v>
      </c>
      <c r="L11" s="9">
        <v>3557</v>
      </c>
      <c r="M11" s="9">
        <v>687</v>
      </c>
      <c r="N11" s="9">
        <v>424</v>
      </c>
      <c r="O11" s="9">
        <v>71140</v>
      </c>
      <c r="P11" s="9">
        <v>70701</v>
      </c>
      <c r="Q11" s="18">
        <v>224</v>
      </c>
      <c r="R11" s="27" t="s">
        <v>36</v>
      </c>
      <c r="S11" s="9">
        <v>29405</v>
      </c>
      <c r="T11" s="9">
        <v>4950</v>
      </c>
      <c r="U11" s="9">
        <v>3223</v>
      </c>
      <c r="V11" s="9">
        <f t="shared" si="0"/>
        <v>37578</v>
      </c>
      <c r="X11" s="25" t="s">
        <v>37</v>
      </c>
      <c r="Y11" s="26" t="s">
        <v>32</v>
      </c>
      <c r="Z11" s="26">
        <v>128</v>
      </c>
      <c r="AA11" s="24" t="s">
        <v>38</v>
      </c>
      <c r="AB11" s="9">
        <v>36</v>
      </c>
      <c r="AD11" s="8" t="s">
        <v>21</v>
      </c>
      <c r="AE11" s="8">
        <v>6.5617093055946027E-2</v>
      </c>
      <c r="AF11" s="9" t="str" cm="1">
        <f t="array" ref="AF11">_xlfn.IFS(AE11&gt;=0.4, "Top Performer",AE11&gt;=0.2,"Medium Performer",AE11&lt;0.2, "Least Performer")</f>
        <v>Least Performer</v>
      </c>
      <c r="AG11" s="24" t="s">
        <v>39</v>
      </c>
      <c r="AH11" s="23">
        <v>1.1722543168648202E-2</v>
      </c>
      <c r="AI11" s="9" t="str" cm="1">
        <f t="array" ref="AI11">_xlfn.IFS(AH11&gt;30%,"TOP",AH11&gt;25%,"MEDIUM", AH11&lt;10%,"LEAST")</f>
        <v>LEAST</v>
      </c>
    </row>
    <row r="12" spans="1:35" x14ac:dyDescent="0.25">
      <c r="D12" s="9" t="str">
        <v>P006</v>
      </c>
      <c r="E12" s="9">
        <v>0.17954159592529711</v>
      </c>
      <c r="G12" s="9" t="str">
        <v>P006</v>
      </c>
      <c r="H12" s="9" t="str">
        <v>Facebook</v>
      </c>
      <c r="I12" s="9">
        <v>45596</v>
      </c>
      <c r="J12" s="9" t="str">
        <v>Carousel</v>
      </c>
      <c r="K12" s="9" t="str">
        <v>Check out our latest carousel on facebook!</v>
      </c>
      <c r="L12" s="9">
        <v>2945</v>
      </c>
      <c r="M12" s="9">
        <v>930</v>
      </c>
      <c r="N12" s="9">
        <v>355</v>
      </c>
      <c r="O12" s="9">
        <v>23560</v>
      </c>
      <c r="P12" s="9">
        <v>23275</v>
      </c>
      <c r="Q12" s="18">
        <v>256</v>
      </c>
      <c r="R12" s="27" t="s">
        <v>40</v>
      </c>
      <c r="S12" s="9">
        <v>31963</v>
      </c>
      <c r="T12" s="9">
        <v>4792</v>
      </c>
      <c r="U12" s="9">
        <v>3377</v>
      </c>
      <c r="V12" s="9">
        <f t="shared" si="0"/>
        <v>40132</v>
      </c>
      <c r="X12" s="20" t="s">
        <v>41</v>
      </c>
      <c r="Y12" s="21" t="s">
        <v>32</v>
      </c>
      <c r="Z12" s="21">
        <v>224</v>
      </c>
      <c r="AA12" s="24" t="s">
        <v>42</v>
      </c>
      <c r="AB12" s="9">
        <v>242</v>
      </c>
      <c r="AD12" s="8" t="s">
        <v>21</v>
      </c>
      <c r="AE12" s="8">
        <v>0.17954159592529711</v>
      </c>
      <c r="AF12" s="9" t="str" cm="1">
        <f t="array" ref="AF12">_xlfn.IFS(AE12&gt;=0.4, "Top Performer",AE12&gt;=0.2,"Medium Performer",AE12&lt;0.2, "Least Performer")</f>
        <v>Least Performer</v>
      </c>
      <c r="AG12" s="30" t="s">
        <v>32</v>
      </c>
      <c r="AH12" s="31">
        <v>0.3204595791452805</v>
      </c>
      <c r="AI12" s="32" t="str" cm="1">
        <f t="array" ref="AI12">_xlfn.IFS(AH12&gt;30%,"TOP",AH12&gt;25%,"MEDIUM", AH12&lt;10%,"LEAST")</f>
        <v>TOP</v>
      </c>
    </row>
    <row r="13" spans="1:35" x14ac:dyDescent="0.25">
      <c r="D13" s="9" t="str">
        <v>P007</v>
      </c>
      <c r="E13" s="9">
        <v>7.0272020725388601E-2</v>
      </c>
      <c r="G13" s="9" t="str">
        <v>P007</v>
      </c>
      <c r="H13" s="9" t="str">
        <v>Twitter</v>
      </c>
      <c r="I13" s="9">
        <v>45467</v>
      </c>
      <c r="J13" s="9" t="str">
        <v>Carousel</v>
      </c>
      <c r="K13" s="9" t="str">
        <v>Check out our latest carousel on twitter!</v>
      </c>
      <c r="L13" s="9">
        <v>3860</v>
      </c>
      <c r="M13" s="9">
        <v>201</v>
      </c>
      <c r="N13" s="9">
        <v>279</v>
      </c>
      <c r="O13" s="9">
        <v>61760</v>
      </c>
      <c r="P13" s="9">
        <v>61660</v>
      </c>
      <c r="Q13" s="18">
        <v>235</v>
      </c>
      <c r="R13" s="27" t="s">
        <v>43</v>
      </c>
      <c r="S13" s="9">
        <v>28947</v>
      </c>
      <c r="T13" s="9">
        <v>3171</v>
      </c>
      <c r="U13" s="9">
        <v>2263</v>
      </c>
      <c r="V13" s="9">
        <f t="shared" si="0"/>
        <v>34381</v>
      </c>
      <c r="X13" s="25" t="s">
        <v>41</v>
      </c>
      <c r="Y13" s="26" t="s">
        <v>21</v>
      </c>
      <c r="Z13" s="26">
        <v>224</v>
      </c>
      <c r="AA13" s="24" t="s">
        <v>44</v>
      </c>
      <c r="AB13" s="9">
        <v>200</v>
      </c>
      <c r="AD13" s="8" t="s">
        <v>21</v>
      </c>
      <c r="AE13" s="8">
        <v>7.0272020725388601E-2</v>
      </c>
      <c r="AF13" s="9" t="str" cm="1">
        <f t="array" ref="AF13">_xlfn.IFS(AE13&gt;=0.4, "Top Performer",AE13&gt;=0.2,"Medium Performer",AE13&lt;0.2, "Least Performer")</f>
        <v>Least Performer</v>
      </c>
      <c r="AG13" s="24" t="s">
        <v>45</v>
      </c>
      <c r="AH13" s="23">
        <v>1</v>
      </c>
      <c r="AI13" s="9"/>
    </row>
    <row r="14" spans="1:35" x14ac:dyDescent="0.25">
      <c r="D14" s="9" t="str">
        <v>P008</v>
      </c>
      <c r="E14" s="9">
        <v>0.10340359564080613</v>
      </c>
      <c r="G14" s="9" t="str">
        <v>P008</v>
      </c>
      <c r="H14" s="9" t="str">
        <v>YouTube</v>
      </c>
      <c r="I14" s="9">
        <v>45486</v>
      </c>
      <c r="J14" s="9" t="str">
        <v>Image</v>
      </c>
      <c r="K14" s="9" t="str">
        <v>Check out our latest image on youtube!</v>
      </c>
      <c r="L14" s="9">
        <v>3929</v>
      </c>
      <c r="M14" s="9">
        <v>262</v>
      </c>
      <c r="N14" s="9">
        <v>278</v>
      </c>
      <c r="O14" s="9">
        <v>43219</v>
      </c>
      <c r="P14" s="9">
        <v>42841</v>
      </c>
      <c r="Q14" s="18">
        <v>39</v>
      </c>
      <c r="R14" s="24" t="s">
        <v>46</v>
      </c>
      <c r="S14" s="9">
        <v>204284</v>
      </c>
      <c r="T14" s="9">
        <v>41444</v>
      </c>
      <c r="U14" s="9">
        <v>17851</v>
      </c>
      <c r="V14" s="7">
        <f t="shared" si="0"/>
        <v>263579</v>
      </c>
      <c r="X14" s="20" t="s">
        <v>47</v>
      </c>
      <c r="Y14" s="21" t="s">
        <v>21</v>
      </c>
      <c r="Z14" s="21">
        <v>256</v>
      </c>
      <c r="AA14" s="24" t="s">
        <v>48</v>
      </c>
      <c r="AB14" s="9">
        <v>169</v>
      </c>
      <c r="AD14" s="8" t="s">
        <v>32</v>
      </c>
      <c r="AE14" s="8">
        <v>0.10340359564080613</v>
      </c>
      <c r="AF14" s="9" t="str" cm="1">
        <f t="array" ref="AF14">_xlfn.IFS(AE14&gt;=0.4, "Top Performer",AE14&gt;=0.2,"Medium Performer",AE14&lt;0.2, "Least Performer")</f>
        <v>Least Performer</v>
      </c>
    </row>
    <row r="15" spans="1:35" x14ac:dyDescent="0.25">
      <c r="A15" s="33" t="s">
        <v>49</v>
      </c>
      <c r="B15" s="33"/>
      <c r="D15" s="9" t="str">
        <v>P009</v>
      </c>
      <c r="E15" s="9">
        <v>8.8019732205778717E-2</v>
      </c>
      <c r="G15" s="9" t="str">
        <v>P009</v>
      </c>
      <c r="H15" s="9" t="str">
        <v>Facebook</v>
      </c>
      <c r="I15" s="9">
        <v>45534</v>
      </c>
      <c r="J15" s="9" t="str">
        <v>Text</v>
      </c>
      <c r="K15" s="9" t="str">
        <v>Check out our latest text on facebook!</v>
      </c>
      <c r="L15" s="9">
        <v>3784</v>
      </c>
      <c r="M15" s="9">
        <v>808</v>
      </c>
      <c r="N15" s="9">
        <v>404</v>
      </c>
      <c r="O15" s="9">
        <v>56760</v>
      </c>
      <c r="P15" s="9">
        <v>56343</v>
      </c>
      <c r="Q15" s="18">
        <v>131</v>
      </c>
      <c r="R15" s="27" t="s">
        <v>27</v>
      </c>
      <c r="S15" s="9">
        <v>43948</v>
      </c>
      <c r="T15" s="9">
        <v>6975</v>
      </c>
      <c r="U15" s="9">
        <v>3890</v>
      </c>
      <c r="V15" s="9">
        <f t="shared" si="0"/>
        <v>54813</v>
      </c>
      <c r="X15" s="25" t="s">
        <v>50</v>
      </c>
      <c r="Y15" s="26" t="s">
        <v>21</v>
      </c>
      <c r="Z15" s="26">
        <v>235</v>
      </c>
      <c r="AA15" s="24" t="s">
        <v>51</v>
      </c>
      <c r="AB15" s="9">
        <v>282</v>
      </c>
      <c r="AD15" s="8" t="s">
        <v>21</v>
      </c>
      <c r="AE15" s="8">
        <v>8.8019732205778717E-2</v>
      </c>
      <c r="AF15" s="9" t="str" cm="1">
        <f t="array" ref="AF15">_xlfn.IFS(AE15&gt;=0.4, "Top Performer",AE15&gt;=0.2,"Medium Performer",AE15&lt;0.2, "Least Performer")</f>
        <v>Least Performer</v>
      </c>
    </row>
    <row r="16" spans="1:35" x14ac:dyDescent="0.25">
      <c r="A16" s="34" t="s">
        <v>52</v>
      </c>
      <c r="B16" s="35" t="s">
        <v>53</v>
      </c>
      <c r="D16" s="9" t="str">
        <v>P010</v>
      </c>
      <c r="E16" s="9">
        <v>7.198635172059864E-2</v>
      </c>
      <c r="G16" s="9" t="str">
        <v>P010</v>
      </c>
      <c r="H16" s="9" t="str">
        <v>Facebook</v>
      </c>
      <c r="I16" s="9">
        <v>45727</v>
      </c>
      <c r="J16" s="9" t="str">
        <v>Image</v>
      </c>
      <c r="K16" s="9" t="str">
        <v>Check out our latest image on facebook!</v>
      </c>
      <c r="L16" s="9">
        <v>4241</v>
      </c>
      <c r="M16" s="9">
        <v>902</v>
      </c>
      <c r="N16" s="9">
        <v>47</v>
      </c>
      <c r="O16" s="9">
        <v>72097</v>
      </c>
      <c r="P16" s="9">
        <v>71598</v>
      </c>
      <c r="Q16" s="18">
        <v>167</v>
      </c>
      <c r="R16" s="27" t="s">
        <v>30</v>
      </c>
      <c r="S16" s="9">
        <v>34202</v>
      </c>
      <c r="T16" s="9">
        <v>5286</v>
      </c>
      <c r="U16" s="9">
        <v>2655</v>
      </c>
      <c r="V16" s="9">
        <f t="shared" si="0"/>
        <v>42143</v>
      </c>
      <c r="X16" s="20" t="s">
        <v>54</v>
      </c>
      <c r="Y16" s="21" t="s">
        <v>32</v>
      </c>
      <c r="Z16" s="21">
        <v>39</v>
      </c>
      <c r="AA16" s="24" t="s">
        <v>55</v>
      </c>
      <c r="AB16" s="9">
        <v>49</v>
      </c>
      <c r="AD16" s="8" t="s">
        <v>21</v>
      </c>
      <c r="AE16" s="8">
        <v>7.198635172059864E-2</v>
      </c>
      <c r="AF16" s="9" t="str" cm="1">
        <f t="array" ref="AF16">_xlfn.IFS(AE16&gt;=0.4, "Top Performer",AE16&gt;=0.2,"Medium Performer",AE16&lt;0.2, "Least Performer")</f>
        <v>Least Performer</v>
      </c>
    </row>
    <row r="17" spans="1:32" x14ac:dyDescent="0.25">
      <c r="A17" s="34"/>
      <c r="B17" s="36"/>
      <c r="D17" s="9" t="str">
        <v>P011</v>
      </c>
      <c r="E17" s="9">
        <v>0.11571269132653061</v>
      </c>
      <c r="G17" s="9" t="str">
        <v>P011</v>
      </c>
      <c r="H17" s="9" t="str">
        <v>Instagram</v>
      </c>
      <c r="I17" s="9">
        <v>45690</v>
      </c>
      <c r="J17" s="9" t="str">
        <v>Story</v>
      </c>
      <c r="K17" s="9" t="str">
        <v>Check out our latest story on instagram!</v>
      </c>
      <c r="L17" s="9">
        <v>1792</v>
      </c>
      <c r="M17" s="9">
        <v>614</v>
      </c>
      <c r="N17" s="9">
        <v>497</v>
      </c>
      <c r="O17" s="9">
        <v>25088</v>
      </c>
      <c r="P17" s="9">
        <v>24675</v>
      </c>
      <c r="Q17" s="18">
        <v>65</v>
      </c>
      <c r="R17" s="27" t="s">
        <v>33</v>
      </c>
      <c r="S17" s="9">
        <v>32148</v>
      </c>
      <c r="T17" s="9">
        <v>8110</v>
      </c>
      <c r="U17" s="9">
        <v>3386</v>
      </c>
      <c r="V17" s="9">
        <f t="shared" si="0"/>
        <v>43644</v>
      </c>
      <c r="X17" s="25" t="s">
        <v>56</v>
      </c>
      <c r="Y17" s="26" t="s">
        <v>21</v>
      </c>
      <c r="Z17" s="26">
        <v>131</v>
      </c>
      <c r="AA17" s="24" t="s">
        <v>57</v>
      </c>
      <c r="AB17" s="9">
        <v>194</v>
      </c>
      <c r="AD17" s="8" t="s">
        <v>6</v>
      </c>
      <c r="AE17" s="8">
        <v>0.11571269132653061</v>
      </c>
      <c r="AF17" s="9" t="str" cm="1">
        <f t="array" ref="AF17">_xlfn.IFS(AE17&gt;=0.4, "Top Performer",AE17&gt;=0.2,"Medium Performer",AE17&lt;0.2, "Least Performer")</f>
        <v>Least Performer</v>
      </c>
    </row>
    <row r="18" spans="1:32" x14ac:dyDescent="0.25">
      <c r="A18" s="34"/>
      <c r="B18" s="36"/>
      <c r="D18" s="9" t="str">
        <v>P012</v>
      </c>
      <c r="E18" s="9">
        <v>0.12885405960945528</v>
      </c>
      <c r="G18" s="9" t="str">
        <v>P012</v>
      </c>
      <c r="H18" s="9" t="str">
        <v>Facebook</v>
      </c>
      <c r="I18" s="9">
        <v>45494</v>
      </c>
      <c r="J18" s="9" t="str">
        <v>Reel</v>
      </c>
      <c r="K18" s="9" t="str">
        <v>Check out our latest reel on facebook!</v>
      </c>
      <c r="L18" s="9">
        <v>1946</v>
      </c>
      <c r="M18" s="9">
        <v>686</v>
      </c>
      <c r="N18" s="9">
        <v>377</v>
      </c>
      <c r="O18" s="9">
        <v>23352</v>
      </c>
      <c r="P18" s="9">
        <v>22982</v>
      </c>
      <c r="Q18" s="18">
        <v>213</v>
      </c>
      <c r="R18" s="28" t="s">
        <v>36</v>
      </c>
      <c r="S18" s="29">
        <v>42649</v>
      </c>
      <c r="T18" s="29">
        <v>10049</v>
      </c>
      <c r="U18" s="29">
        <v>3846</v>
      </c>
      <c r="V18" s="29">
        <f t="shared" si="0"/>
        <v>56544</v>
      </c>
      <c r="X18" s="20" t="s">
        <v>58</v>
      </c>
      <c r="Y18" s="21" t="s">
        <v>21</v>
      </c>
      <c r="Z18" s="21">
        <v>167</v>
      </c>
      <c r="AA18" s="24" t="s">
        <v>59</v>
      </c>
      <c r="AB18" s="9">
        <v>145</v>
      </c>
      <c r="AD18" s="8" t="s">
        <v>6</v>
      </c>
      <c r="AE18" s="8">
        <v>0.12885405960945528</v>
      </c>
      <c r="AF18" s="9" t="str" cm="1">
        <f t="array" ref="AF18">_xlfn.IFS(AE18&gt;=0.4, "Top Performer",AE18&gt;=0.2,"Medium Performer",AE18&lt;0.2, "Least Performer")</f>
        <v>Least Performer</v>
      </c>
    </row>
    <row r="19" spans="1:32" x14ac:dyDescent="0.25">
      <c r="A19" s="34"/>
      <c r="B19" s="36"/>
      <c r="D19" s="9" t="str">
        <v>P013</v>
      </c>
      <c r="E19" s="9">
        <v>7.5868578363072495E-2</v>
      </c>
      <c r="G19" s="9" t="str">
        <v>P013</v>
      </c>
      <c r="H19" s="9" t="str">
        <v>YouTube</v>
      </c>
      <c r="I19" s="9">
        <v>45614</v>
      </c>
      <c r="J19" s="9" t="str">
        <v>Carousel</v>
      </c>
      <c r="K19" s="9" t="str">
        <v>Check out our latest carousel on youtube!</v>
      </c>
      <c r="L19" s="9">
        <v>1171</v>
      </c>
      <c r="M19" s="9">
        <v>286</v>
      </c>
      <c r="N19" s="9">
        <v>231</v>
      </c>
      <c r="O19" s="9">
        <v>22249</v>
      </c>
      <c r="P19" s="9">
        <v>21282</v>
      </c>
      <c r="Q19" s="18">
        <v>114</v>
      </c>
      <c r="R19" s="27" t="s">
        <v>40</v>
      </c>
      <c r="S19" s="9">
        <v>25567</v>
      </c>
      <c r="T19" s="9">
        <v>5112</v>
      </c>
      <c r="U19" s="9">
        <v>1946</v>
      </c>
      <c r="V19" s="9">
        <f t="shared" si="0"/>
        <v>32625</v>
      </c>
      <c r="X19" s="25" t="s">
        <v>60</v>
      </c>
      <c r="Y19" s="26" t="s">
        <v>6</v>
      </c>
      <c r="Z19" s="26">
        <v>65</v>
      </c>
      <c r="AA19" s="24" t="s">
        <v>61</v>
      </c>
      <c r="AB19" s="9">
        <v>104</v>
      </c>
      <c r="AD19" s="8" t="s">
        <v>32</v>
      </c>
      <c r="AE19" s="8">
        <v>7.5868578363072495E-2</v>
      </c>
      <c r="AF19" s="9" t="str" cm="1">
        <f t="array" ref="AF19">_xlfn.IFS(AE19&gt;=0.4, "Top Performer",AE19&gt;=0.2,"Medium Performer",AE19&lt;0.2, "Least Performer")</f>
        <v>Least Performer</v>
      </c>
    </row>
    <row r="20" spans="1:32" x14ac:dyDescent="0.25">
      <c r="A20" s="34" t="s">
        <v>62</v>
      </c>
      <c r="B20" s="37" t="s">
        <v>63</v>
      </c>
      <c r="D20" s="9" t="str">
        <v>P014</v>
      </c>
      <c r="E20" s="9">
        <v>0.14521452145214522</v>
      </c>
      <c r="G20" s="9" t="str">
        <v>P014</v>
      </c>
      <c r="H20" s="9" t="str">
        <v>Facebook</v>
      </c>
      <c r="I20" s="9">
        <v>45704</v>
      </c>
      <c r="J20" s="9" t="str">
        <v>Story</v>
      </c>
      <c r="K20" s="9" t="str">
        <v>Check out our latest story on facebook!</v>
      </c>
      <c r="L20" s="9">
        <v>4242</v>
      </c>
      <c r="M20" s="9">
        <v>555</v>
      </c>
      <c r="N20" s="9">
        <v>131</v>
      </c>
      <c r="O20" s="9">
        <v>33936</v>
      </c>
      <c r="P20" s="9">
        <v>33802</v>
      </c>
      <c r="Q20" s="18">
        <v>265</v>
      </c>
      <c r="R20" s="27" t="s">
        <v>43</v>
      </c>
      <c r="S20" s="9">
        <v>25770</v>
      </c>
      <c r="T20" s="9">
        <v>5912</v>
      </c>
      <c r="U20" s="9">
        <v>2128</v>
      </c>
      <c r="V20" s="9">
        <f t="shared" si="0"/>
        <v>33810</v>
      </c>
      <c r="X20" s="20" t="s">
        <v>64</v>
      </c>
      <c r="Y20" s="21" t="s">
        <v>6</v>
      </c>
      <c r="Z20" s="21">
        <v>213</v>
      </c>
      <c r="AA20" s="24" t="s">
        <v>65</v>
      </c>
      <c r="AB20" s="9">
        <v>238</v>
      </c>
      <c r="AD20" s="8" t="s">
        <v>6</v>
      </c>
      <c r="AE20" s="8">
        <v>0.14521452145214522</v>
      </c>
      <c r="AF20" s="9" t="str" cm="1">
        <f t="array" ref="AF20">_xlfn.IFS(AE20&gt;=0.4, "Top Performer",AE20&gt;=0.2,"Medium Performer",AE20&lt;0.2, "Least Performer")</f>
        <v>Least Performer</v>
      </c>
    </row>
    <row r="21" spans="1:32" x14ac:dyDescent="0.25">
      <c r="A21" s="34"/>
      <c r="B21" s="37"/>
      <c r="D21" s="9" t="str">
        <v>P015</v>
      </c>
      <c r="E21" s="9">
        <v>5.941358024691358E-2</v>
      </c>
      <c r="G21" s="9" t="str">
        <v>P015</v>
      </c>
      <c r="H21" s="9" t="str">
        <v>Facebook</v>
      </c>
      <c r="I21" s="9">
        <v>45589</v>
      </c>
      <c r="J21" s="9" t="str">
        <v>Video</v>
      </c>
      <c r="K21" s="9" t="str">
        <v>Check out our latest video on facebook!</v>
      </c>
      <c r="L21" s="9">
        <v>3888</v>
      </c>
      <c r="M21" s="9">
        <v>604</v>
      </c>
      <c r="N21" s="9">
        <v>128</v>
      </c>
      <c r="O21" s="9">
        <v>77760</v>
      </c>
      <c r="P21" s="9">
        <v>77167</v>
      </c>
      <c r="Q21" s="18">
        <v>20</v>
      </c>
      <c r="R21" s="24" t="s">
        <v>66</v>
      </c>
      <c r="S21" s="9">
        <v>201397</v>
      </c>
      <c r="T21" s="9">
        <v>33728</v>
      </c>
      <c r="U21" s="9">
        <v>20880</v>
      </c>
      <c r="V21" s="7">
        <f t="shared" si="0"/>
        <v>256005</v>
      </c>
      <c r="X21" s="25" t="s">
        <v>67</v>
      </c>
      <c r="Y21" s="26" t="s">
        <v>32</v>
      </c>
      <c r="Z21" s="26">
        <v>114</v>
      </c>
      <c r="AA21" s="24" t="s">
        <v>68</v>
      </c>
      <c r="AB21" s="9">
        <v>235</v>
      </c>
      <c r="AD21" s="8" t="s">
        <v>6</v>
      </c>
      <c r="AE21" s="8">
        <v>5.941358024691358E-2</v>
      </c>
      <c r="AF21" s="9" t="str" cm="1">
        <f t="array" ref="AF21">_xlfn.IFS(AE21&gt;=0.4, "Top Performer",AE21&gt;=0.2,"Medium Performer",AE21&lt;0.2, "Least Performer")</f>
        <v>Least Performer</v>
      </c>
    </row>
    <row r="22" spans="1:32" x14ac:dyDescent="0.25">
      <c r="A22" s="38" t="s">
        <v>69</v>
      </c>
      <c r="B22" s="39" t="s">
        <v>70</v>
      </c>
      <c r="D22" s="9" t="str">
        <v>P016</v>
      </c>
      <c r="E22" s="9">
        <v>7.5843713789107758E-2</v>
      </c>
      <c r="G22" s="9" t="str">
        <v>P016</v>
      </c>
      <c r="H22" s="9" t="str">
        <v>Facebook</v>
      </c>
      <c r="I22" s="9">
        <v>45530</v>
      </c>
      <c r="J22" s="9" t="str">
        <v>Text</v>
      </c>
      <c r="K22" s="9" t="str">
        <v>Check out our latest text on facebook!</v>
      </c>
      <c r="L22" s="9">
        <v>3452</v>
      </c>
      <c r="M22" s="9">
        <v>377</v>
      </c>
      <c r="N22" s="9">
        <v>360</v>
      </c>
      <c r="O22" s="9">
        <v>55232</v>
      </c>
      <c r="P22" s="9">
        <v>55075</v>
      </c>
      <c r="Q22" s="18">
        <v>87</v>
      </c>
      <c r="R22" s="28" t="s">
        <v>27</v>
      </c>
      <c r="S22" s="29">
        <v>48649</v>
      </c>
      <c r="T22" s="29">
        <v>5791</v>
      </c>
      <c r="U22" s="29">
        <v>3607</v>
      </c>
      <c r="V22" s="29">
        <f t="shared" si="0"/>
        <v>58047</v>
      </c>
      <c r="X22" s="20" t="s">
        <v>71</v>
      </c>
      <c r="Y22" s="21" t="s">
        <v>6</v>
      </c>
      <c r="Z22" s="21">
        <v>265</v>
      </c>
      <c r="AA22" s="24" t="s">
        <v>45</v>
      </c>
      <c r="AB22" s="9">
        <v>161.19999999999999</v>
      </c>
      <c r="AD22" s="8" t="s">
        <v>6</v>
      </c>
      <c r="AE22" s="8">
        <v>7.5843713789107758E-2</v>
      </c>
      <c r="AF22" s="9" t="str" cm="1">
        <f t="array" ref="AF22">_xlfn.IFS(AE22&gt;=0.4, "Top Performer",AE22&gt;=0.2,"Medium Performer",AE22&lt;0.2, "Least Performer")</f>
        <v>Least Performer</v>
      </c>
    </row>
    <row r="23" spans="1:32" x14ac:dyDescent="0.25">
      <c r="D23" s="9" t="str">
        <v>P017</v>
      </c>
      <c r="E23" s="9">
        <v>9.4235532537716729E-2</v>
      </c>
      <c r="G23" s="9" t="str">
        <v>P017</v>
      </c>
      <c r="H23" s="9" t="str">
        <v>Facebook</v>
      </c>
      <c r="I23" s="9">
        <v>45782</v>
      </c>
      <c r="J23" s="9" t="str">
        <v>Text</v>
      </c>
      <c r="K23" s="9" t="str">
        <v>Check out our latest text on facebook!</v>
      </c>
      <c r="L23" s="9">
        <v>4441</v>
      </c>
      <c r="M23" s="9">
        <v>511</v>
      </c>
      <c r="N23" s="9">
        <v>70</v>
      </c>
      <c r="O23" s="9">
        <v>53292</v>
      </c>
      <c r="P23" s="9">
        <v>53082</v>
      </c>
      <c r="Q23" s="18">
        <v>159</v>
      </c>
      <c r="R23" s="27" t="s">
        <v>30</v>
      </c>
      <c r="S23" s="9">
        <v>43761</v>
      </c>
      <c r="T23" s="9">
        <v>7110</v>
      </c>
      <c r="U23" s="9">
        <v>5125</v>
      </c>
      <c r="V23" s="9">
        <f t="shared" si="0"/>
        <v>55996</v>
      </c>
      <c r="X23" s="25" t="s">
        <v>72</v>
      </c>
      <c r="Y23" s="26" t="s">
        <v>6</v>
      </c>
      <c r="Z23" s="26">
        <v>20</v>
      </c>
      <c r="AD23" s="8" t="s">
        <v>32</v>
      </c>
      <c r="AE23" s="8">
        <v>9.4235532537716729E-2</v>
      </c>
      <c r="AF23" s="9" t="str" cm="1">
        <f t="array" ref="AF23">_xlfn.IFS(AE23&gt;=0.4, "Top Performer",AE23&gt;=0.2,"Medium Performer",AE23&lt;0.2, "Least Performer")</f>
        <v>Least Performer</v>
      </c>
    </row>
    <row r="24" spans="1:32" x14ac:dyDescent="0.25">
      <c r="D24" s="9" t="str">
        <v>P018</v>
      </c>
      <c r="E24" s="9">
        <v>0.10297222222222223</v>
      </c>
      <c r="G24" s="9" t="str">
        <v>P018</v>
      </c>
      <c r="H24" s="9" t="str">
        <v>Instagram</v>
      </c>
      <c r="I24" s="9">
        <v>45523</v>
      </c>
      <c r="J24" s="9" t="str">
        <v>Reel</v>
      </c>
      <c r="K24" s="9" t="str">
        <v>Check out our latest reel on instagram!</v>
      </c>
      <c r="L24" s="9">
        <v>3000</v>
      </c>
      <c r="M24" s="9">
        <v>382</v>
      </c>
      <c r="N24" s="9">
        <v>325</v>
      </c>
      <c r="O24" s="9">
        <v>36000</v>
      </c>
      <c r="P24" s="9">
        <v>35819</v>
      </c>
      <c r="Q24" s="18">
        <v>19</v>
      </c>
      <c r="R24" s="27" t="s">
        <v>33</v>
      </c>
      <c r="S24" s="9">
        <v>27029</v>
      </c>
      <c r="T24" s="9">
        <v>4550</v>
      </c>
      <c r="U24" s="9">
        <v>1913</v>
      </c>
      <c r="V24" s="9">
        <f t="shared" si="0"/>
        <v>33492</v>
      </c>
      <c r="X24" s="20" t="s">
        <v>73</v>
      </c>
      <c r="Y24" s="21" t="s">
        <v>6</v>
      </c>
      <c r="Z24" s="21">
        <v>87</v>
      </c>
      <c r="AD24" s="8" t="s">
        <v>6</v>
      </c>
      <c r="AE24" s="8">
        <v>0.10297222222222223</v>
      </c>
      <c r="AF24" s="9" t="str" cm="1">
        <f t="array" ref="AF24">_xlfn.IFS(AE24&gt;=0.4, "Top Performer",AE24&gt;=0.2,"Medium Performer",AE24&lt;0.2, "Least Performer")</f>
        <v>Least Performer</v>
      </c>
    </row>
    <row r="25" spans="1:32" x14ac:dyDescent="0.25">
      <c r="D25" s="9" t="str">
        <v>P019</v>
      </c>
      <c r="E25" s="9">
        <v>0.10034235916588857</v>
      </c>
      <c r="G25" s="9" t="str">
        <v>P019</v>
      </c>
      <c r="H25" s="9" t="str">
        <v>Instagram</v>
      </c>
      <c r="I25" s="9">
        <v>45466</v>
      </c>
      <c r="J25" s="9" t="str">
        <v>Video</v>
      </c>
      <c r="K25" s="9" t="str">
        <v>Check out our latest video on instagram!</v>
      </c>
      <c r="L25" s="9">
        <v>1071</v>
      </c>
      <c r="M25" s="9">
        <v>519</v>
      </c>
      <c r="N25" s="9">
        <v>22</v>
      </c>
      <c r="O25" s="9">
        <v>16065</v>
      </c>
      <c r="P25" s="9">
        <v>15865</v>
      </c>
      <c r="Q25" s="18">
        <v>103</v>
      </c>
      <c r="R25" s="27" t="s">
        <v>36</v>
      </c>
      <c r="S25" s="9">
        <v>20466</v>
      </c>
      <c r="T25" s="9">
        <v>5090</v>
      </c>
      <c r="U25" s="9">
        <v>3026</v>
      </c>
      <c r="V25" s="9">
        <f t="shared" si="0"/>
        <v>28582</v>
      </c>
      <c r="X25" s="25" t="s">
        <v>74</v>
      </c>
      <c r="Y25" s="26" t="s">
        <v>32</v>
      </c>
      <c r="Z25" s="26">
        <v>159</v>
      </c>
      <c r="AD25" s="8" t="s">
        <v>21</v>
      </c>
      <c r="AE25" s="8">
        <v>0.10034235916588857</v>
      </c>
      <c r="AF25" s="9" t="str" cm="1">
        <f t="array" ref="AF25">_xlfn.IFS(AE25&gt;=0.4, "Top Performer",AE25&gt;=0.2,"Medium Performer",AE25&lt;0.2, "Least Performer")</f>
        <v>Least Performer</v>
      </c>
    </row>
    <row r="26" spans="1:32" x14ac:dyDescent="0.25">
      <c r="D26" s="9" t="str">
        <v>P020</v>
      </c>
      <c r="E26" s="9">
        <v>6.3809622724794221E-2</v>
      </c>
      <c r="G26" s="9" t="str">
        <v>P020</v>
      </c>
      <c r="H26" s="9" t="str">
        <v>Instagram</v>
      </c>
      <c r="I26" s="9">
        <v>45544</v>
      </c>
      <c r="J26" s="9" t="str">
        <v>Carousel</v>
      </c>
      <c r="K26" s="9" t="str">
        <v>Check out our latest carousel on instagram!</v>
      </c>
      <c r="L26" s="9">
        <v>4054</v>
      </c>
      <c r="M26" s="9">
        <v>488</v>
      </c>
      <c r="N26" s="9">
        <v>373</v>
      </c>
      <c r="O26" s="9">
        <v>77026</v>
      </c>
      <c r="P26" s="9">
        <v>76881</v>
      </c>
      <c r="Q26" s="18">
        <v>25</v>
      </c>
      <c r="R26" s="27" t="s">
        <v>40</v>
      </c>
      <c r="S26" s="9">
        <v>31899</v>
      </c>
      <c r="T26" s="9">
        <v>4861</v>
      </c>
      <c r="U26" s="9">
        <v>3910</v>
      </c>
      <c r="V26" s="9">
        <f t="shared" si="0"/>
        <v>40670</v>
      </c>
      <c r="X26" s="20" t="s">
        <v>75</v>
      </c>
      <c r="Y26" s="21" t="s">
        <v>6</v>
      </c>
      <c r="Z26" s="21">
        <v>19</v>
      </c>
      <c r="AD26" s="8" t="s">
        <v>21</v>
      </c>
      <c r="AE26" s="8">
        <v>6.3809622724794221E-2</v>
      </c>
      <c r="AF26" s="9" t="str" cm="1">
        <f t="array" ref="AF26">_xlfn.IFS(AE26&gt;=0.4, "Top Performer",AE26&gt;=0.2,"Medium Performer",AE26&lt;0.2, "Least Performer")</f>
        <v>Least Performer</v>
      </c>
    </row>
    <row r="27" spans="1:32" x14ac:dyDescent="0.25">
      <c r="D27" s="9" t="str">
        <v>P021</v>
      </c>
      <c r="E27" s="9">
        <v>7.7249552156538517E-2</v>
      </c>
      <c r="G27" s="9" t="str">
        <v>P021</v>
      </c>
      <c r="H27" s="9" t="str">
        <v>Instagram</v>
      </c>
      <c r="I27" s="9">
        <v>45661</v>
      </c>
      <c r="J27" s="9" t="str">
        <v>Reel</v>
      </c>
      <c r="K27" s="9" t="str">
        <v>Check out our latest reel on instagram!</v>
      </c>
      <c r="L27" s="9">
        <v>4838</v>
      </c>
      <c r="M27" s="9">
        <v>640</v>
      </c>
      <c r="N27" s="9">
        <v>128</v>
      </c>
      <c r="O27" s="9">
        <v>72570</v>
      </c>
      <c r="P27" s="9">
        <v>72396</v>
      </c>
      <c r="Q27" s="18">
        <v>83</v>
      </c>
      <c r="R27" s="27" t="s">
        <v>43</v>
      </c>
      <c r="S27" s="9">
        <v>29593</v>
      </c>
      <c r="T27" s="9">
        <v>6326</v>
      </c>
      <c r="U27" s="9">
        <v>3299</v>
      </c>
      <c r="V27" s="9">
        <f t="shared" si="0"/>
        <v>39218</v>
      </c>
      <c r="X27" s="25" t="s">
        <v>76</v>
      </c>
      <c r="Y27" s="26" t="s">
        <v>21</v>
      </c>
      <c r="Z27" s="26">
        <v>103</v>
      </c>
      <c r="AD27" s="8" t="s">
        <v>6</v>
      </c>
      <c r="AE27" s="8">
        <v>7.7249552156538517E-2</v>
      </c>
      <c r="AF27" s="9" t="str" cm="1">
        <f t="array" ref="AF27">_xlfn.IFS(AE27&gt;=0.4, "Top Performer",AE27&gt;=0.2,"Medium Performer",AE27&lt;0.2, "Least Performer")</f>
        <v>Least Performer</v>
      </c>
    </row>
    <row r="28" spans="1:32" x14ac:dyDescent="0.25">
      <c r="D28" s="9" t="str">
        <v>P022</v>
      </c>
      <c r="E28" s="9">
        <v>8.0294585987261149E-2</v>
      </c>
      <c r="G28" s="9" t="str">
        <v>P022</v>
      </c>
      <c r="H28" s="9" t="str">
        <v>Facebook</v>
      </c>
      <c r="I28" s="9">
        <v>45715</v>
      </c>
      <c r="J28" s="9" t="str">
        <v>Text</v>
      </c>
      <c r="K28" s="9" t="str">
        <v>Check out our latest text on facebook!</v>
      </c>
      <c r="L28" s="9">
        <v>1570</v>
      </c>
      <c r="M28" s="9">
        <v>187</v>
      </c>
      <c r="N28" s="9">
        <v>260</v>
      </c>
      <c r="O28" s="9">
        <v>25120</v>
      </c>
      <c r="P28" s="9">
        <v>24613</v>
      </c>
      <c r="Q28" s="18">
        <v>133</v>
      </c>
      <c r="R28" s="24" t="s">
        <v>77</v>
      </c>
      <c r="S28" s="9">
        <v>171549</v>
      </c>
      <c r="T28" s="9">
        <v>28572</v>
      </c>
      <c r="U28" s="9">
        <v>12820</v>
      </c>
      <c r="V28" s="7">
        <f t="shared" si="0"/>
        <v>212941</v>
      </c>
      <c r="X28" s="20" t="s">
        <v>78</v>
      </c>
      <c r="Y28" s="21" t="s">
        <v>21</v>
      </c>
      <c r="Z28" s="21">
        <v>25</v>
      </c>
      <c r="AD28" s="8" t="s">
        <v>21</v>
      </c>
      <c r="AE28" s="8">
        <v>8.0294585987261149E-2</v>
      </c>
      <c r="AF28" s="9" t="str" cm="1">
        <f t="array" ref="AF28">_xlfn.IFS(AE28&gt;=0.4, "Top Performer",AE28&gt;=0.2,"Medium Performer",AE28&lt;0.2, "Least Performer")</f>
        <v>Least Performer</v>
      </c>
    </row>
    <row r="29" spans="1:32" x14ac:dyDescent="0.25">
      <c r="D29" s="9" t="str">
        <v>P023</v>
      </c>
      <c r="E29" s="9">
        <v>7.6867995018679955E-2</v>
      </c>
      <c r="G29" s="9" t="str">
        <v>P023</v>
      </c>
      <c r="H29" s="9" t="str">
        <v>Facebook</v>
      </c>
      <c r="I29" s="9">
        <v>45602</v>
      </c>
      <c r="J29" s="9" t="str">
        <v>Video</v>
      </c>
      <c r="K29" s="9" t="str">
        <v>Check out our latest video on facebook!</v>
      </c>
      <c r="L29" s="9">
        <v>1606</v>
      </c>
      <c r="M29" s="9">
        <v>547</v>
      </c>
      <c r="N29" s="9">
        <v>316</v>
      </c>
      <c r="O29" s="9">
        <v>32120</v>
      </c>
      <c r="P29" s="9">
        <v>31736</v>
      </c>
      <c r="Q29" s="18">
        <v>225</v>
      </c>
      <c r="R29" s="27" t="s">
        <v>27</v>
      </c>
      <c r="S29" s="9">
        <v>24926</v>
      </c>
      <c r="T29" s="9">
        <v>6305</v>
      </c>
      <c r="U29" s="9">
        <v>2422</v>
      </c>
      <c r="V29" s="9">
        <f t="shared" si="0"/>
        <v>33653</v>
      </c>
      <c r="X29" s="25" t="s">
        <v>79</v>
      </c>
      <c r="Y29" s="26" t="s">
        <v>6</v>
      </c>
      <c r="Z29" s="26">
        <v>83</v>
      </c>
      <c r="AD29" s="8" t="s">
        <v>21</v>
      </c>
      <c r="AE29" s="8">
        <v>7.6867995018679955E-2</v>
      </c>
      <c r="AF29" s="9" t="str" cm="1">
        <f t="array" ref="AF29">_xlfn.IFS(AE29&gt;=0.4, "Top Performer",AE29&gt;=0.2,"Medium Performer",AE29&lt;0.2, "Least Performer")</f>
        <v>Least Performer</v>
      </c>
    </row>
    <row r="30" spans="1:32" x14ac:dyDescent="0.25">
      <c r="D30" s="9" t="str">
        <v>P024</v>
      </c>
      <c r="E30" s="9">
        <v>7.2070332803659209E-2</v>
      </c>
      <c r="G30" s="9" t="str">
        <v>P024</v>
      </c>
      <c r="H30" s="9" t="str">
        <v>Facebook</v>
      </c>
      <c r="I30" s="9">
        <v>45680</v>
      </c>
      <c r="J30" s="9" t="str">
        <v>Video</v>
      </c>
      <c r="K30" s="9" t="str">
        <v>Check out our latest video on facebook!</v>
      </c>
      <c r="L30" s="9">
        <v>3961</v>
      </c>
      <c r="M30" s="9">
        <v>761</v>
      </c>
      <c r="N30" s="9">
        <v>131</v>
      </c>
      <c r="O30" s="9">
        <v>67337</v>
      </c>
      <c r="P30" s="9">
        <v>66615</v>
      </c>
      <c r="Q30" s="18">
        <v>161</v>
      </c>
      <c r="R30" s="27" t="s">
        <v>30</v>
      </c>
      <c r="S30" s="9">
        <v>23903</v>
      </c>
      <c r="T30" s="9">
        <v>4310</v>
      </c>
      <c r="U30" s="9">
        <v>2077</v>
      </c>
      <c r="V30" s="9">
        <f t="shared" si="0"/>
        <v>30290</v>
      </c>
      <c r="X30" s="20" t="s">
        <v>80</v>
      </c>
      <c r="Y30" s="21" t="s">
        <v>21</v>
      </c>
      <c r="Z30" s="21">
        <v>133</v>
      </c>
      <c r="AD30" s="8" t="s">
        <v>5</v>
      </c>
      <c r="AE30" s="8">
        <v>7.6867995018679955E-2</v>
      </c>
      <c r="AF30" s="9" t="str" cm="1">
        <f t="array" ref="AF30">_xlfn.IFS(AE30&gt;=0.4, "Top Performer",AE30&gt;=0.2,"Medium Performer",AE30&lt;0.2, "Least Performer")</f>
        <v>Least Performer</v>
      </c>
    </row>
    <row r="31" spans="1:32" x14ac:dyDescent="0.25">
      <c r="D31" s="9" t="str">
        <v>P025</v>
      </c>
      <c r="E31" s="9">
        <v>5.9496567505720827E-2</v>
      </c>
      <c r="G31" s="9" t="str">
        <v>P025</v>
      </c>
      <c r="H31" s="9" t="str">
        <v>Twitter</v>
      </c>
      <c r="I31" s="9">
        <v>45757</v>
      </c>
      <c r="J31" s="9" t="str">
        <v>Carousel</v>
      </c>
      <c r="K31" s="9" t="str">
        <v>Check out our latest carousel on twitter!</v>
      </c>
      <c r="L31" s="9">
        <v>3128</v>
      </c>
      <c r="M31" s="9">
        <v>211</v>
      </c>
      <c r="N31" s="9">
        <v>197</v>
      </c>
      <c r="O31" s="9">
        <v>59432</v>
      </c>
      <c r="P31" s="9">
        <v>59182</v>
      </c>
      <c r="Q31" s="18">
        <v>238</v>
      </c>
      <c r="R31" s="28" t="s">
        <v>33</v>
      </c>
      <c r="S31" s="29">
        <v>32400</v>
      </c>
      <c r="T31" s="29">
        <v>4577</v>
      </c>
      <c r="U31" s="29">
        <v>2668</v>
      </c>
      <c r="V31" s="29">
        <f t="shared" si="0"/>
        <v>39645</v>
      </c>
      <c r="X31" s="25" t="s">
        <v>29</v>
      </c>
      <c r="Y31" s="26" t="s">
        <v>21</v>
      </c>
      <c r="Z31" s="26">
        <v>225</v>
      </c>
      <c r="AD31" s="8" t="s">
        <v>6</v>
      </c>
      <c r="AE31" s="8">
        <v>7.2070332803659209E-2</v>
      </c>
      <c r="AF31" s="9" t="str" cm="1">
        <f t="array" ref="AF31">_xlfn.IFS(AE31&gt;=0.4, "Top Performer",AE31&gt;=0.2,"Medium Performer",AE31&lt;0.2, "Least Performer")</f>
        <v>Least Performer</v>
      </c>
    </row>
    <row r="32" spans="1:32" x14ac:dyDescent="0.25">
      <c r="D32" s="9" t="str">
        <v>P026</v>
      </c>
      <c r="E32" s="9">
        <v>8.9730807577268201E-2</v>
      </c>
      <c r="G32" s="9" t="str">
        <v>P026</v>
      </c>
      <c r="H32" s="9" t="str">
        <v>YouTube</v>
      </c>
      <c r="I32" s="9">
        <v>45752</v>
      </c>
      <c r="J32" s="9" t="str">
        <v>Reel</v>
      </c>
      <c r="K32" s="9" t="str">
        <v>Check out our latest reel on youtube!</v>
      </c>
      <c r="L32" s="9">
        <v>3009</v>
      </c>
      <c r="M32" s="9">
        <v>413</v>
      </c>
      <c r="N32" s="9">
        <v>358</v>
      </c>
      <c r="O32" s="9">
        <v>42126</v>
      </c>
      <c r="P32" s="9">
        <v>41309</v>
      </c>
      <c r="Q32" s="18">
        <v>211</v>
      </c>
      <c r="R32" s="27" t="s">
        <v>36</v>
      </c>
      <c r="S32" s="9">
        <v>31968</v>
      </c>
      <c r="T32" s="9">
        <v>3866</v>
      </c>
      <c r="U32" s="9">
        <v>2012</v>
      </c>
      <c r="V32" s="9">
        <f t="shared" si="0"/>
        <v>37846</v>
      </c>
      <c r="X32" s="20" t="s">
        <v>29</v>
      </c>
      <c r="Y32" s="21" t="s">
        <v>5</v>
      </c>
      <c r="Z32" s="21">
        <v>225</v>
      </c>
      <c r="AD32" s="8" t="s">
        <v>32</v>
      </c>
      <c r="AE32" s="8">
        <v>5.9496567505720827E-2</v>
      </c>
      <c r="AF32" s="9" t="str" cm="1">
        <f t="array" ref="AF32">_xlfn.IFS(AE32&gt;=0.4, "Top Performer",AE32&gt;=0.2,"Medium Performer",AE32&lt;0.2, "Least Performer")</f>
        <v>Least Performer</v>
      </c>
    </row>
    <row r="33" spans="4:32" x14ac:dyDescent="0.25">
      <c r="D33" s="9" t="str">
        <v>P027</v>
      </c>
      <c r="E33" s="9">
        <v>7.1501685934489398E-2</v>
      </c>
      <c r="G33" s="9" t="str">
        <v>P027</v>
      </c>
      <c r="H33" s="9" t="str">
        <v>YouTube</v>
      </c>
      <c r="I33" s="9">
        <v>45552</v>
      </c>
      <c r="J33" s="9" t="str">
        <v>Text</v>
      </c>
      <c r="K33" s="9" t="str">
        <v>Check out our latest text on youtube!</v>
      </c>
      <c r="L33" s="9">
        <v>2076</v>
      </c>
      <c r="M33" s="9">
        <v>195</v>
      </c>
      <c r="N33" s="9">
        <v>104</v>
      </c>
      <c r="O33" s="9">
        <v>33216</v>
      </c>
      <c r="P33" s="9">
        <v>32244</v>
      </c>
      <c r="Q33" s="18">
        <v>51</v>
      </c>
      <c r="R33" s="27" t="s">
        <v>40</v>
      </c>
      <c r="S33" s="9">
        <v>27067</v>
      </c>
      <c r="T33" s="9">
        <v>3928</v>
      </c>
      <c r="U33" s="9">
        <v>1052</v>
      </c>
      <c r="V33" s="9">
        <f t="shared" si="0"/>
        <v>32047</v>
      </c>
      <c r="X33" s="25" t="s">
        <v>81</v>
      </c>
      <c r="Y33" s="26" t="s">
        <v>6</v>
      </c>
      <c r="Z33" s="26">
        <v>161</v>
      </c>
      <c r="AD33" s="8" t="s">
        <v>6</v>
      </c>
      <c r="AE33" s="8">
        <v>8.9730807577268201E-2</v>
      </c>
      <c r="AF33" s="9" t="str" cm="1">
        <f t="array" ref="AF33">_xlfn.IFS(AE33&gt;=0.4, "Top Performer",AE33&gt;=0.2,"Medium Performer",AE33&lt;0.2, "Least Performer")</f>
        <v>Least Performer</v>
      </c>
    </row>
    <row r="34" spans="4:32" x14ac:dyDescent="0.25">
      <c r="D34" s="9" t="str">
        <v>P028</v>
      </c>
      <c r="E34" s="9">
        <v>0.17057291666666666</v>
      </c>
      <c r="G34" s="9" t="str">
        <v>P028</v>
      </c>
      <c r="H34" s="9" t="str">
        <v>Instagram</v>
      </c>
      <c r="I34" s="9">
        <v>45720</v>
      </c>
      <c r="J34" s="9" t="str">
        <v>Video</v>
      </c>
      <c r="K34" s="9" t="str">
        <v>Check out our latest video on instagram!</v>
      </c>
      <c r="L34" s="9">
        <v>432</v>
      </c>
      <c r="M34" s="9">
        <v>624</v>
      </c>
      <c r="N34" s="9">
        <v>123</v>
      </c>
      <c r="O34" s="9">
        <v>6912</v>
      </c>
      <c r="P34" s="9">
        <v>6259</v>
      </c>
      <c r="Q34" s="18">
        <v>79</v>
      </c>
      <c r="R34" s="27" t="s">
        <v>43</v>
      </c>
      <c r="S34" s="9">
        <v>31285</v>
      </c>
      <c r="T34" s="9">
        <v>5586</v>
      </c>
      <c r="U34" s="9">
        <v>2589</v>
      </c>
      <c r="V34" s="9">
        <f t="shared" si="0"/>
        <v>39460</v>
      </c>
      <c r="X34" s="20" t="s">
        <v>82</v>
      </c>
      <c r="Y34" s="21" t="s">
        <v>32</v>
      </c>
      <c r="Z34" s="21">
        <v>238</v>
      </c>
      <c r="AD34" s="8" t="s">
        <v>6</v>
      </c>
      <c r="AE34" s="8">
        <v>7.1501685934489398E-2</v>
      </c>
      <c r="AF34" s="9" t="str" cm="1">
        <f t="array" ref="AF34">_xlfn.IFS(AE34&gt;=0.4, "Top Performer",AE34&gt;=0.2,"Medium Performer",AE34&lt;0.2, "Least Performer")</f>
        <v>Least Performer</v>
      </c>
    </row>
    <row r="35" spans="4:32" x14ac:dyDescent="0.25">
      <c r="D35" s="9" t="str">
        <v>P029</v>
      </c>
      <c r="E35" s="9">
        <v>0.21208106001558846</v>
      </c>
      <c r="G35" s="9" t="str">
        <v>P029</v>
      </c>
      <c r="H35" s="9" t="str">
        <v>Instagram</v>
      </c>
      <c r="I35" s="9">
        <v>45688</v>
      </c>
      <c r="J35" s="9" t="str">
        <v>Carousel</v>
      </c>
      <c r="K35" s="9" t="str">
        <v>Check out our latest carousel on instagram!</v>
      </c>
      <c r="L35" s="9">
        <v>2566</v>
      </c>
      <c r="M35" s="9">
        <v>118</v>
      </c>
      <c r="N35" s="9">
        <v>37</v>
      </c>
      <c r="O35" s="9">
        <v>12830</v>
      </c>
      <c r="P35" s="9">
        <v>12264</v>
      </c>
      <c r="Q35" s="18">
        <v>221</v>
      </c>
      <c r="R35" s="24" t="s">
        <v>45</v>
      </c>
      <c r="S35" s="9">
        <v>819991</v>
      </c>
      <c r="T35" s="9">
        <v>142925</v>
      </c>
      <c r="U35" s="9">
        <v>74851</v>
      </c>
      <c r="V35" s="7">
        <f t="shared" si="0"/>
        <v>1037767</v>
      </c>
      <c r="X35" s="25" t="s">
        <v>83</v>
      </c>
      <c r="Y35" s="26" t="s">
        <v>6</v>
      </c>
      <c r="Z35" s="26">
        <v>211</v>
      </c>
      <c r="AD35" s="8" t="s">
        <v>6</v>
      </c>
      <c r="AE35" s="8">
        <v>0.17057291666666666</v>
      </c>
      <c r="AF35" s="9" t="str" cm="1">
        <f t="array" ref="AF35">_xlfn.IFS(AE35&gt;=0.4, "Top Performer",AE35&gt;=0.2,"Medium Performer",AE35&lt;0.2, "Least Performer")</f>
        <v>Least Performer</v>
      </c>
    </row>
    <row r="36" spans="4:32" x14ac:dyDescent="0.25">
      <c r="D36" s="9" t="str">
        <v>P030</v>
      </c>
      <c r="E36" s="9">
        <v>5.7655717106444085E-2</v>
      </c>
      <c r="G36" s="9" t="str">
        <v>P030</v>
      </c>
      <c r="H36" s="9" t="str">
        <v>Instagram</v>
      </c>
      <c r="I36" s="9">
        <v>45713</v>
      </c>
      <c r="J36" s="9" t="str">
        <v>Video</v>
      </c>
      <c r="K36" s="9" t="str">
        <v>Check out our latest video on instagram!</v>
      </c>
      <c r="L36" s="9">
        <v>3095</v>
      </c>
      <c r="M36" s="9">
        <v>39</v>
      </c>
      <c r="N36" s="9">
        <v>78</v>
      </c>
      <c r="O36" s="9">
        <v>55710</v>
      </c>
      <c r="P36" s="9">
        <v>54808</v>
      </c>
      <c r="Q36" s="9">
        <v>93</v>
      </c>
      <c r="X36" s="20" t="s">
        <v>84</v>
      </c>
      <c r="Y36" s="21" t="s">
        <v>6</v>
      </c>
      <c r="Z36" s="21">
        <v>51</v>
      </c>
      <c r="AD36" s="8" t="s">
        <v>6</v>
      </c>
      <c r="AE36" s="8">
        <v>0.21208106001558846</v>
      </c>
      <c r="AF36" s="9" t="str" cm="1">
        <f t="array" ref="AF36">_xlfn.IFS(AE36&gt;=0.4, "Top Performer",AE36&gt;=0.2,"Medium Performer",AE36&lt;0.2, "Least Performer")</f>
        <v>Medium Performer</v>
      </c>
    </row>
    <row r="37" spans="4:32" x14ac:dyDescent="0.25">
      <c r="D37" s="9" t="str">
        <v>P031</v>
      </c>
      <c r="E37" s="9">
        <v>0.28245270711024134</v>
      </c>
      <c r="G37" s="9" t="str">
        <v>P031</v>
      </c>
      <c r="H37" s="9" t="str">
        <v>Instagram</v>
      </c>
      <c r="I37" s="9">
        <v>45642</v>
      </c>
      <c r="J37" s="9" t="str">
        <v>Text</v>
      </c>
      <c r="K37" s="9" t="str">
        <v>Check out our latest text on instagram!</v>
      </c>
      <c r="L37" s="9">
        <v>438</v>
      </c>
      <c r="M37" s="9">
        <v>153</v>
      </c>
      <c r="N37" s="9">
        <v>275</v>
      </c>
      <c r="O37" s="9">
        <v>3066</v>
      </c>
      <c r="P37" s="9">
        <v>2701</v>
      </c>
      <c r="Q37" s="9">
        <v>282</v>
      </c>
      <c r="X37" s="25" t="s">
        <v>85</v>
      </c>
      <c r="Y37" s="26" t="s">
        <v>6</v>
      </c>
      <c r="Z37" s="26">
        <v>79</v>
      </c>
      <c r="AD37" s="8" t="s">
        <v>32</v>
      </c>
      <c r="AE37" s="8">
        <v>5.7655717106444085E-2</v>
      </c>
      <c r="AF37" s="9" t="str" cm="1">
        <f t="array" ref="AF37">_xlfn.IFS(AE37&gt;=0.4, "Top Performer",AE37&gt;=0.2,"Medium Performer",AE37&lt;0.2, "Least Performer")</f>
        <v>Least Performer</v>
      </c>
    </row>
    <row r="38" spans="4:32" x14ac:dyDescent="0.25">
      <c r="D38" s="9" t="str">
        <v>P032</v>
      </c>
      <c r="E38" s="9">
        <v>0.19088381621305239</v>
      </c>
      <c r="G38" s="9" t="str">
        <v>P032</v>
      </c>
      <c r="H38" s="9" t="str">
        <v>Twitter</v>
      </c>
      <c r="I38" s="9">
        <v>45504</v>
      </c>
      <c r="J38" s="9" t="str">
        <v>Carousel</v>
      </c>
      <c r="K38" s="9" t="str">
        <v>Check out our latest carousel on twitter!</v>
      </c>
      <c r="L38" s="9">
        <v>2278</v>
      </c>
      <c r="M38" s="9">
        <v>10</v>
      </c>
      <c r="N38" s="9">
        <v>321</v>
      </c>
      <c r="O38" s="9">
        <v>13668</v>
      </c>
      <c r="P38" s="9">
        <v>12676</v>
      </c>
      <c r="Q38" s="9">
        <v>275</v>
      </c>
      <c r="X38" s="20" t="s">
        <v>86</v>
      </c>
      <c r="Y38" s="21" t="s">
        <v>6</v>
      </c>
      <c r="Z38" s="21">
        <v>221</v>
      </c>
      <c r="AD38" s="8" t="s">
        <v>21</v>
      </c>
      <c r="AE38" s="8">
        <v>0.28245270711024134</v>
      </c>
      <c r="AF38" s="9" t="str" cm="1">
        <f t="array" ref="AF38">_xlfn.IFS(AE38&gt;=0.4, "Top Performer",AE38&gt;=0.2,"Medium Performer",AE38&lt;0.2, "Least Performer")</f>
        <v>Medium Performer</v>
      </c>
    </row>
    <row r="39" spans="4:32" x14ac:dyDescent="0.25">
      <c r="D39" s="9" t="str">
        <v>P033</v>
      </c>
      <c r="E39" s="9">
        <v>0.12781331438047855</v>
      </c>
      <c r="G39" s="9" t="str">
        <v>P033</v>
      </c>
      <c r="H39" s="9" t="str">
        <v>Facebook</v>
      </c>
      <c r="I39" s="9">
        <v>45525</v>
      </c>
      <c r="J39" s="9" t="str">
        <v>Image</v>
      </c>
      <c r="K39" s="9" t="str">
        <v>Check out our latest image on facebook!</v>
      </c>
      <c r="L39" s="9">
        <v>1407</v>
      </c>
      <c r="M39" s="9">
        <v>400</v>
      </c>
      <c r="N39" s="9">
        <v>351</v>
      </c>
      <c r="O39" s="9">
        <v>16884</v>
      </c>
      <c r="P39" s="9">
        <v>15954</v>
      </c>
      <c r="Q39" s="9">
        <v>113</v>
      </c>
      <c r="X39" s="25" t="s">
        <v>87</v>
      </c>
      <c r="Y39" s="26" t="s">
        <v>32</v>
      </c>
      <c r="Z39" s="26">
        <v>93</v>
      </c>
      <c r="AD39" s="8" t="s">
        <v>32</v>
      </c>
      <c r="AE39" s="8">
        <v>0.19088381621305239</v>
      </c>
      <c r="AF39" s="9" t="str" cm="1">
        <f t="array" ref="AF39">_xlfn.IFS(AE39&gt;=0.4, "Top Performer",AE39&gt;=0.2,"Medium Performer",AE39&lt;0.2, "Least Performer")</f>
        <v>Least Performer</v>
      </c>
    </row>
    <row r="40" spans="4:32" x14ac:dyDescent="0.25">
      <c r="D40" s="9" t="str">
        <v>P034</v>
      </c>
      <c r="E40" s="9">
        <v>7.055421038471886E-2</v>
      </c>
      <c r="G40" s="9" t="str">
        <v>P034</v>
      </c>
      <c r="H40" s="9" t="str">
        <v>Facebook</v>
      </c>
      <c r="I40" s="9">
        <v>45742</v>
      </c>
      <c r="J40" s="9" t="str">
        <v>Text</v>
      </c>
      <c r="K40" s="9" t="str">
        <v>Check out our latest text on facebook!</v>
      </c>
      <c r="L40" s="9">
        <v>1652</v>
      </c>
      <c r="M40" s="9">
        <v>89</v>
      </c>
      <c r="N40" s="9">
        <v>357</v>
      </c>
      <c r="O40" s="9">
        <v>29736</v>
      </c>
      <c r="P40" s="9">
        <v>28771</v>
      </c>
      <c r="Q40" s="9">
        <v>215</v>
      </c>
      <c r="X40" s="20" t="s">
        <v>88</v>
      </c>
      <c r="Y40" s="21" t="s">
        <v>21</v>
      </c>
      <c r="Z40" s="21">
        <v>282</v>
      </c>
      <c r="AD40" s="8" t="s">
        <v>21</v>
      </c>
      <c r="AE40" s="8">
        <v>0.12781331438047855</v>
      </c>
      <c r="AF40" s="9" t="str" cm="1">
        <f t="array" ref="AF40">_xlfn.IFS(AE40&gt;=0.4, "Top Performer",AE40&gt;=0.2,"Medium Performer",AE40&lt;0.2, "Least Performer")</f>
        <v>Least Performer</v>
      </c>
    </row>
    <row r="41" spans="4:32" x14ac:dyDescent="0.25">
      <c r="D41" s="9" t="str">
        <v>P035</v>
      </c>
      <c r="E41" s="9">
        <v>0.11861662987490802</v>
      </c>
      <c r="G41" s="9" t="str">
        <v>P035</v>
      </c>
      <c r="H41" s="9" t="str">
        <v>Instagram</v>
      </c>
      <c r="I41" s="9">
        <v>45626</v>
      </c>
      <c r="J41" s="9" t="str">
        <v>Video</v>
      </c>
      <c r="K41" s="9" t="str">
        <v>Check out our latest video on instagram!</v>
      </c>
      <c r="L41" s="9">
        <v>3775</v>
      </c>
      <c r="M41" s="9">
        <v>16</v>
      </c>
      <c r="N41" s="9">
        <v>239</v>
      </c>
      <c r="O41" s="9">
        <v>33975</v>
      </c>
      <c r="P41" s="9">
        <v>33310</v>
      </c>
      <c r="Q41" s="9">
        <v>271</v>
      </c>
      <c r="X41" s="25" t="s">
        <v>89</v>
      </c>
      <c r="Y41" s="26" t="s">
        <v>32</v>
      </c>
      <c r="Z41" s="26">
        <v>275</v>
      </c>
      <c r="AD41" s="8" t="s">
        <v>21</v>
      </c>
      <c r="AE41" s="8">
        <v>7.055421038471886E-2</v>
      </c>
      <c r="AF41" s="9" t="str" cm="1">
        <f t="array" ref="AF41">_xlfn.IFS(AE41&gt;=0.4, "Top Performer",AE41&gt;=0.2,"Medium Performer",AE41&lt;0.2, "Least Performer")</f>
        <v>Least Performer</v>
      </c>
    </row>
    <row r="42" spans="4:32" x14ac:dyDescent="0.25">
      <c r="D42" s="9" t="str">
        <v>P036</v>
      </c>
      <c r="E42" s="9">
        <v>7.6523535487678915E-2</v>
      </c>
      <c r="G42" s="9" t="str">
        <v>P036</v>
      </c>
      <c r="H42" s="9" t="str">
        <v>Instagram</v>
      </c>
      <c r="I42" s="9">
        <v>45766</v>
      </c>
      <c r="J42" s="9" t="str">
        <v>Story</v>
      </c>
      <c r="K42" s="9" t="str">
        <v>Check out our latest story on instagram!</v>
      </c>
      <c r="L42" s="9">
        <v>4518</v>
      </c>
      <c r="M42" s="9">
        <v>285</v>
      </c>
      <c r="N42" s="9">
        <v>383</v>
      </c>
      <c r="O42" s="9">
        <v>67770</v>
      </c>
      <c r="P42" s="9">
        <v>67621</v>
      </c>
      <c r="Q42" s="9">
        <v>31</v>
      </c>
      <c r="X42" s="20" t="s">
        <v>90</v>
      </c>
      <c r="Y42" s="21" t="s">
        <v>21</v>
      </c>
      <c r="Z42" s="21">
        <v>113</v>
      </c>
      <c r="AD42" s="8" t="s">
        <v>6</v>
      </c>
      <c r="AE42" s="8">
        <v>0.11861662987490802</v>
      </c>
      <c r="AF42" s="9" t="str" cm="1">
        <f t="array" ref="AF42">_xlfn.IFS(AE42&gt;=0.4, "Top Performer",AE42&gt;=0.2,"Medium Performer",AE42&lt;0.2, "Least Performer")</f>
        <v>Least Performer</v>
      </c>
    </row>
    <row r="43" spans="4:32" x14ac:dyDescent="0.25">
      <c r="D43" s="9" t="str">
        <v>P037</v>
      </c>
      <c r="E43" s="9">
        <v>0.17770337301587302</v>
      </c>
      <c r="G43" s="9" t="str">
        <v>P037</v>
      </c>
      <c r="H43" s="9" t="str">
        <v>Facebook</v>
      </c>
      <c r="I43" s="9">
        <v>45663</v>
      </c>
      <c r="J43" s="9" t="str">
        <v>Carousel</v>
      </c>
      <c r="K43" s="9" t="str">
        <v>Check out our latest carousel on facebook!</v>
      </c>
      <c r="L43" s="9">
        <v>3024</v>
      </c>
      <c r="M43" s="9">
        <v>925</v>
      </c>
      <c r="N43" s="9">
        <v>350</v>
      </c>
      <c r="O43" s="9">
        <v>24192</v>
      </c>
      <c r="P43" s="9">
        <v>23518</v>
      </c>
      <c r="Q43" s="9">
        <v>36</v>
      </c>
      <c r="X43" s="25" t="s">
        <v>91</v>
      </c>
      <c r="Y43" s="26" t="s">
        <v>21</v>
      </c>
      <c r="Z43" s="26">
        <v>215</v>
      </c>
      <c r="AD43" s="8" t="s">
        <v>32</v>
      </c>
      <c r="AE43" s="8">
        <v>7.6523535487678915E-2</v>
      </c>
      <c r="AF43" s="9" t="str" cm="1">
        <f t="array" ref="AF43">_xlfn.IFS(AE43&gt;=0.4, "Top Performer",AE43&gt;=0.2,"Medium Performer",AE43&lt;0.2, "Least Performer")</f>
        <v>Least Performer</v>
      </c>
    </row>
    <row r="44" spans="4:32" x14ac:dyDescent="0.25">
      <c r="D44" s="9" t="str">
        <v>P038</v>
      </c>
      <c r="E44" s="9">
        <v>0.12577012959422137</v>
      </c>
      <c r="G44" s="9" t="str">
        <v>P038</v>
      </c>
      <c r="H44" s="9" t="str">
        <v>YouTube</v>
      </c>
      <c r="I44" s="9">
        <v>45705</v>
      </c>
      <c r="J44" s="9" t="str">
        <v>Reel</v>
      </c>
      <c r="K44" s="9" t="str">
        <v>Check out our latest reel on youtube!</v>
      </c>
      <c r="L44" s="9">
        <v>3138</v>
      </c>
      <c r="M44" s="9">
        <v>123</v>
      </c>
      <c r="N44" s="9">
        <v>291</v>
      </c>
      <c r="O44" s="9">
        <v>28242</v>
      </c>
      <c r="P44" s="9">
        <v>27550</v>
      </c>
      <c r="Q44" s="9">
        <v>87</v>
      </c>
      <c r="X44" s="20" t="s">
        <v>92</v>
      </c>
      <c r="Y44" s="21" t="s">
        <v>6</v>
      </c>
      <c r="Z44" s="21">
        <v>271</v>
      </c>
      <c r="AD44" s="8" t="s">
        <v>32</v>
      </c>
      <c r="AE44" s="8">
        <v>0.17770337301587302</v>
      </c>
      <c r="AF44" s="9" t="str" cm="1">
        <f t="array" ref="AF44">_xlfn.IFS(AE44&gt;=0.4, "Top Performer",AE44&gt;=0.2,"Medium Performer",AE44&lt;0.2, "Least Performer")</f>
        <v>Least Performer</v>
      </c>
    </row>
    <row r="45" spans="4:32" x14ac:dyDescent="0.25">
      <c r="D45" s="9" t="str">
        <v>P039</v>
      </c>
      <c r="E45" s="9">
        <v>7.2126493695121141E-2</v>
      </c>
      <c r="G45" s="9" t="str">
        <v>P039</v>
      </c>
      <c r="H45" s="9" t="str">
        <v>Facebook</v>
      </c>
      <c r="I45" s="9">
        <v>45621</v>
      </c>
      <c r="J45" s="9" t="str">
        <v>Image</v>
      </c>
      <c r="K45" s="9" t="str">
        <v>Check out our latest image on facebook!</v>
      </c>
      <c r="L45" s="9">
        <v>3564</v>
      </c>
      <c r="M45" s="9">
        <v>629</v>
      </c>
      <c r="N45" s="9">
        <v>177</v>
      </c>
      <c r="O45" s="9">
        <v>60588</v>
      </c>
      <c r="P45" s="9">
        <v>59627</v>
      </c>
      <c r="Q45" s="9">
        <v>92</v>
      </c>
      <c r="X45" s="25" t="s">
        <v>93</v>
      </c>
      <c r="Y45" s="26" t="s">
        <v>32</v>
      </c>
      <c r="Z45" s="26">
        <v>31</v>
      </c>
      <c r="AD45" s="8" t="s">
        <v>21</v>
      </c>
      <c r="AE45" s="8">
        <v>0.12577012959422137</v>
      </c>
      <c r="AF45" s="9" t="str" cm="1">
        <f t="array" ref="AF45">_xlfn.IFS(AE45&gt;=0.4, "Top Performer",AE45&gt;=0.2,"Medium Performer",AE45&lt;0.2, "Least Performer")</f>
        <v>Least Performer</v>
      </c>
    </row>
    <row r="46" spans="4:32" x14ac:dyDescent="0.25">
      <c r="D46" s="9" t="str">
        <v>P040</v>
      </c>
      <c r="E46" s="9">
        <v>0.13989473684210527</v>
      </c>
      <c r="G46" s="9" t="str">
        <v>P040</v>
      </c>
      <c r="H46" s="9" t="str">
        <v>Twitter</v>
      </c>
      <c r="I46" s="9">
        <v>45723</v>
      </c>
      <c r="J46" s="9" t="str">
        <v>Image</v>
      </c>
      <c r="K46" s="9" t="str">
        <v>Check out our latest image on twitter!</v>
      </c>
      <c r="L46" s="9">
        <v>4750</v>
      </c>
      <c r="M46" s="9">
        <v>151</v>
      </c>
      <c r="N46" s="9">
        <v>415</v>
      </c>
      <c r="O46" s="9">
        <v>38000</v>
      </c>
      <c r="P46" s="9">
        <v>37792</v>
      </c>
      <c r="Q46" s="9">
        <v>299</v>
      </c>
      <c r="X46" s="20" t="s">
        <v>94</v>
      </c>
      <c r="Y46" s="21" t="s">
        <v>32</v>
      </c>
      <c r="Z46" s="21">
        <v>36</v>
      </c>
      <c r="AD46" s="8" t="s">
        <v>21</v>
      </c>
      <c r="AE46" s="8">
        <v>7.2126493695121141E-2</v>
      </c>
      <c r="AF46" s="9" t="str" cm="1">
        <f t="array" ref="AF46">_xlfn.IFS(AE46&gt;=0.4, "Top Performer",AE46&gt;=0.2,"Medium Performer",AE46&lt;0.2, "Least Performer")</f>
        <v>Least Performer</v>
      </c>
    </row>
    <row r="47" spans="4:32" x14ac:dyDescent="0.25">
      <c r="D47" s="9" t="str">
        <v>P041</v>
      </c>
      <c r="E47" s="9">
        <v>0.18433235867446393</v>
      </c>
      <c r="G47" s="9" t="str">
        <v>P041</v>
      </c>
      <c r="H47" s="9" t="str">
        <v>Instagram</v>
      </c>
      <c r="I47" s="9">
        <v>45724</v>
      </c>
      <c r="J47" s="9" t="str">
        <v>Reel</v>
      </c>
      <c r="K47" s="9" t="str">
        <v>Check out our latest reel on instagram!</v>
      </c>
      <c r="L47" s="9">
        <v>456</v>
      </c>
      <c r="M47" s="9">
        <v>629</v>
      </c>
      <c r="N47" s="9">
        <v>428</v>
      </c>
      <c r="O47" s="9">
        <v>8208</v>
      </c>
      <c r="P47" s="9">
        <v>7377</v>
      </c>
      <c r="Q47" s="9">
        <v>205</v>
      </c>
      <c r="X47" s="25" t="s">
        <v>95</v>
      </c>
      <c r="Y47" s="26" t="s">
        <v>21</v>
      </c>
      <c r="Z47" s="26">
        <v>87</v>
      </c>
      <c r="AD47" s="8" t="s">
        <v>32</v>
      </c>
      <c r="AE47" s="8">
        <v>0.13989473684210527</v>
      </c>
      <c r="AF47" s="9" t="str" cm="1">
        <f t="array" ref="AF47">_xlfn.IFS(AE47&gt;=0.4, "Top Performer",AE47&gt;=0.2,"Medium Performer",AE47&lt;0.2, "Least Performer")</f>
        <v>Least Performer</v>
      </c>
    </row>
    <row r="48" spans="4:32" x14ac:dyDescent="0.25">
      <c r="D48" s="9" t="str">
        <v>P042</v>
      </c>
      <c r="E48" s="9">
        <v>0.21840570317563188</v>
      </c>
      <c r="G48" s="9" t="str">
        <v>P042</v>
      </c>
      <c r="H48" s="9" t="str">
        <v>YouTube</v>
      </c>
      <c r="I48" s="9">
        <v>45721</v>
      </c>
      <c r="J48" s="9" t="str">
        <v>Reel</v>
      </c>
      <c r="K48" s="9" t="str">
        <v>Check out our latest reel on youtube!</v>
      </c>
      <c r="L48" s="9">
        <v>1543</v>
      </c>
      <c r="M48" s="9">
        <v>820</v>
      </c>
      <c r="N48" s="9">
        <v>333</v>
      </c>
      <c r="O48" s="9">
        <v>12344</v>
      </c>
      <c r="P48" s="9">
        <v>11496</v>
      </c>
      <c r="Q48" s="9">
        <v>241</v>
      </c>
      <c r="X48" s="20" t="s">
        <v>96</v>
      </c>
      <c r="Y48" s="21" t="s">
        <v>21</v>
      </c>
      <c r="Z48" s="21">
        <v>92</v>
      </c>
      <c r="AD48" s="8" t="s">
        <v>6</v>
      </c>
      <c r="AE48" s="8">
        <v>0.18433235867446393</v>
      </c>
      <c r="AF48" s="9" t="str" cm="1">
        <f t="array" ref="AF48">_xlfn.IFS(AE48&gt;=0.4, "Top Performer",AE48&gt;=0.2,"Medium Performer",AE48&lt;0.2, "Least Performer")</f>
        <v>Least Performer</v>
      </c>
    </row>
    <row r="49" spans="4:32" x14ac:dyDescent="0.25">
      <c r="D49" s="9" t="str">
        <v>P043</v>
      </c>
      <c r="E49" s="9">
        <v>0.21826126954921804</v>
      </c>
      <c r="G49" s="9" t="str">
        <v>P043</v>
      </c>
      <c r="H49" s="9" t="str">
        <v>Instagram</v>
      </c>
      <c r="I49" s="9">
        <v>45640</v>
      </c>
      <c r="J49" s="9" t="str">
        <v>Carousel</v>
      </c>
      <c r="K49" s="9" t="str">
        <v>Check out our latest carousel on instagram!</v>
      </c>
      <c r="L49" s="9">
        <v>2174</v>
      </c>
      <c r="M49" s="9">
        <v>658</v>
      </c>
      <c r="N49" s="9">
        <v>15</v>
      </c>
      <c r="O49" s="9">
        <v>13044</v>
      </c>
      <c r="P49" s="9">
        <v>12206</v>
      </c>
      <c r="Q49" s="9">
        <v>137</v>
      </c>
      <c r="X49" s="25" t="s">
        <v>97</v>
      </c>
      <c r="Y49" s="26" t="s">
        <v>32</v>
      </c>
      <c r="Z49" s="26">
        <v>299</v>
      </c>
      <c r="AD49" s="8" t="s">
        <v>32</v>
      </c>
      <c r="AE49" s="8">
        <v>0.21840570317563188</v>
      </c>
      <c r="AF49" s="9" t="str" cm="1">
        <f t="array" ref="AF49">_xlfn.IFS(AE49&gt;=0.4, "Top Performer",AE49&gt;=0.2,"Medium Performer",AE49&lt;0.2, "Least Performer")</f>
        <v>Medium Performer</v>
      </c>
    </row>
    <row r="50" spans="4:32" x14ac:dyDescent="0.25">
      <c r="D50" s="9" t="str">
        <v>P044</v>
      </c>
      <c r="E50" s="9">
        <v>9.8558100084817649E-2</v>
      </c>
      <c r="G50" s="9" t="str">
        <v>P044</v>
      </c>
      <c r="H50" s="9" t="str">
        <v>Twitter</v>
      </c>
      <c r="I50" s="9">
        <v>45718</v>
      </c>
      <c r="J50" s="9" t="str">
        <v>Image</v>
      </c>
      <c r="K50" s="9" t="str">
        <v>Check out our latest image on twitter!</v>
      </c>
      <c r="L50" s="9">
        <v>2358</v>
      </c>
      <c r="M50" s="9">
        <v>784</v>
      </c>
      <c r="N50" s="9">
        <v>344</v>
      </c>
      <c r="O50" s="9">
        <v>35370</v>
      </c>
      <c r="P50" s="9">
        <v>34475</v>
      </c>
      <c r="Q50" s="9">
        <v>216</v>
      </c>
      <c r="X50" s="20" t="s">
        <v>98</v>
      </c>
      <c r="Y50" s="21" t="s">
        <v>6</v>
      </c>
      <c r="Z50" s="21">
        <v>205</v>
      </c>
      <c r="AD50" s="8" t="s">
        <v>21</v>
      </c>
      <c r="AE50" s="8">
        <v>0.21826126954921804</v>
      </c>
      <c r="AF50" s="9" t="str" cm="1">
        <f t="array" ref="AF50">_xlfn.IFS(AE50&gt;=0.4, "Top Performer",AE50&gt;=0.2,"Medium Performer",AE50&lt;0.2, "Least Performer")</f>
        <v>Medium Performer</v>
      </c>
    </row>
    <row r="51" spans="4:32" x14ac:dyDescent="0.25">
      <c r="D51" s="9" t="str">
        <v>P045</v>
      </c>
      <c r="E51" s="9">
        <v>7.5229902106199939E-2</v>
      </c>
      <c r="G51" s="9" t="str">
        <v>P045</v>
      </c>
      <c r="H51" s="9" t="str">
        <v>Facebook</v>
      </c>
      <c r="I51" s="9">
        <v>45597</v>
      </c>
      <c r="J51" s="9" t="str">
        <v>Video</v>
      </c>
      <c r="K51" s="9" t="str">
        <v>Check out our latest video on facebook!</v>
      </c>
      <c r="L51" s="9">
        <v>3371</v>
      </c>
      <c r="M51" s="9">
        <v>106</v>
      </c>
      <c r="N51" s="9">
        <v>327</v>
      </c>
      <c r="O51" s="9">
        <v>50565</v>
      </c>
      <c r="P51" s="9">
        <v>49816</v>
      </c>
      <c r="Q51" s="9">
        <v>176</v>
      </c>
      <c r="X51" s="25" t="s">
        <v>99</v>
      </c>
      <c r="Y51" s="26" t="s">
        <v>32</v>
      </c>
      <c r="Z51" s="26">
        <v>241</v>
      </c>
      <c r="AD51" s="8" t="s">
        <v>21</v>
      </c>
      <c r="AE51" s="8">
        <v>9.8558100084817649E-2</v>
      </c>
      <c r="AF51" s="9" t="str" cm="1">
        <f t="array" ref="AF51">_xlfn.IFS(AE51&gt;=0.4, "Top Performer",AE51&gt;=0.2,"Medium Performer",AE51&lt;0.2, "Least Performer")</f>
        <v>Least Performer</v>
      </c>
    </row>
    <row r="52" spans="4:32" x14ac:dyDescent="0.25">
      <c r="D52" s="9" t="str">
        <v>P046</v>
      </c>
      <c r="E52" s="9">
        <v>0.16888537906137185</v>
      </c>
      <c r="G52" s="9" t="str">
        <v>P046</v>
      </c>
      <c r="H52" s="9" t="str">
        <v>Twitter</v>
      </c>
      <c r="I52" s="9">
        <v>45779</v>
      </c>
      <c r="J52" s="9" t="str">
        <v>Video</v>
      </c>
      <c r="K52" s="9" t="str">
        <v>Check out our latest video on twitter!</v>
      </c>
      <c r="L52" s="9">
        <v>1108</v>
      </c>
      <c r="M52" s="9">
        <v>177</v>
      </c>
      <c r="N52" s="9">
        <v>212</v>
      </c>
      <c r="O52" s="9">
        <v>8864</v>
      </c>
      <c r="P52" s="9">
        <v>8710</v>
      </c>
      <c r="Q52" s="9">
        <v>97</v>
      </c>
      <c r="X52" s="20" t="s">
        <v>100</v>
      </c>
      <c r="Y52" s="21" t="s">
        <v>21</v>
      </c>
      <c r="Z52" s="21">
        <v>137</v>
      </c>
      <c r="AD52" s="8" t="s">
        <v>6</v>
      </c>
      <c r="AE52" s="8">
        <v>7.5229902106199939E-2</v>
      </c>
      <c r="AF52" s="9" t="str" cm="1">
        <f t="array" ref="AF52">_xlfn.IFS(AE52&gt;=0.4, "Top Performer",AE52&gt;=0.2,"Medium Performer",AE52&lt;0.2, "Least Performer")</f>
        <v>Least Performer</v>
      </c>
    </row>
    <row r="53" spans="4:32" x14ac:dyDescent="0.25">
      <c r="D53" s="9" t="str">
        <v>P047</v>
      </c>
      <c r="E53" s="9">
        <v>0.16683616863905326</v>
      </c>
      <c r="G53" s="9" t="str">
        <v>P047</v>
      </c>
      <c r="H53" s="9" t="str">
        <v>Twitter</v>
      </c>
      <c r="I53" s="9">
        <v>45712</v>
      </c>
      <c r="J53" s="9" t="str">
        <v>Carousel</v>
      </c>
      <c r="K53" s="9" t="str">
        <v>Check out our latest carousel on twitter!</v>
      </c>
      <c r="L53" s="9">
        <v>2704</v>
      </c>
      <c r="M53" s="9">
        <v>752</v>
      </c>
      <c r="N53" s="9">
        <v>153</v>
      </c>
      <c r="O53" s="9">
        <v>21632</v>
      </c>
      <c r="P53" s="9">
        <v>20792</v>
      </c>
      <c r="Q53" s="9">
        <v>127</v>
      </c>
      <c r="X53" s="25" t="s">
        <v>101</v>
      </c>
      <c r="Y53" s="26" t="s">
        <v>21</v>
      </c>
      <c r="Z53" s="26">
        <v>216</v>
      </c>
      <c r="AD53" s="8" t="s">
        <v>21</v>
      </c>
      <c r="AE53" s="8">
        <v>0.16888537906137185</v>
      </c>
      <c r="AF53" s="9" t="str" cm="1">
        <f t="array" ref="AF53">_xlfn.IFS(AE53&gt;=0.4, "Top Performer",AE53&gt;=0.2,"Medium Performer",AE53&lt;0.2, "Least Performer")</f>
        <v>Least Performer</v>
      </c>
    </row>
    <row r="54" spans="4:32" x14ac:dyDescent="0.25">
      <c r="D54" s="9" t="str">
        <v>P048</v>
      </c>
      <c r="E54" s="9">
        <v>7.349527665317139E-2</v>
      </c>
      <c r="G54" s="9" t="str">
        <v>P048</v>
      </c>
      <c r="H54" s="9" t="str">
        <v>Twitter</v>
      </c>
      <c r="I54" s="9">
        <v>45727</v>
      </c>
      <c r="J54" s="9" t="str">
        <v>Story</v>
      </c>
      <c r="K54" s="9" t="str">
        <v>Check out our latest story on twitter!</v>
      </c>
      <c r="L54" s="9">
        <v>1950</v>
      </c>
      <c r="M54" s="9">
        <v>295</v>
      </c>
      <c r="N54" s="9">
        <v>478</v>
      </c>
      <c r="O54" s="9">
        <v>37050</v>
      </c>
      <c r="P54" s="9">
        <v>36272</v>
      </c>
      <c r="Q54" s="9">
        <v>119</v>
      </c>
      <c r="X54" s="20" t="s">
        <v>102</v>
      </c>
      <c r="Y54" s="21" t="s">
        <v>6</v>
      </c>
      <c r="Z54" s="21">
        <v>176</v>
      </c>
      <c r="AD54" s="8" t="s">
        <v>6</v>
      </c>
      <c r="AE54" s="8">
        <v>0.16683616863905326</v>
      </c>
      <c r="AF54" s="9" t="str" cm="1">
        <f t="array" ref="AF54">_xlfn.IFS(AE54&gt;=0.4, "Top Performer",AE54&gt;=0.2,"Medium Performer",AE54&lt;0.2, "Least Performer")</f>
        <v>Least Performer</v>
      </c>
    </row>
    <row r="55" spans="4:32" x14ac:dyDescent="0.25">
      <c r="D55" s="9" t="str">
        <v>P049</v>
      </c>
      <c r="E55" s="9">
        <v>0.10617801791554102</v>
      </c>
      <c r="G55" s="9" t="str">
        <v>P049</v>
      </c>
      <c r="H55" s="9" t="str">
        <v>Twitter</v>
      </c>
      <c r="I55" s="9">
        <v>45453</v>
      </c>
      <c r="J55" s="9" t="str">
        <v>Story</v>
      </c>
      <c r="K55" s="9" t="str">
        <v>Check out our latest story on twitter!</v>
      </c>
      <c r="L55" s="9">
        <v>2164</v>
      </c>
      <c r="M55" s="9">
        <v>549</v>
      </c>
      <c r="N55" s="9">
        <v>274</v>
      </c>
      <c r="O55" s="9">
        <v>28132</v>
      </c>
      <c r="P55" s="9">
        <v>27361</v>
      </c>
      <c r="Q55" s="9">
        <v>177</v>
      </c>
      <c r="X55" s="25" t="s">
        <v>103</v>
      </c>
      <c r="Y55" s="26" t="s">
        <v>21</v>
      </c>
      <c r="Z55" s="26">
        <v>97</v>
      </c>
      <c r="AD55" s="8" t="s">
        <v>21</v>
      </c>
      <c r="AE55" s="8">
        <v>7.349527665317139E-2</v>
      </c>
      <c r="AF55" s="9" t="str" cm="1">
        <f t="array" ref="AF55">_xlfn.IFS(AE55&gt;=0.4, "Top Performer",AE55&gt;=0.2,"Medium Performer",AE55&lt;0.2, "Least Performer")</f>
        <v>Least Performer</v>
      </c>
    </row>
    <row r="56" spans="4:32" x14ac:dyDescent="0.25">
      <c r="D56" s="9" t="str">
        <v>P050</v>
      </c>
      <c r="E56" s="9">
        <v>0.13498547567175018</v>
      </c>
      <c r="G56" s="9" t="str">
        <v>P050</v>
      </c>
      <c r="H56" s="9" t="str">
        <v>YouTube</v>
      </c>
      <c r="I56" s="9">
        <v>45476</v>
      </c>
      <c r="J56" s="9" t="str">
        <v>Story</v>
      </c>
      <c r="K56" s="9" t="str">
        <v>Check out our latest story on youtube!</v>
      </c>
      <c r="L56" s="9">
        <v>2754</v>
      </c>
      <c r="M56" s="9">
        <v>130</v>
      </c>
      <c r="N56" s="9">
        <v>90</v>
      </c>
      <c r="O56" s="9">
        <v>22032</v>
      </c>
      <c r="P56" s="9">
        <v>21288</v>
      </c>
      <c r="Q56" s="9">
        <v>112</v>
      </c>
      <c r="X56" s="20" t="s">
        <v>104</v>
      </c>
      <c r="Y56" s="21" t="s">
        <v>6</v>
      </c>
      <c r="Z56" s="21">
        <v>127</v>
      </c>
      <c r="AD56" s="8" t="s">
        <v>21</v>
      </c>
      <c r="AE56" s="8">
        <v>0.10617801791554102</v>
      </c>
      <c r="AF56" s="9" t="str" cm="1">
        <f t="array" ref="AF56">_xlfn.IFS(AE56&gt;=0.4, "Top Performer",AE56&gt;=0.2,"Medium Performer",AE56&lt;0.2, "Least Performer")</f>
        <v>Least Performer</v>
      </c>
    </row>
    <row r="57" spans="4:32" x14ac:dyDescent="0.25">
      <c r="D57" s="9" t="str">
        <v>P051</v>
      </c>
      <c r="E57" s="9">
        <v>7.8689839572192513E-2</v>
      </c>
      <c r="G57" s="9" t="str">
        <v>P051</v>
      </c>
      <c r="H57" s="9" t="str">
        <v>Facebook</v>
      </c>
      <c r="I57" s="9">
        <v>45456</v>
      </c>
      <c r="J57" s="9" t="str">
        <v>Carousel</v>
      </c>
      <c r="K57" s="9" t="str">
        <v>Check out our latest carousel on facebook!</v>
      </c>
      <c r="L57" s="9">
        <v>2200</v>
      </c>
      <c r="M57" s="9">
        <v>504</v>
      </c>
      <c r="N57" s="9">
        <v>239</v>
      </c>
      <c r="O57" s="9">
        <v>37400</v>
      </c>
      <c r="P57" s="9">
        <v>36938</v>
      </c>
      <c r="Q57" s="9">
        <v>225</v>
      </c>
      <c r="X57" s="25" t="s">
        <v>105</v>
      </c>
      <c r="Y57" s="26" t="s">
        <v>21</v>
      </c>
      <c r="Z57" s="26">
        <v>119</v>
      </c>
      <c r="AD57" s="8" t="s">
        <v>21</v>
      </c>
      <c r="AE57" s="8">
        <v>0.13498547567175018</v>
      </c>
      <c r="AF57" s="9" t="str" cm="1">
        <f t="array" ref="AF57">_xlfn.IFS(AE57&gt;=0.4, "Top Performer",AE57&gt;=0.2,"Medium Performer",AE57&lt;0.2, "Least Performer")</f>
        <v>Least Performer</v>
      </c>
    </row>
    <row r="58" spans="4:32" x14ac:dyDescent="0.25">
      <c r="D58" s="9" t="str">
        <v>P052</v>
      </c>
      <c r="E58" s="9">
        <v>0.1569549774407219</v>
      </c>
      <c r="G58" s="9" t="str">
        <v>P052</v>
      </c>
      <c r="H58" s="9" t="str">
        <v>Facebook</v>
      </c>
      <c r="I58" s="9">
        <v>45660</v>
      </c>
      <c r="J58" s="9" t="str">
        <v>Image</v>
      </c>
      <c r="K58" s="9" t="str">
        <v>Check out our latest image on facebook!</v>
      </c>
      <c r="L58" s="9">
        <v>947</v>
      </c>
      <c r="M58" s="9">
        <v>338</v>
      </c>
      <c r="N58" s="9">
        <v>350</v>
      </c>
      <c r="O58" s="9">
        <v>10417</v>
      </c>
      <c r="P58" s="9">
        <v>9730</v>
      </c>
      <c r="Q58" s="9">
        <v>34</v>
      </c>
      <c r="X58" s="20" t="s">
        <v>106</v>
      </c>
      <c r="Y58" s="21" t="s">
        <v>21</v>
      </c>
      <c r="Z58" s="21">
        <v>177</v>
      </c>
      <c r="AD58" s="8" t="s">
        <v>6</v>
      </c>
      <c r="AE58" s="8">
        <v>7.8689839572192513E-2</v>
      </c>
      <c r="AF58" s="9" t="str" cm="1">
        <f t="array" ref="AF58">_xlfn.IFS(AE58&gt;=0.4, "Top Performer",AE58&gt;=0.2,"Medium Performer",AE58&lt;0.2, "Least Performer")</f>
        <v>Least Performer</v>
      </c>
    </row>
    <row r="59" spans="4:32" x14ac:dyDescent="0.25">
      <c r="D59" s="9" t="str">
        <v>P053</v>
      </c>
      <c r="E59" s="9">
        <v>0.36965174129353234</v>
      </c>
      <c r="G59" s="9" t="str">
        <v>P053</v>
      </c>
      <c r="H59" s="9" t="str">
        <v>YouTube</v>
      </c>
      <c r="I59" s="9">
        <v>45712</v>
      </c>
      <c r="J59" s="9" t="str">
        <v>Carousel</v>
      </c>
      <c r="K59" s="9" t="str">
        <v>Check out our latest carousel on youtube!</v>
      </c>
      <c r="L59" s="9">
        <v>804</v>
      </c>
      <c r="M59" s="9">
        <v>639</v>
      </c>
      <c r="N59" s="9">
        <v>43</v>
      </c>
      <c r="O59" s="9">
        <v>4020</v>
      </c>
      <c r="P59" s="9">
        <v>3144</v>
      </c>
      <c r="Q59" s="9">
        <v>11</v>
      </c>
      <c r="X59" s="25" t="s">
        <v>107</v>
      </c>
      <c r="Y59" s="26" t="s">
        <v>21</v>
      </c>
      <c r="Z59" s="26">
        <v>112</v>
      </c>
      <c r="AD59" s="8" t="s">
        <v>21</v>
      </c>
      <c r="AE59" s="8">
        <v>0.1569549774407219</v>
      </c>
      <c r="AF59" s="9" t="str" cm="1">
        <f t="array" ref="AF59">_xlfn.IFS(AE59&gt;=0.4, "Top Performer",AE59&gt;=0.2,"Medium Performer",AE59&lt;0.2, "Least Performer")</f>
        <v>Least Performer</v>
      </c>
    </row>
    <row r="60" spans="4:32" x14ac:dyDescent="0.25">
      <c r="D60" s="9" t="str">
        <v>P054</v>
      </c>
      <c r="E60" s="9">
        <v>0.16510298716704411</v>
      </c>
      <c r="G60" s="9" t="str">
        <v>P054</v>
      </c>
      <c r="H60" s="9" t="str">
        <v>YouTube</v>
      </c>
      <c r="I60" s="9">
        <v>45729</v>
      </c>
      <c r="J60" s="9" t="str">
        <v>Carousel</v>
      </c>
      <c r="K60" s="9" t="str">
        <v>Check out our latest carousel on youtube!</v>
      </c>
      <c r="L60" s="9">
        <v>1686</v>
      </c>
      <c r="M60" s="9">
        <v>904</v>
      </c>
      <c r="N60" s="9">
        <v>472</v>
      </c>
      <c r="O60" s="9">
        <v>18546</v>
      </c>
      <c r="P60" s="9">
        <v>18171</v>
      </c>
      <c r="Q60" s="9">
        <v>52</v>
      </c>
      <c r="X60" s="20" t="s">
        <v>108</v>
      </c>
      <c r="Y60" s="21" t="s">
        <v>6</v>
      </c>
      <c r="Z60" s="21">
        <v>225</v>
      </c>
      <c r="AD60" s="8" t="s">
        <v>32</v>
      </c>
      <c r="AE60" s="8">
        <v>0.36965174129353234</v>
      </c>
      <c r="AF60" s="9" t="str" cm="1">
        <f t="array" ref="AF60">_xlfn.IFS(AE60&gt;=0.4, "Top Performer",AE60&gt;=0.2,"Medium Performer",AE60&lt;0.2, "Least Performer")</f>
        <v>Medium Performer</v>
      </c>
    </row>
    <row r="61" spans="4:32" x14ac:dyDescent="0.25">
      <c r="D61" s="9" t="str">
        <v>P055</v>
      </c>
      <c r="E61" s="9">
        <v>9.1897770527460579E-2</v>
      </c>
      <c r="G61" s="9" t="str">
        <v>P055</v>
      </c>
      <c r="H61" s="9" t="str">
        <v>Facebook</v>
      </c>
      <c r="I61" s="9">
        <v>45460</v>
      </c>
      <c r="J61" s="9" t="str">
        <v>Image</v>
      </c>
      <c r="K61" s="9" t="str">
        <v>Check out our latest image on facebook!</v>
      </c>
      <c r="L61" s="9">
        <v>1226</v>
      </c>
      <c r="M61" s="9">
        <v>119</v>
      </c>
      <c r="N61" s="9">
        <v>7</v>
      </c>
      <c r="O61" s="9">
        <v>14712</v>
      </c>
      <c r="P61" s="9">
        <v>14049</v>
      </c>
      <c r="Q61" s="9">
        <v>123</v>
      </c>
      <c r="X61" s="25" t="s">
        <v>109</v>
      </c>
      <c r="Y61" s="26" t="s">
        <v>21</v>
      </c>
      <c r="Z61" s="26">
        <v>34</v>
      </c>
      <c r="AD61" s="8" t="s">
        <v>25</v>
      </c>
      <c r="AE61" s="8">
        <v>0.36965174129353234</v>
      </c>
      <c r="AF61" s="9" t="str" cm="1">
        <f t="array" ref="AF61">_xlfn.IFS(AE61&gt;=0.4, "Top Performer",AE61&gt;=0.2,"Medium Performer",AE61&lt;0.2, "Least Performer")</f>
        <v>Medium Performer</v>
      </c>
    </row>
    <row r="62" spans="4:32" x14ac:dyDescent="0.25">
      <c r="D62" s="9" t="str">
        <v>P056</v>
      </c>
      <c r="E62" s="9">
        <v>0.12936184657162253</v>
      </c>
      <c r="G62" s="9" t="str">
        <v>P056</v>
      </c>
      <c r="H62" s="9" t="str">
        <v>Facebook</v>
      </c>
      <c r="I62" s="9">
        <v>45644</v>
      </c>
      <c r="J62" s="9" t="str">
        <v>Carousel</v>
      </c>
      <c r="K62" s="9" t="str">
        <v>Check out our latest carousel on facebook!</v>
      </c>
      <c r="L62" s="9">
        <v>2946</v>
      </c>
      <c r="M62" s="9">
        <v>498</v>
      </c>
      <c r="N62" s="9">
        <v>367</v>
      </c>
      <c r="O62" s="9">
        <v>29460</v>
      </c>
      <c r="P62" s="9">
        <v>28527</v>
      </c>
      <c r="Q62" s="9">
        <v>60</v>
      </c>
      <c r="X62" s="20" t="s">
        <v>110</v>
      </c>
      <c r="Y62" s="21" t="s">
        <v>32</v>
      </c>
      <c r="Z62" s="21">
        <v>11</v>
      </c>
      <c r="AD62" s="8" t="s">
        <v>6</v>
      </c>
      <c r="AE62" s="8">
        <v>0.16510298716704411</v>
      </c>
      <c r="AF62" s="9" t="str" cm="1">
        <f t="array" ref="AF62">_xlfn.IFS(AE62&gt;=0.4, "Top Performer",AE62&gt;=0.2,"Medium Performer",AE62&lt;0.2, "Least Performer")</f>
        <v>Least Performer</v>
      </c>
    </row>
    <row r="63" spans="4:32" x14ac:dyDescent="0.25">
      <c r="D63" s="9" t="str">
        <v>P057</v>
      </c>
      <c r="E63" s="9">
        <v>8.0862831858407078E-2</v>
      </c>
      <c r="G63" s="9" t="str">
        <v>P057</v>
      </c>
      <c r="H63" s="9" t="str">
        <v>Twitter</v>
      </c>
      <c r="I63" s="9">
        <v>45586</v>
      </c>
      <c r="J63" s="9" t="str">
        <v>Video</v>
      </c>
      <c r="K63" s="9" t="str">
        <v>Check out our latest video on twitter!</v>
      </c>
      <c r="L63" s="9">
        <v>2825</v>
      </c>
      <c r="M63" s="9">
        <v>535</v>
      </c>
      <c r="N63" s="9">
        <v>295</v>
      </c>
      <c r="O63" s="9">
        <v>45200</v>
      </c>
      <c r="P63" s="9">
        <v>44739</v>
      </c>
      <c r="Q63" s="9">
        <v>169</v>
      </c>
      <c r="X63" s="25" t="s">
        <v>110</v>
      </c>
      <c r="Y63" s="26" t="s">
        <v>25</v>
      </c>
      <c r="Z63" s="26">
        <v>11</v>
      </c>
      <c r="AD63" s="8" t="s">
        <v>32</v>
      </c>
      <c r="AE63" s="8">
        <v>9.1897770527460579E-2</v>
      </c>
      <c r="AF63" s="9" t="str" cm="1">
        <f t="array" ref="AF63">_xlfn.IFS(AE63&gt;=0.4, "Top Performer",AE63&gt;=0.2,"Medium Performer",AE63&lt;0.2, "Least Performer")</f>
        <v>Least Performer</v>
      </c>
    </row>
    <row r="64" spans="4:32" x14ac:dyDescent="0.25">
      <c r="D64" s="9" t="str">
        <v>P058</v>
      </c>
      <c r="E64" s="9">
        <v>0.86601941747572819</v>
      </c>
      <c r="G64" s="9" t="str">
        <v>P058</v>
      </c>
      <c r="H64" s="9" t="str">
        <v>Instagram</v>
      </c>
      <c r="I64" s="9">
        <v>45762</v>
      </c>
      <c r="J64" s="9" t="str">
        <v>Reel</v>
      </c>
      <c r="K64" s="9" t="str">
        <v>Check out our latest reel on instagram!</v>
      </c>
      <c r="L64" s="9">
        <v>103</v>
      </c>
      <c r="M64" s="9">
        <v>770</v>
      </c>
      <c r="N64" s="9">
        <v>19</v>
      </c>
      <c r="O64" s="9">
        <v>1030</v>
      </c>
      <c r="P64" s="9">
        <v>410</v>
      </c>
      <c r="Q64" s="9">
        <v>262</v>
      </c>
      <c r="X64" s="20" t="s">
        <v>111</v>
      </c>
      <c r="Y64" s="21" t="s">
        <v>6</v>
      </c>
      <c r="Z64" s="21">
        <v>52</v>
      </c>
      <c r="AD64" s="8" t="s">
        <v>6</v>
      </c>
      <c r="AE64" s="8">
        <v>0.12936184657162253</v>
      </c>
      <c r="AF64" s="9" t="str" cm="1">
        <f t="array" ref="AF64">_xlfn.IFS(AE64&gt;=0.4, "Top Performer",AE64&gt;=0.2,"Medium Performer",AE64&lt;0.2, "Least Performer")</f>
        <v>Least Performer</v>
      </c>
    </row>
    <row r="65" spans="4:32" x14ac:dyDescent="0.25">
      <c r="D65" s="9" t="str">
        <v>P059</v>
      </c>
      <c r="E65" s="9">
        <v>9.2726081258191345E-2</v>
      </c>
      <c r="G65" s="9" t="str">
        <v>P059</v>
      </c>
      <c r="H65" s="9" t="str">
        <v>Instagram</v>
      </c>
      <c r="I65" s="9">
        <v>45465</v>
      </c>
      <c r="J65" s="9" t="str">
        <v>Text</v>
      </c>
      <c r="K65" s="9" t="str">
        <v>Check out our latest text on instagram!</v>
      </c>
      <c r="L65" s="9">
        <v>2180</v>
      </c>
      <c r="M65" s="9">
        <v>263</v>
      </c>
      <c r="N65" s="9">
        <v>387</v>
      </c>
      <c r="O65" s="9">
        <v>30520</v>
      </c>
      <c r="P65" s="9">
        <v>30059</v>
      </c>
      <c r="Q65" s="9">
        <v>174</v>
      </c>
      <c r="X65" s="25" t="s">
        <v>112</v>
      </c>
      <c r="Y65" s="26" t="s">
        <v>32</v>
      </c>
      <c r="Z65" s="26">
        <v>123</v>
      </c>
      <c r="AD65" s="8" t="s">
        <v>21</v>
      </c>
      <c r="AE65" s="8">
        <v>8.0862831858407078E-2</v>
      </c>
      <c r="AF65" s="9" t="str" cm="1">
        <f t="array" ref="AF65">_xlfn.IFS(AE65&gt;=0.4, "Top Performer",AE65&gt;=0.2,"Medium Performer",AE65&lt;0.2, "Least Performer")</f>
        <v>Least Performer</v>
      </c>
    </row>
    <row r="66" spans="4:32" x14ac:dyDescent="0.25">
      <c r="D66" s="9" t="str">
        <v>P060</v>
      </c>
      <c r="E66" s="9">
        <v>0.1650782845473111</v>
      </c>
      <c r="G66" s="9" t="str">
        <v>P060</v>
      </c>
      <c r="H66" s="9" t="str">
        <v>Instagram</v>
      </c>
      <c r="I66" s="9">
        <v>45685</v>
      </c>
      <c r="J66" s="9" t="str">
        <v>Video</v>
      </c>
      <c r="K66" s="9" t="str">
        <v>Check out our latest video on instagram!</v>
      </c>
      <c r="L66" s="9">
        <v>904</v>
      </c>
      <c r="M66" s="9">
        <v>973</v>
      </c>
      <c r="N66" s="9">
        <v>63</v>
      </c>
      <c r="O66" s="9">
        <v>11752</v>
      </c>
      <c r="P66" s="9">
        <v>11580</v>
      </c>
      <c r="Q66" s="9">
        <v>84</v>
      </c>
      <c r="X66" s="20" t="s">
        <v>113</v>
      </c>
      <c r="Y66" s="21" t="s">
        <v>6</v>
      </c>
      <c r="Z66" s="21">
        <v>60</v>
      </c>
      <c r="AD66" s="8" t="s">
        <v>21</v>
      </c>
      <c r="AE66" s="8">
        <v>0.86601941747572819</v>
      </c>
      <c r="AF66" s="9" t="str" cm="1">
        <f t="array" ref="AF66">_xlfn.IFS(AE66&gt;=0.4, "Top Performer",AE66&gt;=0.2,"Medium Performer",AE66&lt;0.2, "Least Performer")</f>
        <v>Top Performer</v>
      </c>
    </row>
    <row r="67" spans="4:32" x14ac:dyDescent="0.25">
      <c r="D67" s="9" t="str">
        <v>P061</v>
      </c>
      <c r="E67" s="9">
        <v>0.14276618001546368</v>
      </c>
      <c r="G67" s="9" t="str">
        <v>P061</v>
      </c>
      <c r="H67" s="9" t="str">
        <v>Twitter</v>
      </c>
      <c r="I67" s="9">
        <v>45540</v>
      </c>
      <c r="J67" s="9" t="str">
        <v>Video</v>
      </c>
      <c r="K67" s="9" t="str">
        <v>Check out our latest video on twitter!</v>
      </c>
      <c r="L67" s="9">
        <v>4886</v>
      </c>
      <c r="M67" s="9">
        <v>983</v>
      </c>
      <c r="N67" s="9">
        <v>409</v>
      </c>
      <c r="O67" s="9">
        <v>43974</v>
      </c>
      <c r="P67" s="9">
        <v>43239</v>
      </c>
      <c r="Q67" s="9">
        <v>65</v>
      </c>
      <c r="X67" s="25" t="s">
        <v>114</v>
      </c>
      <c r="Y67" s="26" t="s">
        <v>21</v>
      </c>
      <c r="Z67" s="26">
        <v>169</v>
      </c>
      <c r="AD67" s="8" t="s">
        <v>32</v>
      </c>
      <c r="AE67" s="8">
        <v>9.2726081258191345E-2</v>
      </c>
      <c r="AF67" s="9" t="str" cm="1">
        <f t="array" ref="AF67">_xlfn.IFS(AE67&gt;=0.4, "Top Performer",AE67&gt;=0.2,"Medium Performer",AE67&lt;0.2, "Least Performer")</f>
        <v>Least Performer</v>
      </c>
    </row>
    <row r="68" spans="4:32" x14ac:dyDescent="0.25">
      <c r="D68" s="9" t="str">
        <v>P062</v>
      </c>
      <c r="E68" s="9">
        <v>0.53773584905660377</v>
      </c>
      <c r="G68" s="9" t="str">
        <v>P062</v>
      </c>
      <c r="H68" s="9" t="str">
        <v>Twitter</v>
      </c>
      <c r="I68" s="9">
        <v>45618</v>
      </c>
      <c r="J68" s="9" t="str">
        <v>Carousel</v>
      </c>
      <c r="K68" s="9" t="str">
        <v>Check out our latest carousel on twitter!</v>
      </c>
      <c r="L68" s="9">
        <v>53</v>
      </c>
      <c r="M68" s="9">
        <v>81</v>
      </c>
      <c r="N68" s="9">
        <v>379</v>
      </c>
      <c r="O68" s="9">
        <v>954</v>
      </c>
      <c r="P68" s="9">
        <v>7</v>
      </c>
      <c r="Q68" s="9">
        <v>148</v>
      </c>
      <c r="X68" s="20" t="s">
        <v>115</v>
      </c>
      <c r="Y68" s="21" t="s">
        <v>21</v>
      </c>
      <c r="Z68" s="21">
        <v>262</v>
      </c>
      <c r="AD68" s="8" t="s">
        <v>32</v>
      </c>
      <c r="AE68" s="8">
        <v>0.1650782845473111</v>
      </c>
      <c r="AF68" s="9" t="str" cm="1">
        <f t="array" ref="AF68">_xlfn.IFS(AE68&gt;=0.4, "Top Performer",AE68&gt;=0.2,"Medium Performer",AE68&lt;0.2, "Least Performer")</f>
        <v>Least Performer</v>
      </c>
    </row>
    <row r="69" spans="4:32" x14ac:dyDescent="0.25">
      <c r="D69" s="9" t="str">
        <v>P063</v>
      </c>
      <c r="E69" s="9">
        <v>5.2551586421122697E-2</v>
      </c>
      <c r="G69" s="9" t="str">
        <v>P063</v>
      </c>
      <c r="H69" s="9" t="str">
        <v>Twitter</v>
      </c>
      <c r="I69" s="9">
        <v>45504</v>
      </c>
      <c r="J69" s="9" t="str">
        <v>Carousel</v>
      </c>
      <c r="K69" s="9" t="str">
        <v>Check out our latest carousel on twitter!</v>
      </c>
      <c r="L69" s="9">
        <v>4507</v>
      </c>
      <c r="M69" s="9">
        <v>217</v>
      </c>
      <c r="N69" s="9">
        <v>13</v>
      </c>
      <c r="O69" s="9">
        <v>90140</v>
      </c>
      <c r="P69" s="9">
        <v>89591</v>
      </c>
      <c r="Q69" s="9">
        <v>125</v>
      </c>
      <c r="X69" s="25" t="s">
        <v>116</v>
      </c>
      <c r="Y69" s="26" t="s">
        <v>32</v>
      </c>
      <c r="Z69" s="26">
        <v>174</v>
      </c>
      <c r="AD69" s="8" t="s">
        <v>21</v>
      </c>
      <c r="AE69" s="8">
        <v>0.1650782845473111</v>
      </c>
      <c r="AF69" s="9" t="str" cm="1">
        <f t="array" ref="AF69">_xlfn.IFS(AE69&gt;=0.4, "Top Performer",AE69&gt;=0.2,"Medium Performer",AE69&lt;0.2, "Least Performer")</f>
        <v>Least Performer</v>
      </c>
    </row>
    <row r="70" spans="4:32" x14ac:dyDescent="0.25">
      <c r="D70" s="9" t="str">
        <v>P064</v>
      </c>
      <c r="E70" s="9">
        <v>8.2047718322909427E-2</v>
      </c>
      <c r="G70" s="9" t="str">
        <v>P064</v>
      </c>
      <c r="H70" s="9" t="str">
        <v>Facebook</v>
      </c>
      <c r="I70" s="9">
        <v>45521</v>
      </c>
      <c r="J70" s="9" t="str">
        <v>Image</v>
      </c>
      <c r="K70" s="9" t="str">
        <v>Check out our latest image on facebook!</v>
      </c>
      <c r="L70" s="9">
        <v>2878</v>
      </c>
      <c r="M70" s="9">
        <v>248</v>
      </c>
      <c r="N70" s="9">
        <v>416</v>
      </c>
      <c r="O70" s="9">
        <v>43170</v>
      </c>
      <c r="P70" s="9">
        <v>42667</v>
      </c>
      <c r="Q70" s="9">
        <v>75</v>
      </c>
      <c r="X70" s="20" t="s">
        <v>31</v>
      </c>
      <c r="Y70" s="21" t="s">
        <v>32</v>
      </c>
      <c r="Z70" s="21">
        <v>84</v>
      </c>
      <c r="AD70" s="8" t="s">
        <v>5</v>
      </c>
      <c r="AE70" s="8">
        <v>0.1650782845473111</v>
      </c>
      <c r="AF70" s="9" t="str" cm="1">
        <f t="array" ref="AF70">_xlfn.IFS(AE70&gt;=0.4, "Top Performer",AE70&gt;=0.2,"Medium Performer",AE70&lt;0.2, "Least Performer")</f>
        <v>Least Performer</v>
      </c>
    </row>
    <row r="71" spans="4:32" x14ac:dyDescent="0.25">
      <c r="D71" s="9" t="str">
        <v>P065</v>
      </c>
      <c r="E71" s="9">
        <v>0.11990720603160794</v>
      </c>
      <c r="G71" s="9" t="str">
        <v>P065</v>
      </c>
      <c r="H71" s="9" t="str">
        <v>Instagram</v>
      </c>
      <c r="I71" s="9">
        <v>45744</v>
      </c>
      <c r="J71" s="9" t="str">
        <v>Story</v>
      </c>
      <c r="K71" s="9" t="str">
        <v>Check out our latest story on instagram!</v>
      </c>
      <c r="L71" s="9">
        <v>1881</v>
      </c>
      <c r="M71" s="9">
        <v>501</v>
      </c>
      <c r="N71" s="9">
        <v>99</v>
      </c>
      <c r="O71" s="9">
        <v>20691</v>
      </c>
      <c r="P71" s="9">
        <v>19987</v>
      </c>
      <c r="Q71" s="9">
        <v>289</v>
      </c>
      <c r="X71" s="25" t="s">
        <v>31</v>
      </c>
      <c r="Y71" s="26" t="s">
        <v>21</v>
      </c>
      <c r="Z71" s="26">
        <v>84</v>
      </c>
      <c r="AD71" s="8" t="s">
        <v>21</v>
      </c>
      <c r="AE71" s="8">
        <v>0.14276618001546368</v>
      </c>
      <c r="AF71" s="9" t="str" cm="1">
        <f t="array" ref="AF71">_xlfn.IFS(AE71&gt;=0.4, "Top Performer",AE71&gt;=0.2,"Medium Performer",AE71&lt;0.2, "Least Performer")</f>
        <v>Least Performer</v>
      </c>
    </row>
    <row r="72" spans="4:32" x14ac:dyDescent="0.25">
      <c r="D72" s="9" t="str">
        <v>P066</v>
      </c>
      <c r="E72" s="9">
        <v>0.29199735449735448</v>
      </c>
      <c r="G72" s="9" t="str">
        <v>P066</v>
      </c>
      <c r="H72" s="9" t="str">
        <v>Twitter</v>
      </c>
      <c r="I72" s="9">
        <v>45499</v>
      </c>
      <c r="J72" s="9" t="str">
        <v>Carousel</v>
      </c>
      <c r="K72" s="9" t="str">
        <v>Check out our latest carousel on twitter!</v>
      </c>
      <c r="L72" s="9">
        <v>432</v>
      </c>
      <c r="M72" s="9">
        <v>171</v>
      </c>
      <c r="N72" s="9">
        <v>280</v>
      </c>
      <c r="O72" s="9">
        <v>3024</v>
      </c>
      <c r="P72" s="9">
        <v>2285</v>
      </c>
      <c r="Q72" s="9">
        <v>184</v>
      </c>
      <c r="X72" s="20" t="s">
        <v>31</v>
      </c>
      <c r="Y72" s="21" t="s">
        <v>5</v>
      </c>
      <c r="Z72" s="21">
        <v>84</v>
      </c>
      <c r="AD72" s="8" t="s">
        <v>21</v>
      </c>
      <c r="AE72" s="8">
        <v>0.53773584905660377</v>
      </c>
      <c r="AF72" s="9" t="str" cm="1">
        <f t="array" ref="AF72">_xlfn.IFS(AE72&gt;=0.4, "Top Performer",AE72&gt;=0.2,"Medium Performer",AE72&lt;0.2, "Least Performer")</f>
        <v>Top Performer</v>
      </c>
    </row>
    <row r="73" spans="4:32" x14ac:dyDescent="0.25">
      <c r="D73" s="9" t="str">
        <v>P067</v>
      </c>
      <c r="E73" s="9">
        <v>6.3749764195434822E-2</v>
      </c>
      <c r="G73" s="9" t="str">
        <v>P067</v>
      </c>
      <c r="H73" s="9" t="str">
        <v>Facebook</v>
      </c>
      <c r="I73" s="9">
        <v>45745</v>
      </c>
      <c r="J73" s="9" t="str">
        <v>Carousel</v>
      </c>
      <c r="K73" s="9" t="str">
        <v>Check out our latest carousel on facebook!</v>
      </c>
      <c r="L73" s="9">
        <v>4712</v>
      </c>
      <c r="M73" s="9">
        <v>568</v>
      </c>
      <c r="N73" s="9">
        <v>127</v>
      </c>
      <c r="O73" s="9">
        <v>84816</v>
      </c>
      <c r="P73" s="9">
        <v>84691</v>
      </c>
      <c r="Q73" s="9">
        <v>100</v>
      </c>
      <c r="X73" s="25" t="s">
        <v>117</v>
      </c>
      <c r="Y73" s="26" t="s">
        <v>21</v>
      </c>
      <c r="Z73" s="26">
        <v>65</v>
      </c>
      <c r="AD73" s="8" t="s">
        <v>6</v>
      </c>
      <c r="AE73" s="8">
        <v>5.2551586421122697E-2</v>
      </c>
      <c r="AF73" s="9" t="str" cm="1">
        <f t="array" ref="AF73">_xlfn.IFS(AE73&gt;=0.4, "Top Performer",AE73&gt;=0.2,"Medium Performer",AE73&lt;0.2, "Least Performer")</f>
        <v>Least Performer</v>
      </c>
    </row>
    <row r="74" spans="4:32" x14ac:dyDescent="0.25">
      <c r="D74" s="9" t="str">
        <v>P068</v>
      </c>
      <c r="E74" s="9">
        <v>0.19310344827586207</v>
      </c>
      <c r="G74" s="9" t="str">
        <v>P068</v>
      </c>
      <c r="H74" s="9" t="str">
        <v>Instagram</v>
      </c>
      <c r="I74" s="9">
        <v>45634</v>
      </c>
      <c r="J74" s="9" t="str">
        <v>Story</v>
      </c>
      <c r="K74" s="9" t="str">
        <v>Check out our latest story on instagram!</v>
      </c>
      <c r="L74" s="9">
        <v>2610</v>
      </c>
      <c r="M74" s="9">
        <v>126</v>
      </c>
      <c r="N74" s="9">
        <v>288</v>
      </c>
      <c r="O74" s="9">
        <v>15660</v>
      </c>
      <c r="P74" s="9">
        <v>15145</v>
      </c>
      <c r="Q74" s="9">
        <v>73</v>
      </c>
      <c r="X74" s="20" t="s">
        <v>118</v>
      </c>
      <c r="Y74" s="21" t="s">
        <v>21</v>
      </c>
      <c r="Z74" s="21">
        <v>148</v>
      </c>
      <c r="AD74" s="8" t="s">
        <v>6</v>
      </c>
      <c r="AE74" s="8">
        <v>8.2047718322909427E-2</v>
      </c>
      <c r="AF74" s="9" t="str" cm="1">
        <f t="array" ref="AF74">_xlfn.IFS(AE74&gt;=0.4, "Top Performer",AE74&gt;=0.2,"Medium Performer",AE74&lt;0.2, "Least Performer")</f>
        <v>Least Performer</v>
      </c>
    </row>
    <row r="75" spans="4:32" x14ac:dyDescent="0.25">
      <c r="D75" s="9" t="str">
        <v>P069</v>
      </c>
      <c r="E75" s="9">
        <v>9.3421052631578946E-2</v>
      </c>
      <c r="G75" s="9" t="str">
        <v>P069</v>
      </c>
      <c r="H75" s="9" t="str">
        <v>Twitter</v>
      </c>
      <c r="I75" s="9">
        <v>45724</v>
      </c>
      <c r="J75" s="9" t="str">
        <v>Text</v>
      </c>
      <c r="K75" s="9" t="str">
        <v>Check out our latest text on twitter!</v>
      </c>
      <c r="L75" s="9">
        <v>1292</v>
      </c>
      <c r="M75" s="9">
        <v>626</v>
      </c>
      <c r="N75" s="9">
        <v>496</v>
      </c>
      <c r="O75" s="9">
        <v>25840</v>
      </c>
      <c r="P75" s="9">
        <v>24916</v>
      </c>
      <c r="Q75" s="9">
        <v>149</v>
      </c>
      <c r="X75" s="25" t="s">
        <v>119</v>
      </c>
      <c r="Y75" s="26" t="s">
        <v>6</v>
      </c>
      <c r="Z75" s="26">
        <v>125</v>
      </c>
      <c r="AD75" s="8" t="s">
        <v>32</v>
      </c>
      <c r="AE75" s="8">
        <v>0.11990720603160794</v>
      </c>
      <c r="AF75" s="9" t="str" cm="1">
        <f t="array" ref="AF75">_xlfn.IFS(AE75&gt;=0.4, "Top Performer",AE75&gt;=0.2,"Medium Performer",AE75&lt;0.2, "Least Performer")</f>
        <v>Least Performer</v>
      </c>
    </row>
    <row r="76" spans="4:32" x14ac:dyDescent="0.25">
      <c r="D76" s="9" t="str">
        <v>P070</v>
      </c>
      <c r="E76" s="9">
        <v>0.38274706867671693</v>
      </c>
      <c r="G76" s="9" t="str">
        <v>P070</v>
      </c>
      <c r="H76" s="9" t="str">
        <v>Facebook</v>
      </c>
      <c r="I76" s="9">
        <v>45749</v>
      </c>
      <c r="J76" s="9" t="str">
        <v>Video</v>
      </c>
      <c r="K76" s="9" t="str">
        <v>Check out our latest video on facebook!</v>
      </c>
      <c r="L76" s="9">
        <v>199</v>
      </c>
      <c r="M76" s="9">
        <v>772</v>
      </c>
      <c r="N76" s="9">
        <v>400</v>
      </c>
      <c r="O76" s="9">
        <v>3582</v>
      </c>
      <c r="P76" s="9">
        <v>2988</v>
      </c>
      <c r="Q76" s="9">
        <v>43</v>
      </c>
      <c r="X76" s="20" t="s">
        <v>120</v>
      </c>
      <c r="Y76" s="21" t="s">
        <v>6</v>
      </c>
      <c r="Z76" s="21">
        <v>75</v>
      </c>
      <c r="AD76" s="8" t="s">
        <v>32</v>
      </c>
      <c r="AE76" s="8">
        <v>0.29199735449735448</v>
      </c>
      <c r="AF76" s="9" t="str" cm="1">
        <f t="array" ref="AF76">_xlfn.IFS(AE76&gt;=0.4, "Top Performer",AE76&gt;=0.2,"Medium Performer",AE76&lt;0.2, "Least Performer")</f>
        <v>Medium Performer</v>
      </c>
    </row>
    <row r="77" spans="4:32" x14ac:dyDescent="0.25">
      <c r="D77" s="9" t="str">
        <v>P071</v>
      </c>
      <c r="E77" s="9">
        <v>0.1199202926956749</v>
      </c>
      <c r="G77" s="9" t="str">
        <v>P071</v>
      </c>
      <c r="H77" s="9" t="str">
        <v>YouTube</v>
      </c>
      <c r="I77" s="9">
        <v>45537</v>
      </c>
      <c r="J77" s="9" t="str">
        <v>Carousel</v>
      </c>
      <c r="K77" s="9" t="str">
        <v>Check out our latest carousel on youtube!</v>
      </c>
      <c r="L77" s="9">
        <v>2551</v>
      </c>
      <c r="M77" s="9">
        <v>915</v>
      </c>
      <c r="N77" s="9">
        <v>205</v>
      </c>
      <c r="O77" s="9">
        <v>30612</v>
      </c>
      <c r="P77" s="9">
        <v>30360</v>
      </c>
      <c r="Q77" s="9">
        <v>227</v>
      </c>
      <c r="X77" s="25" t="s">
        <v>121</v>
      </c>
      <c r="Y77" s="26" t="s">
        <v>32</v>
      </c>
      <c r="Z77" s="26">
        <v>289</v>
      </c>
      <c r="AD77" s="8" t="s">
        <v>32</v>
      </c>
      <c r="AE77" s="8">
        <v>6.3749764195434822E-2</v>
      </c>
      <c r="AF77" s="9" t="str" cm="1">
        <f t="array" ref="AF77">_xlfn.IFS(AE77&gt;=0.4, "Top Performer",AE77&gt;=0.2,"Medium Performer",AE77&lt;0.2, "Least Performer")</f>
        <v>Least Performer</v>
      </c>
    </row>
    <row r="78" spans="4:32" x14ac:dyDescent="0.25">
      <c r="D78" s="9" t="str">
        <v>P072</v>
      </c>
      <c r="E78" s="9">
        <v>8.837126600284495E-2</v>
      </c>
      <c r="G78" s="9" t="str">
        <v>P072</v>
      </c>
      <c r="H78" s="9" t="str">
        <v>YouTube</v>
      </c>
      <c r="I78" s="9">
        <v>45719</v>
      </c>
      <c r="J78" s="9" t="str">
        <v>Reel</v>
      </c>
      <c r="K78" s="9" t="str">
        <v>Check out our latest reel on youtube!</v>
      </c>
      <c r="L78" s="9">
        <v>296</v>
      </c>
      <c r="M78" s="9">
        <v>60</v>
      </c>
      <c r="N78" s="9">
        <v>141</v>
      </c>
      <c r="O78" s="9">
        <v>5624</v>
      </c>
      <c r="P78" s="9">
        <v>5239</v>
      </c>
      <c r="Q78" s="9">
        <v>88</v>
      </c>
      <c r="X78" s="20" t="s">
        <v>122</v>
      </c>
      <c r="Y78" s="21" t="s">
        <v>32</v>
      </c>
      <c r="Z78" s="21">
        <v>184</v>
      </c>
      <c r="AD78" s="8" t="s">
        <v>32</v>
      </c>
      <c r="AE78" s="8">
        <v>0.19310344827586207</v>
      </c>
      <c r="AF78" s="9" t="str" cm="1">
        <f t="array" ref="AF78">_xlfn.IFS(AE78&gt;=0.4, "Top Performer",AE78&gt;=0.2,"Medium Performer",AE78&lt;0.2, "Least Performer")</f>
        <v>Least Performer</v>
      </c>
    </row>
    <row r="79" spans="4:32" x14ac:dyDescent="0.25">
      <c r="D79" s="9" t="str">
        <v>P073</v>
      </c>
      <c r="E79" s="9">
        <v>6.4265122330790625E-2</v>
      </c>
      <c r="G79" s="9" t="str">
        <v>P073</v>
      </c>
      <c r="H79" s="9" t="str">
        <v>Facebook</v>
      </c>
      <c r="I79" s="9">
        <v>45583</v>
      </c>
      <c r="J79" s="9" t="str">
        <v>Story</v>
      </c>
      <c r="K79" s="9" t="str">
        <v>Check out our latest story on facebook!</v>
      </c>
      <c r="L79" s="9">
        <v>4126</v>
      </c>
      <c r="M79" s="9">
        <v>426</v>
      </c>
      <c r="N79" s="9">
        <v>486</v>
      </c>
      <c r="O79" s="9">
        <v>78394</v>
      </c>
      <c r="P79" s="9">
        <v>77798</v>
      </c>
      <c r="Q79" s="9">
        <v>88</v>
      </c>
      <c r="X79" s="25" t="s">
        <v>123</v>
      </c>
      <c r="Y79" s="26" t="s">
        <v>32</v>
      </c>
      <c r="Z79" s="26">
        <v>100</v>
      </c>
      <c r="AD79" s="8" t="s">
        <v>6</v>
      </c>
      <c r="AE79" s="8">
        <v>9.3421052631578946E-2</v>
      </c>
      <c r="AF79" s="9" t="str" cm="1">
        <f t="array" ref="AF79">_xlfn.IFS(AE79&gt;=0.4, "Top Performer",AE79&gt;=0.2,"Medium Performer",AE79&lt;0.2, "Least Performer")</f>
        <v>Least Performer</v>
      </c>
    </row>
    <row r="80" spans="4:32" x14ac:dyDescent="0.25">
      <c r="D80" s="9" t="str">
        <v>P074</v>
      </c>
      <c r="E80" s="9">
        <v>0.13351302785265048</v>
      </c>
      <c r="G80" s="9" t="str">
        <v>P074</v>
      </c>
      <c r="H80" s="9" t="str">
        <v>YouTube</v>
      </c>
      <c r="I80" s="9">
        <v>45593</v>
      </c>
      <c r="J80" s="9" t="str">
        <v>Reel</v>
      </c>
      <c r="K80" s="9" t="str">
        <v>Check out our latest reel on youtube!</v>
      </c>
      <c r="L80" s="9">
        <v>1855</v>
      </c>
      <c r="M80" s="9">
        <v>200</v>
      </c>
      <c r="N80" s="9">
        <v>174</v>
      </c>
      <c r="O80" s="9">
        <v>16695</v>
      </c>
      <c r="P80" s="9">
        <v>16330</v>
      </c>
      <c r="Q80" s="9">
        <v>123</v>
      </c>
      <c r="X80" s="20" t="s">
        <v>124</v>
      </c>
      <c r="Y80" s="21" t="s">
        <v>32</v>
      </c>
      <c r="Z80" s="21">
        <v>73</v>
      </c>
      <c r="AD80" s="8" t="s">
        <v>21</v>
      </c>
      <c r="AE80" s="8">
        <v>0.38274706867671693</v>
      </c>
      <c r="AF80" s="9" t="str" cm="1">
        <f t="array" ref="AF80">_xlfn.IFS(AE80&gt;=0.4, "Top Performer",AE80&gt;=0.2,"Medium Performer",AE80&lt;0.2, "Least Performer")</f>
        <v>Medium Performer</v>
      </c>
    </row>
    <row r="81" spans="4:32" x14ac:dyDescent="0.25">
      <c r="D81" s="9" t="str">
        <v>P075</v>
      </c>
      <c r="E81" s="9">
        <v>0.12131237937689551</v>
      </c>
      <c r="G81" s="9" t="str">
        <v>P075</v>
      </c>
      <c r="H81" s="9" t="str">
        <v>Instagram</v>
      </c>
      <c r="I81" s="9">
        <v>45505</v>
      </c>
      <c r="J81" s="9" t="str">
        <v>Reel</v>
      </c>
      <c r="K81" s="9" t="str">
        <v>Check out our latest reel on instagram!</v>
      </c>
      <c r="L81" s="9">
        <v>1674</v>
      </c>
      <c r="M81" s="9">
        <v>929</v>
      </c>
      <c r="N81" s="9">
        <v>37</v>
      </c>
      <c r="O81" s="9">
        <v>21762</v>
      </c>
      <c r="P81" s="9">
        <v>20998</v>
      </c>
      <c r="Q81" s="9">
        <v>255</v>
      </c>
      <c r="X81" s="25" t="s">
        <v>125</v>
      </c>
      <c r="Y81" s="26" t="s">
        <v>6</v>
      </c>
      <c r="Z81" s="26">
        <v>149</v>
      </c>
      <c r="AD81" s="8" t="s">
        <v>21</v>
      </c>
      <c r="AE81" s="8">
        <v>0.1199202926956749</v>
      </c>
      <c r="AF81" s="9" t="str" cm="1">
        <f t="array" ref="AF81">_xlfn.IFS(AE81&gt;=0.4, "Top Performer",AE81&gt;=0.2,"Medium Performer",AE81&lt;0.2, "Least Performer")</f>
        <v>Least Performer</v>
      </c>
    </row>
    <row r="82" spans="4:32" x14ac:dyDescent="0.25">
      <c r="D82" s="9" t="str">
        <v>P076</v>
      </c>
      <c r="E82" s="9">
        <v>8.1177520071364848E-2</v>
      </c>
      <c r="G82" s="9" t="str">
        <v>P076</v>
      </c>
      <c r="H82" s="9" t="str">
        <v>Twitter</v>
      </c>
      <c r="I82" s="9">
        <v>45603</v>
      </c>
      <c r="J82" s="9" t="str">
        <v>Story</v>
      </c>
      <c r="K82" s="9" t="str">
        <v>Check out our latest story on twitter!</v>
      </c>
      <c r="L82" s="9">
        <v>1121</v>
      </c>
      <c r="M82" s="9">
        <v>135</v>
      </c>
      <c r="N82" s="9">
        <v>18</v>
      </c>
      <c r="O82" s="9">
        <v>15694</v>
      </c>
      <c r="P82" s="9">
        <v>14957</v>
      </c>
      <c r="Q82" s="9">
        <v>99</v>
      </c>
      <c r="X82" s="20" t="s">
        <v>126</v>
      </c>
      <c r="Y82" s="21" t="s">
        <v>21</v>
      </c>
      <c r="Z82" s="21">
        <v>43</v>
      </c>
      <c r="AD82" s="8" t="s">
        <v>32</v>
      </c>
      <c r="AE82" s="8">
        <v>8.837126600284495E-2</v>
      </c>
      <c r="AF82" s="9" t="str" cm="1">
        <f t="array" ref="AF82">_xlfn.IFS(AE82&gt;=0.4, "Top Performer",AE82&gt;=0.2,"Medium Performer",AE82&lt;0.2, "Least Performer")</f>
        <v>Least Performer</v>
      </c>
    </row>
    <row r="83" spans="4:32" x14ac:dyDescent="0.25">
      <c r="D83" s="9" t="str">
        <v>P077</v>
      </c>
      <c r="E83" s="9">
        <v>0.20416333066453163</v>
      </c>
      <c r="G83" s="9" t="str">
        <v>P077</v>
      </c>
      <c r="H83" s="9" t="str">
        <v>Facebook</v>
      </c>
      <c r="I83" s="9">
        <v>45720</v>
      </c>
      <c r="J83" s="9" t="str">
        <v>Story</v>
      </c>
      <c r="K83" s="9" t="str">
        <v>Check out our latest story on facebook!</v>
      </c>
      <c r="L83" s="9">
        <v>1249</v>
      </c>
      <c r="M83" s="9">
        <v>116</v>
      </c>
      <c r="N83" s="9">
        <v>420</v>
      </c>
      <c r="O83" s="9">
        <v>8743</v>
      </c>
      <c r="P83" s="9">
        <v>8538</v>
      </c>
      <c r="Q83" s="9">
        <v>63</v>
      </c>
      <c r="X83" s="25" t="s">
        <v>127</v>
      </c>
      <c r="Y83" s="26" t="s">
        <v>21</v>
      </c>
      <c r="Z83" s="26">
        <v>227</v>
      </c>
      <c r="AD83" s="8" t="s">
        <v>6</v>
      </c>
      <c r="AE83" s="8">
        <v>6.4265122330790625E-2</v>
      </c>
      <c r="AF83" s="9" t="str" cm="1">
        <f t="array" ref="AF83">_xlfn.IFS(AE83&gt;=0.4, "Top Performer",AE83&gt;=0.2,"Medium Performer",AE83&lt;0.2, "Least Performer")</f>
        <v>Least Performer</v>
      </c>
    </row>
    <row r="84" spans="4:32" x14ac:dyDescent="0.25">
      <c r="D84" s="9" t="str">
        <v>P078</v>
      </c>
      <c r="E84" s="9">
        <v>8.2075471698113203E-2</v>
      </c>
      <c r="G84" s="9" t="str">
        <v>P078</v>
      </c>
      <c r="H84" s="9" t="str">
        <v>Twitter</v>
      </c>
      <c r="I84" s="9">
        <v>45460</v>
      </c>
      <c r="J84" s="9" t="str">
        <v>Image</v>
      </c>
      <c r="K84" s="9" t="str">
        <v>Check out our latest image on twitter!</v>
      </c>
      <c r="L84" s="9">
        <v>954</v>
      </c>
      <c r="M84" s="9">
        <v>324</v>
      </c>
      <c r="N84" s="9">
        <v>288</v>
      </c>
      <c r="O84" s="9">
        <v>19080</v>
      </c>
      <c r="P84" s="9">
        <v>18859</v>
      </c>
      <c r="Q84" s="9">
        <v>21</v>
      </c>
      <c r="X84" s="20" t="s">
        <v>128</v>
      </c>
      <c r="Y84" s="21" t="s">
        <v>32</v>
      </c>
      <c r="Z84" s="21">
        <v>88</v>
      </c>
      <c r="AD84" s="8" t="s">
        <v>21</v>
      </c>
      <c r="AE84" s="8">
        <v>0.13351302785265048</v>
      </c>
      <c r="AF84" s="9" t="str" cm="1">
        <f t="array" ref="AF84">_xlfn.IFS(AE84&gt;=0.4, "Top Performer",AE84&gt;=0.2,"Medium Performer",AE84&lt;0.2, "Least Performer")</f>
        <v>Least Performer</v>
      </c>
    </row>
    <row r="85" spans="4:32" x14ac:dyDescent="0.25">
      <c r="D85" s="9" t="str">
        <v>P079</v>
      </c>
      <c r="E85" s="9">
        <v>8.860696018453515E-2</v>
      </c>
      <c r="G85" s="9" t="str">
        <v>P079</v>
      </c>
      <c r="H85" s="9" t="str">
        <v>Instagram</v>
      </c>
      <c r="I85" s="9">
        <v>45574</v>
      </c>
      <c r="J85" s="9" t="str">
        <v>Carousel</v>
      </c>
      <c r="K85" s="9" t="str">
        <v>Check out our latest carousel on instagram!</v>
      </c>
      <c r="L85" s="9">
        <v>3068</v>
      </c>
      <c r="M85" s="9">
        <v>137</v>
      </c>
      <c r="N85" s="9">
        <v>329</v>
      </c>
      <c r="O85" s="9">
        <v>39884</v>
      </c>
      <c r="P85" s="9">
        <v>39404</v>
      </c>
      <c r="Q85" s="9">
        <v>266</v>
      </c>
      <c r="X85" s="25" t="s">
        <v>129</v>
      </c>
      <c r="Y85" s="26" t="s">
        <v>6</v>
      </c>
      <c r="Z85" s="26">
        <v>88</v>
      </c>
      <c r="AD85" s="8" t="s">
        <v>21</v>
      </c>
      <c r="AE85" s="8">
        <v>0.12131237937689551</v>
      </c>
      <c r="AF85" s="9" t="str" cm="1">
        <f t="array" ref="AF85">_xlfn.IFS(AE85&gt;=0.4, "Top Performer",AE85&gt;=0.2,"Medium Performer",AE85&lt;0.2, "Least Performer")</f>
        <v>Least Performer</v>
      </c>
    </row>
    <row r="86" spans="4:32" x14ac:dyDescent="0.25">
      <c r="D86" s="9" t="str">
        <v>P080</v>
      </c>
      <c r="E86" s="9">
        <v>7.7533348349475686E-2</v>
      </c>
      <c r="G86" s="9" t="str">
        <v>P080</v>
      </c>
      <c r="H86" s="9" t="str">
        <v>Instagram</v>
      </c>
      <c r="I86" s="9">
        <v>45456</v>
      </c>
      <c r="J86" s="9" t="str">
        <v>Story</v>
      </c>
      <c r="K86" s="9" t="str">
        <v>Check out our latest story on instagram!</v>
      </c>
      <c r="L86" s="9">
        <v>2103</v>
      </c>
      <c r="M86" s="9">
        <v>892</v>
      </c>
      <c r="N86" s="9">
        <v>103</v>
      </c>
      <c r="O86" s="9">
        <v>39957</v>
      </c>
      <c r="P86" s="9">
        <v>39466</v>
      </c>
      <c r="Q86" s="9">
        <v>28</v>
      </c>
      <c r="X86" s="20" t="s">
        <v>130</v>
      </c>
      <c r="Y86" s="21" t="s">
        <v>21</v>
      </c>
      <c r="Z86" s="21">
        <v>123</v>
      </c>
      <c r="AD86" s="8" t="s">
        <v>21</v>
      </c>
      <c r="AE86" s="8">
        <v>8.1177520071364848E-2</v>
      </c>
      <c r="AF86" s="9" t="str" cm="1">
        <f t="array" ref="AF86">_xlfn.IFS(AE86&gt;=0.4, "Top Performer",AE86&gt;=0.2,"Medium Performer",AE86&lt;0.2, "Least Performer")</f>
        <v>Least Performer</v>
      </c>
    </row>
    <row r="87" spans="4:32" x14ac:dyDescent="0.25">
      <c r="D87" s="9" t="str">
        <v>P081</v>
      </c>
      <c r="E87" s="9">
        <v>9.4413295955146179E-2</v>
      </c>
      <c r="G87" s="9" t="str">
        <v>P081</v>
      </c>
      <c r="H87" s="9" t="str">
        <v>Instagram</v>
      </c>
      <c r="I87" s="9">
        <v>45584</v>
      </c>
      <c r="J87" s="9" t="str">
        <v>Story</v>
      </c>
      <c r="K87" s="9" t="str">
        <v>Check out our latest story on instagram!</v>
      </c>
      <c r="L87" s="9">
        <v>1816</v>
      </c>
      <c r="M87" s="9">
        <v>29</v>
      </c>
      <c r="N87" s="9">
        <v>41</v>
      </c>
      <c r="O87" s="9">
        <v>19976</v>
      </c>
      <c r="P87" s="9">
        <v>19262</v>
      </c>
      <c r="Q87" s="9">
        <v>283</v>
      </c>
      <c r="X87" s="25" t="s">
        <v>131</v>
      </c>
      <c r="Y87" s="26" t="s">
        <v>21</v>
      </c>
      <c r="Z87" s="26">
        <v>255</v>
      </c>
      <c r="AD87" s="8" t="s">
        <v>21</v>
      </c>
      <c r="AE87" s="8">
        <v>0.20416333066453163</v>
      </c>
      <c r="AF87" s="9" t="str" cm="1">
        <f t="array" ref="AF87">_xlfn.IFS(AE87&gt;=0.4, "Top Performer",AE87&gt;=0.2,"Medium Performer",AE87&lt;0.2, "Least Performer")</f>
        <v>Medium Performer</v>
      </c>
    </row>
    <row r="88" spans="4:32" x14ac:dyDescent="0.25">
      <c r="D88" s="9" t="str">
        <v>P082</v>
      </c>
      <c r="E88" s="9">
        <v>8.558620689655172E-2</v>
      </c>
      <c r="G88" s="9" t="str">
        <v>P082</v>
      </c>
      <c r="H88" s="9" t="str">
        <v>Instagram</v>
      </c>
      <c r="I88" s="9">
        <v>45497</v>
      </c>
      <c r="J88" s="9" t="str">
        <v>Image</v>
      </c>
      <c r="K88" s="9" t="str">
        <v>Check out our latest image on instagram!</v>
      </c>
      <c r="L88" s="9">
        <v>725</v>
      </c>
      <c r="M88" s="9">
        <v>88</v>
      </c>
      <c r="N88" s="9">
        <v>428</v>
      </c>
      <c r="O88" s="9">
        <v>14500</v>
      </c>
      <c r="P88" s="9">
        <v>13637</v>
      </c>
      <c r="Q88" s="9">
        <v>200</v>
      </c>
      <c r="X88" s="20" t="s">
        <v>132</v>
      </c>
      <c r="Y88" s="21" t="s">
        <v>21</v>
      </c>
      <c r="Z88" s="21">
        <v>99</v>
      </c>
      <c r="AD88" s="8" t="s">
        <v>6</v>
      </c>
      <c r="AE88" s="8">
        <v>8.2075471698113203E-2</v>
      </c>
      <c r="AF88" s="9" t="str" cm="1">
        <f t="array" ref="AF88">_xlfn.IFS(AE88&gt;=0.4, "Top Performer",AE88&gt;=0.2,"Medium Performer",AE88&lt;0.2, "Least Performer")</f>
        <v>Least Performer</v>
      </c>
    </row>
    <row r="89" spans="4:32" x14ac:dyDescent="0.25">
      <c r="D89" s="9" t="str">
        <v>P083</v>
      </c>
      <c r="E89" s="9">
        <v>0.16118220597196831</v>
      </c>
      <c r="G89" s="9" t="str">
        <v>P083</v>
      </c>
      <c r="H89" s="9" t="str">
        <v>YouTube</v>
      </c>
      <c r="I89" s="9">
        <v>45580</v>
      </c>
      <c r="J89" s="9" t="str">
        <v>Video</v>
      </c>
      <c r="K89" s="9" t="str">
        <v>Check out our latest video on youtube!</v>
      </c>
      <c r="L89" s="9">
        <v>1094</v>
      </c>
      <c r="M89" s="9">
        <v>472</v>
      </c>
      <c r="N89" s="9">
        <v>21</v>
      </c>
      <c r="O89" s="9">
        <v>9846</v>
      </c>
      <c r="P89" s="9">
        <v>9609</v>
      </c>
      <c r="Q89" s="9">
        <v>112</v>
      </c>
      <c r="X89" s="25" t="s">
        <v>133</v>
      </c>
      <c r="Y89" s="26" t="s">
        <v>21</v>
      </c>
      <c r="Z89" s="26">
        <v>63</v>
      </c>
      <c r="AD89" s="8" t="s">
        <v>32</v>
      </c>
      <c r="AE89" s="8">
        <v>8.860696018453515E-2</v>
      </c>
      <c r="AF89" s="9" t="str" cm="1">
        <f t="array" ref="AF89">_xlfn.IFS(AE89&gt;=0.4, "Top Performer",AE89&gt;=0.2,"Medium Performer",AE89&lt;0.2, "Least Performer")</f>
        <v>Least Performer</v>
      </c>
    </row>
    <row r="90" spans="4:32" x14ac:dyDescent="0.25">
      <c r="D90" s="9" t="str">
        <v>P084</v>
      </c>
      <c r="E90" s="9">
        <v>8.6737756939878216E-2</v>
      </c>
      <c r="G90" s="9" t="str">
        <v>P084</v>
      </c>
      <c r="H90" s="9" t="str">
        <v>Facebook</v>
      </c>
      <c r="I90" s="9">
        <v>45635</v>
      </c>
      <c r="J90" s="9" t="str">
        <v>Image</v>
      </c>
      <c r="K90" s="9" t="str">
        <v>Check out our latest image on facebook!</v>
      </c>
      <c r="L90" s="9">
        <v>1841</v>
      </c>
      <c r="M90" s="9">
        <v>851</v>
      </c>
      <c r="N90" s="9">
        <v>342</v>
      </c>
      <c r="O90" s="9">
        <v>34979</v>
      </c>
      <c r="P90" s="9">
        <v>34154</v>
      </c>
      <c r="Q90" s="9">
        <v>255</v>
      </c>
      <c r="X90" s="20" t="s">
        <v>134</v>
      </c>
      <c r="Y90" s="21" t="s">
        <v>6</v>
      </c>
      <c r="Z90" s="21">
        <v>21</v>
      </c>
      <c r="AD90" s="8" t="s">
        <v>6</v>
      </c>
      <c r="AE90" s="8">
        <v>7.7533348349475686E-2</v>
      </c>
      <c r="AF90" s="9" t="str" cm="1">
        <f t="array" ref="AF90">_xlfn.IFS(AE90&gt;=0.4, "Top Performer",AE90&gt;=0.2,"Medium Performer",AE90&lt;0.2, "Least Performer")</f>
        <v>Least Performer</v>
      </c>
    </row>
    <row r="91" spans="4:32" x14ac:dyDescent="0.25">
      <c r="D91" s="9" t="str">
        <v>P085</v>
      </c>
      <c r="E91" s="9">
        <v>0.19156491900087783</v>
      </c>
      <c r="G91" s="9" t="str">
        <v>P085</v>
      </c>
      <c r="H91" s="9" t="str">
        <v>Instagram</v>
      </c>
      <c r="I91" s="9">
        <v>45766</v>
      </c>
      <c r="J91" s="9" t="str">
        <v>Image</v>
      </c>
      <c r="K91" s="9" t="str">
        <v>Check out our latest image on instagram!</v>
      </c>
      <c r="L91" s="9">
        <v>4177</v>
      </c>
      <c r="M91" s="9">
        <v>569</v>
      </c>
      <c r="N91" s="9">
        <v>55</v>
      </c>
      <c r="O91" s="9">
        <v>25062</v>
      </c>
      <c r="P91" s="9">
        <v>24847</v>
      </c>
      <c r="Q91" s="9">
        <v>230</v>
      </c>
      <c r="X91" s="25" t="s">
        <v>135</v>
      </c>
      <c r="Y91" s="26" t="s">
        <v>32</v>
      </c>
      <c r="Z91" s="26">
        <v>266</v>
      </c>
      <c r="AD91" s="8" t="s">
        <v>21</v>
      </c>
      <c r="AE91" s="8">
        <v>9.4413295955146179E-2</v>
      </c>
      <c r="AF91" s="9" t="str" cm="1">
        <f t="array" ref="AF91">_xlfn.IFS(AE91&gt;=0.4, "Top Performer",AE91&gt;=0.2,"Medium Performer",AE91&lt;0.2, "Least Performer")</f>
        <v>Least Performer</v>
      </c>
    </row>
    <row r="92" spans="4:32" x14ac:dyDescent="0.25">
      <c r="D92" s="9" t="str">
        <v>P086</v>
      </c>
      <c r="E92" s="9">
        <v>6.5515821264328367E-2</v>
      </c>
      <c r="G92" s="9" t="str">
        <v>P086</v>
      </c>
      <c r="H92" s="9" t="str">
        <v>YouTube</v>
      </c>
      <c r="I92" s="9">
        <v>45684</v>
      </c>
      <c r="J92" s="9" t="str">
        <v>Text</v>
      </c>
      <c r="K92" s="9" t="str">
        <v>Check out our latest text on youtube!</v>
      </c>
      <c r="L92" s="9">
        <v>3428</v>
      </c>
      <c r="M92" s="9">
        <v>305</v>
      </c>
      <c r="N92" s="9">
        <v>85</v>
      </c>
      <c r="O92" s="9">
        <v>58276</v>
      </c>
      <c r="P92" s="9">
        <v>58052</v>
      </c>
      <c r="Q92" s="9">
        <v>242</v>
      </c>
      <c r="X92" s="20" t="s">
        <v>136</v>
      </c>
      <c r="Y92" s="21" t="s">
        <v>6</v>
      </c>
      <c r="Z92" s="21">
        <v>28</v>
      </c>
      <c r="AD92" s="8" t="s">
        <v>6</v>
      </c>
      <c r="AE92" s="8">
        <v>8.558620689655172E-2</v>
      </c>
      <c r="AF92" s="9" t="str" cm="1">
        <f t="array" ref="AF92">_xlfn.IFS(AE92&gt;=0.4, "Top Performer",AE92&gt;=0.2,"Medium Performer",AE92&lt;0.2, "Least Performer")</f>
        <v>Least Performer</v>
      </c>
    </row>
    <row r="93" spans="4:32" x14ac:dyDescent="0.25">
      <c r="D93" s="9" t="str">
        <v>P087</v>
      </c>
      <c r="E93" s="9">
        <v>0.20868152274837512</v>
      </c>
      <c r="G93" s="9" t="str">
        <v>P087</v>
      </c>
      <c r="H93" s="9" t="str">
        <v>Twitter</v>
      </c>
      <c r="I93" s="9">
        <v>45449</v>
      </c>
      <c r="J93" s="9" t="str">
        <v>Video</v>
      </c>
      <c r="K93" s="9" t="str">
        <v>Check out our latest video on twitter!</v>
      </c>
      <c r="L93" s="9">
        <v>1436</v>
      </c>
      <c r="M93" s="9">
        <v>765</v>
      </c>
      <c r="N93" s="9">
        <v>496</v>
      </c>
      <c r="O93" s="9">
        <v>12924</v>
      </c>
      <c r="P93" s="9">
        <v>12701</v>
      </c>
      <c r="Q93" s="9">
        <v>197</v>
      </c>
      <c r="X93" s="25" t="s">
        <v>137</v>
      </c>
      <c r="Y93" s="26" t="s">
        <v>21</v>
      </c>
      <c r="Z93" s="26">
        <v>283</v>
      </c>
      <c r="AD93" s="8" t="s">
        <v>21</v>
      </c>
      <c r="AE93" s="8">
        <v>8.558620689655172E-2</v>
      </c>
      <c r="AF93" s="9" t="str" cm="1">
        <f t="array" ref="AF93">_xlfn.IFS(AE93&gt;=0.4, "Top Performer",AE93&gt;=0.2,"Medium Performer",AE93&lt;0.2, "Least Performer")</f>
        <v>Least Performer</v>
      </c>
    </row>
    <row r="94" spans="4:32" x14ac:dyDescent="0.25">
      <c r="D94" s="9" t="str">
        <v>P088</v>
      </c>
      <c r="E94" s="9">
        <v>0.13576158940397351</v>
      </c>
      <c r="G94" s="9" t="str">
        <v>P088</v>
      </c>
      <c r="H94" s="9" t="str">
        <v>Facebook</v>
      </c>
      <c r="I94" s="9">
        <v>45480</v>
      </c>
      <c r="J94" s="9" t="str">
        <v>Story</v>
      </c>
      <c r="K94" s="9" t="str">
        <v>Check out our latest story on facebook!</v>
      </c>
      <c r="L94" s="9">
        <v>302</v>
      </c>
      <c r="M94" s="9">
        <v>47</v>
      </c>
      <c r="N94" s="9">
        <v>430</v>
      </c>
      <c r="O94" s="9">
        <v>5738</v>
      </c>
      <c r="P94" s="9">
        <v>4890</v>
      </c>
      <c r="Q94" s="9">
        <v>25</v>
      </c>
      <c r="X94" s="20" t="s">
        <v>35</v>
      </c>
      <c r="Y94" s="21" t="s">
        <v>6</v>
      </c>
      <c r="Z94" s="21">
        <v>200</v>
      </c>
      <c r="AD94" s="8" t="s">
        <v>5</v>
      </c>
      <c r="AE94" s="8">
        <v>8.558620689655172E-2</v>
      </c>
      <c r="AF94" s="9" t="str" cm="1">
        <f t="array" ref="AF94">_xlfn.IFS(AE94&gt;=0.4, "Top Performer",AE94&gt;=0.2,"Medium Performer",AE94&lt;0.2, "Least Performer")</f>
        <v>Least Performer</v>
      </c>
    </row>
    <row r="95" spans="4:32" x14ac:dyDescent="0.25">
      <c r="D95" s="9" t="str">
        <v>P089</v>
      </c>
      <c r="E95" s="9">
        <v>0.16873144921925409</v>
      </c>
      <c r="G95" s="9" t="str">
        <v>P089</v>
      </c>
      <c r="H95" s="9" t="str">
        <v>Twitter</v>
      </c>
      <c r="I95" s="9">
        <v>45667</v>
      </c>
      <c r="J95" s="9" t="str">
        <v>Image</v>
      </c>
      <c r="K95" s="9" t="str">
        <v>Check out our latest image on twitter!</v>
      </c>
      <c r="L95" s="9">
        <v>2214</v>
      </c>
      <c r="M95" s="9">
        <v>249</v>
      </c>
      <c r="N95" s="9">
        <v>152</v>
      </c>
      <c r="O95" s="9">
        <v>15498</v>
      </c>
      <c r="P95" s="9">
        <v>14800</v>
      </c>
      <c r="Q95" s="9">
        <v>180</v>
      </c>
      <c r="X95" s="25" t="s">
        <v>35</v>
      </c>
      <c r="Y95" s="26" t="s">
        <v>21</v>
      </c>
      <c r="Z95" s="26">
        <v>200</v>
      </c>
      <c r="AD95" s="8" t="s">
        <v>32</v>
      </c>
      <c r="AE95" s="8">
        <v>0.16118220597196831</v>
      </c>
      <c r="AF95" s="9" t="str" cm="1">
        <f t="array" ref="AF95">_xlfn.IFS(AE95&gt;=0.4, "Top Performer",AE95&gt;=0.2,"Medium Performer",AE95&lt;0.2, "Least Performer")</f>
        <v>Least Performer</v>
      </c>
    </row>
    <row r="96" spans="4:32" x14ac:dyDescent="0.25">
      <c r="D96" s="9" t="str">
        <v>P090</v>
      </c>
      <c r="E96" s="9">
        <v>7.0822181933293038E-2</v>
      </c>
      <c r="G96" s="9" t="str">
        <v>P090</v>
      </c>
      <c r="H96" s="9" t="str">
        <v>Instagram</v>
      </c>
      <c r="I96" s="9">
        <v>45446</v>
      </c>
      <c r="J96" s="9" t="str">
        <v>Image</v>
      </c>
      <c r="K96" s="9" t="str">
        <v>Check out our latest image on instagram!</v>
      </c>
      <c r="L96" s="9">
        <v>3861</v>
      </c>
      <c r="M96" s="9">
        <v>960</v>
      </c>
      <c r="N96" s="9">
        <v>101</v>
      </c>
      <c r="O96" s="9">
        <v>69498</v>
      </c>
      <c r="P96" s="9">
        <v>68817</v>
      </c>
      <c r="Q96" s="9">
        <v>297</v>
      </c>
      <c r="X96" s="20" t="s">
        <v>35</v>
      </c>
      <c r="Y96" s="21" t="s">
        <v>5</v>
      </c>
      <c r="Z96" s="21">
        <v>200</v>
      </c>
      <c r="AD96" s="8" t="s">
        <v>6</v>
      </c>
      <c r="AE96" s="8">
        <v>8.6737756939878216E-2</v>
      </c>
      <c r="AF96" s="9" t="str" cm="1">
        <f t="array" ref="AF96">_xlfn.IFS(AE96&gt;=0.4, "Top Performer",AE96&gt;=0.2,"Medium Performer",AE96&lt;0.2, "Least Performer")</f>
        <v>Least Performer</v>
      </c>
    </row>
    <row r="97" spans="4:32" x14ac:dyDescent="0.25">
      <c r="D97" s="9" t="str">
        <v>P091</v>
      </c>
      <c r="E97" s="9">
        <v>7.984956452889945E-2</v>
      </c>
      <c r="G97" s="9" t="str">
        <v>P091</v>
      </c>
      <c r="H97" s="9" t="str">
        <v>Facebook</v>
      </c>
      <c r="I97" s="9">
        <v>45740</v>
      </c>
      <c r="J97" s="9" t="str">
        <v>Image</v>
      </c>
      <c r="K97" s="9" t="str">
        <v>Check out our latest image on facebook!</v>
      </c>
      <c r="L97" s="9">
        <v>1263</v>
      </c>
      <c r="M97" s="9">
        <v>397</v>
      </c>
      <c r="N97" s="9">
        <v>357</v>
      </c>
      <c r="O97" s="9">
        <v>25260</v>
      </c>
      <c r="P97" s="9">
        <v>24615</v>
      </c>
      <c r="Q97" s="9">
        <v>137</v>
      </c>
      <c r="X97" s="25" t="s">
        <v>138</v>
      </c>
      <c r="Y97" s="26" t="s">
        <v>32</v>
      </c>
      <c r="Z97" s="26">
        <v>112</v>
      </c>
      <c r="AD97" s="8" t="s">
        <v>6</v>
      </c>
      <c r="AE97" s="8">
        <v>0.19156491900087783</v>
      </c>
      <c r="AF97" s="9" t="str" cm="1">
        <f t="array" ref="AF97">_xlfn.IFS(AE97&gt;=0.4, "Top Performer",AE97&gt;=0.2,"Medium Performer",AE97&lt;0.2, "Least Performer")</f>
        <v>Least Performer</v>
      </c>
    </row>
    <row r="98" spans="4:32" x14ac:dyDescent="0.25">
      <c r="D98" s="9" t="str">
        <v>P092</v>
      </c>
      <c r="E98" s="9">
        <v>0.13599052880820836</v>
      </c>
      <c r="G98" s="9" t="str">
        <v>P092</v>
      </c>
      <c r="H98" s="9" t="str">
        <v>Twitter</v>
      </c>
      <c r="I98" s="9">
        <v>45586</v>
      </c>
      <c r="J98" s="9" t="str">
        <v>Story</v>
      </c>
      <c r="K98" s="9" t="str">
        <v>Check out our latest story on twitter!</v>
      </c>
      <c r="L98" s="9">
        <v>3801</v>
      </c>
      <c r="M98" s="9">
        <v>967</v>
      </c>
      <c r="N98" s="9">
        <v>401</v>
      </c>
      <c r="O98" s="9">
        <v>38010</v>
      </c>
      <c r="P98" s="9">
        <v>37625</v>
      </c>
      <c r="Q98" s="9">
        <v>236</v>
      </c>
      <c r="X98" s="20" t="s">
        <v>139</v>
      </c>
      <c r="Y98" s="21" t="s">
        <v>6</v>
      </c>
      <c r="Z98" s="21">
        <v>255</v>
      </c>
      <c r="AD98" s="8" t="s">
        <v>32</v>
      </c>
      <c r="AE98" s="8">
        <v>6.5515821264328367E-2</v>
      </c>
      <c r="AF98" s="9" t="str" cm="1">
        <f t="array" ref="AF98">_xlfn.IFS(AE98&gt;=0.4, "Top Performer",AE98&gt;=0.2,"Medium Performer",AE98&lt;0.2, "Least Performer")</f>
        <v>Least Performer</v>
      </c>
    </row>
    <row r="99" spans="4:32" x14ac:dyDescent="0.25">
      <c r="D99" s="9" t="str">
        <v>P093</v>
      </c>
      <c r="E99" s="9">
        <v>0.28045655718611695</v>
      </c>
      <c r="G99" s="9" t="str">
        <v>P093</v>
      </c>
      <c r="H99" s="9" t="str">
        <v>Instagram</v>
      </c>
      <c r="I99" s="9">
        <v>45637</v>
      </c>
      <c r="J99" s="9" t="str">
        <v>Video</v>
      </c>
      <c r="K99" s="9" t="str">
        <v>Check out our latest video on instagram!</v>
      </c>
      <c r="L99" s="9">
        <v>1431</v>
      </c>
      <c r="M99" s="9">
        <v>951</v>
      </c>
      <c r="N99" s="9">
        <v>26</v>
      </c>
      <c r="O99" s="9">
        <v>8586</v>
      </c>
      <c r="P99" s="9">
        <v>8396</v>
      </c>
      <c r="Q99" s="9">
        <v>150</v>
      </c>
      <c r="X99" s="25" t="s">
        <v>140</v>
      </c>
      <c r="Y99" s="26" t="s">
        <v>6</v>
      </c>
      <c r="Z99" s="26">
        <v>230</v>
      </c>
      <c r="AD99" s="8" t="s">
        <v>25</v>
      </c>
      <c r="AE99" s="8">
        <v>6.5515821264328367E-2</v>
      </c>
      <c r="AF99" s="9" t="str" cm="1">
        <f t="array" ref="AF99">_xlfn.IFS(AE99&gt;=0.4, "Top Performer",AE99&gt;=0.2,"Medium Performer",AE99&lt;0.2, "Least Performer")</f>
        <v>Least Performer</v>
      </c>
    </row>
    <row r="100" spans="4:32" x14ac:dyDescent="0.25">
      <c r="D100" s="9" t="str">
        <v>P094</v>
      </c>
      <c r="E100" s="9">
        <v>0.16843866371633656</v>
      </c>
      <c r="G100" s="9" t="str">
        <v>P094</v>
      </c>
      <c r="H100" s="9" t="str">
        <v>Instagram</v>
      </c>
      <c r="I100" s="9">
        <v>45603</v>
      </c>
      <c r="J100" s="9" t="str">
        <v>Image</v>
      </c>
      <c r="K100" s="9" t="str">
        <v>Check out our latest image on instagram!</v>
      </c>
      <c r="L100" s="9">
        <v>2647</v>
      </c>
      <c r="M100" s="9">
        <v>304</v>
      </c>
      <c r="N100" s="9">
        <v>170</v>
      </c>
      <c r="O100" s="9">
        <v>18529</v>
      </c>
      <c r="P100" s="9">
        <v>17841</v>
      </c>
      <c r="Q100" s="9">
        <v>46</v>
      </c>
      <c r="X100" s="20" t="s">
        <v>141</v>
      </c>
      <c r="Y100" s="21" t="s">
        <v>32</v>
      </c>
      <c r="Z100" s="21">
        <v>242</v>
      </c>
      <c r="AD100" s="8" t="s">
        <v>6</v>
      </c>
      <c r="AE100" s="8">
        <v>0.20868152274837512</v>
      </c>
      <c r="AF100" s="9" t="str" cm="1">
        <f t="array" ref="AF100">_xlfn.IFS(AE100&gt;=0.4, "Top Performer",AE100&gt;=0.2,"Medium Performer",AE100&lt;0.2, "Least Performer")</f>
        <v>Medium Performer</v>
      </c>
    </row>
    <row r="101" spans="4:32" x14ac:dyDescent="0.25">
      <c r="D101" s="9" t="str">
        <v>P095</v>
      </c>
      <c r="E101" s="9">
        <v>6.8108806480899509E-2</v>
      </c>
      <c r="G101" s="9" t="str">
        <v>P095</v>
      </c>
      <c r="H101" s="9" t="str">
        <v>Instagram</v>
      </c>
      <c r="I101" s="9">
        <v>45604</v>
      </c>
      <c r="J101" s="9" t="str">
        <v>Text</v>
      </c>
      <c r="K101" s="9" t="str">
        <v>Check out our latest text on instagram!</v>
      </c>
      <c r="L101" s="9">
        <v>3182</v>
      </c>
      <c r="M101" s="9">
        <v>559</v>
      </c>
      <c r="N101" s="9">
        <v>160</v>
      </c>
      <c r="O101" s="9">
        <v>57276</v>
      </c>
      <c r="P101" s="9">
        <v>56890</v>
      </c>
      <c r="Q101" s="9">
        <v>163</v>
      </c>
      <c r="X101" s="25" t="s">
        <v>141</v>
      </c>
      <c r="Y101" s="26" t="s">
        <v>25</v>
      </c>
      <c r="Z101" s="26">
        <v>242</v>
      </c>
      <c r="AD101" s="8" t="s">
        <v>21</v>
      </c>
      <c r="AE101" s="8">
        <v>0.13576158940397351</v>
      </c>
      <c r="AF101" s="9" t="str" cm="1">
        <f t="array" ref="AF101">_xlfn.IFS(AE101&gt;=0.4, "Top Performer",AE101&gt;=0.2,"Medium Performer",AE101&lt;0.2, "Least Performer")</f>
        <v>Least Performer</v>
      </c>
    </row>
    <row r="102" spans="4:32" x14ac:dyDescent="0.25">
      <c r="D102" s="9" t="str">
        <v>P096</v>
      </c>
      <c r="E102" s="9">
        <v>0.10339256865912763</v>
      </c>
      <c r="G102" s="9" t="str">
        <v>P096</v>
      </c>
      <c r="H102" s="9" t="str">
        <v>Twitter</v>
      </c>
      <c r="I102" s="9">
        <v>45545</v>
      </c>
      <c r="J102" s="9" t="str">
        <v>Image</v>
      </c>
      <c r="K102" s="9" t="str">
        <v>Check out our latest image on twitter!</v>
      </c>
      <c r="L102" s="9">
        <v>1238</v>
      </c>
      <c r="M102" s="9">
        <v>366</v>
      </c>
      <c r="N102" s="9">
        <v>444</v>
      </c>
      <c r="O102" s="9">
        <v>19808</v>
      </c>
      <c r="P102" s="9">
        <v>19334</v>
      </c>
      <c r="Q102" s="9">
        <v>123</v>
      </c>
      <c r="X102" s="20" t="s">
        <v>142</v>
      </c>
      <c r="Y102" s="21" t="s">
        <v>6</v>
      </c>
      <c r="Z102" s="21">
        <v>197</v>
      </c>
      <c r="AD102" s="8" t="s">
        <v>32</v>
      </c>
      <c r="AE102" s="8">
        <v>0.16873144921925409</v>
      </c>
      <c r="AF102" s="9" t="str" cm="1">
        <f t="array" ref="AF102">_xlfn.IFS(AE102&gt;=0.4, "Top Performer",AE102&gt;=0.2,"Medium Performer",AE102&lt;0.2, "Least Performer")</f>
        <v>Least Performer</v>
      </c>
    </row>
    <row r="103" spans="4:32" x14ac:dyDescent="0.25">
      <c r="D103" s="9" t="str">
        <v>P097</v>
      </c>
      <c r="E103" s="9">
        <v>8.7668609086629767E-2</v>
      </c>
      <c r="G103" s="9" t="str">
        <v>P097</v>
      </c>
      <c r="H103" s="9" t="str">
        <v>Instagram</v>
      </c>
      <c r="I103" s="9">
        <v>45517</v>
      </c>
      <c r="J103" s="9" t="str">
        <v>Image</v>
      </c>
      <c r="K103" s="9" t="str">
        <v>Check out our latest image on instagram!</v>
      </c>
      <c r="L103" s="9">
        <v>4739</v>
      </c>
      <c r="M103" s="9">
        <v>527</v>
      </c>
      <c r="N103" s="9">
        <v>135</v>
      </c>
      <c r="O103" s="9">
        <v>61607</v>
      </c>
      <c r="P103" s="9">
        <v>61333</v>
      </c>
      <c r="Q103" s="9">
        <v>36</v>
      </c>
      <c r="X103" s="25" t="s">
        <v>143</v>
      </c>
      <c r="Y103" s="26" t="s">
        <v>21</v>
      </c>
      <c r="Z103" s="26">
        <v>25</v>
      </c>
      <c r="AD103" s="8" t="s">
        <v>21</v>
      </c>
      <c r="AE103" s="8">
        <v>7.0822181933293038E-2</v>
      </c>
      <c r="AF103" s="9" t="str" cm="1">
        <f t="array" ref="AF103">_xlfn.IFS(AE103&gt;=0.4, "Top Performer",AE103&gt;=0.2,"Medium Performer",AE103&lt;0.2, "Least Performer")</f>
        <v>Least Performer</v>
      </c>
    </row>
    <row r="104" spans="4:32" x14ac:dyDescent="0.25">
      <c r="D104" s="9" t="str">
        <v>P098</v>
      </c>
      <c r="E104" s="9">
        <v>0.11238095238095239</v>
      </c>
      <c r="G104" s="9" t="str">
        <v>P098</v>
      </c>
      <c r="H104" s="9" t="str">
        <v>Twitter</v>
      </c>
      <c r="I104" s="9">
        <v>45453</v>
      </c>
      <c r="J104" s="9" t="str">
        <v>Story</v>
      </c>
      <c r="K104" s="9" t="str">
        <v>Check out our latest story on twitter!</v>
      </c>
      <c r="L104" s="9">
        <v>1575</v>
      </c>
      <c r="M104" s="9">
        <v>771</v>
      </c>
      <c r="N104" s="9">
        <v>486</v>
      </c>
      <c r="O104" s="9">
        <v>25200</v>
      </c>
      <c r="P104" s="9">
        <v>24826</v>
      </c>
      <c r="Q104" s="9">
        <v>17</v>
      </c>
      <c r="X104" s="20" t="s">
        <v>144</v>
      </c>
      <c r="Y104" s="21" t="s">
        <v>32</v>
      </c>
      <c r="Z104" s="21">
        <v>180</v>
      </c>
      <c r="AD104" s="8" t="s">
        <v>32</v>
      </c>
      <c r="AE104" s="8">
        <v>7.984956452889945E-2</v>
      </c>
      <c r="AF104" s="9" t="str" cm="1">
        <f t="array" ref="AF104">_xlfn.IFS(AE104&gt;=0.4, "Top Performer",AE104&gt;=0.2,"Medium Performer",AE104&lt;0.2, "Least Performer")</f>
        <v>Least Performer</v>
      </c>
    </row>
    <row r="105" spans="4:32" x14ac:dyDescent="0.25">
      <c r="D105" s="9" t="str">
        <v>P099</v>
      </c>
      <c r="E105" s="9">
        <v>7.2000119875329657E-2</v>
      </c>
      <c r="G105" s="9" t="str">
        <v>P099</v>
      </c>
      <c r="H105" s="9" t="str">
        <v>YouTube</v>
      </c>
      <c r="I105" s="9">
        <v>45475</v>
      </c>
      <c r="J105" s="9" t="str">
        <v>Carousel</v>
      </c>
      <c r="K105" s="9" t="str">
        <v>Check out our latest carousel on youtube!</v>
      </c>
      <c r="L105" s="9">
        <v>4171</v>
      </c>
      <c r="M105" s="9">
        <v>548</v>
      </c>
      <c r="N105" s="9">
        <v>86</v>
      </c>
      <c r="O105" s="9">
        <v>66736</v>
      </c>
      <c r="P105" s="9">
        <v>66634</v>
      </c>
      <c r="Q105" s="9">
        <v>173</v>
      </c>
      <c r="X105" s="25" t="s">
        <v>145</v>
      </c>
      <c r="Y105" s="26" t="s">
        <v>21</v>
      </c>
      <c r="Z105" s="26">
        <v>297</v>
      </c>
      <c r="AD105" s="8" t="s">
        <v>6</v>
      </c>
      <c r="AE105" s="8">
        <v>0.13599052880820836</v>
      </c>
      <c r="AF105" s="9" t="str" cm="1">
        <f t="array" ref="AF105">_xlfn.IFS(AE105&gt;=0.4, "Top Performer",AE105&gt;=0.2,"Medium Performer",AE105&lt;0.2, "Least Performer")</f>
        <v>Least Performer</v>
      </c>
    </row>
    <row r="106" spans="4:32" x14ac:dyDescent="0.25">
      <c r="D106" s="9" t="str">
        <v>P100</v>
      </c>
      <c r="E106" s="9">
        <v>9.2298980747451867E-2</v>
      </c>
      <c r="G106" s="9" t="str">
        <v>P100</v>
      </c>
      <c r="H106" s="9" t="str">
        <v>YouTube</v>
      </c>
      <c r="I106" s="9">
        <v>45698</v>
      </c>
      <c r="J106" s="9" t="str">
        <v>Video</v>
      </c>
      <c r="K106" s="9" t="str">
        <v>Check out our latest video on youtube!</v>
      </c>
      <c r="L106" s="9">
        <v>1766</v>
      </c>
      <c r="M106" s="9">
        <v>92</v>
      </c>
      <c r="N106" s="9">
        <v>424</v>
      </c>
      <c r="O106" s="9">
        <v>24724</v>
      </c>
      <c r="P106" s="9">
        <v>24333</v>
      </c>
      <c r="Q106" s="9">
        <v>52</v>
      </c>
      <c r="X106" s="20" t="s">
        <v>146</v>
      </c>
      <c r="Y106" s="21" t="s">
        <v>32</v>
      </c>
      <c r="Z106" s="21">
        <v>137</v>
      </c>
      <c r="AD106" s="8" t="s">
        <v>32</v>
      </c>
      <c r="AE106" s="8">
        <v>0.28045655718611695</v>
      </c>
      <c r="AF106" s="9" t="str" cm="1">
        <f t="array" ref="AF106">_xlfn.IFS(AE106&gt;=0.4, "Top Performer",AE106&gt;=0.2,"Medium Performer",AE106&lt;0.2, "Least Performer")</f>
        <v>Medium Performer</v>
      </c>
    </row>
    <row r="107" spans="4:32" x14ac:dyDescent="0.25">
      <c r="D107" s="9" t="str">
        <v>P101</v>
      </c>
      <c r="E107" s="9">
        <v>7.3707865168539333E-2</v>
      </c>
      <c r="G107" s="9" t="str">
        <v>P101</v>
      </c>
      <c r="H107" s="9" t="str">
        <v>YouTube</v>
      </c>
      <c r="I107" s="9">
        <v>45583</v>
      </c>
      <c r="J107" s="9" t="str">
        <v>Video</v>
      </c>
      <c r="K107" s="9" t="str">
        <v>Check out our latest video on youtube!</v>
      </c>
      <c r="L107" s="9">
        <v>4450</v>
      </c>
      <c r="M107" s="9">
        <v>983</v>
      </c>
      <c r="N107" s="9">
        <v>143</v>
      </c>
      <c r="O107" s="9">
        <v>75650</v>
      </c>
      <c r="P107" s="9">
        <v>75008</v>
      </c>
      <c r="Q107" s="9">
        <v>12</v>
      </c>
      <c r="X107" s="25" t="s">
        <v>147</v>
      </c>
      <c r="Y107" s="26" t="s">
        <v>6</v>
      </c>
      <c r="Z107" s="26">
        <v>236</v>
      </c>
      <c r="AD107" s="8" t="s">
        <v>6</v>
      </c>
      <c r="AE107" s="8">
        <v>0.16843866371633656</v>
      </c>
      <c r="AF107" s="9" t="str" cm="1">
        <f t="array" ref="AF107">_xlfn.IFS(AE107&gt;=0.4, "Top Performer",AE107&gt;=0.2,"Medium Performer",AE107&lt;0.2, "Least Performer")</f>
        <v>Least Performer</v>
      </c>
    </row>
    <row r="108" spans="4:32" x14ac:dyDescent="0.25">
      <c r="D108" s="9" t="str">
        <v>P102</v>
      </c>
      <c r="E108" s="9">
        <v>0.35666666666666669</v>
      </c>
      <c r="G108" s="9" t="str">
        <v>P102</v>
      </c>
      <c r="H108" s="9" t="str">
        <v>Twitter</v>
      </c>
      <c r="I108" s="9">
        <v>45553</v>
      </c>
      <c r="J108" s="9" t="str">
        <v>Reel</v>
      </c>
      <c r="K108" s="9" t="str">
        <v>Check out our latest reel on twitter!</v>
      </c>
      <c r="L108" s="9">
        <v>1000</v>
      </c>
      <c r="M108" s="9">
        <v>978</v>
      </c>
      <c r="N108" s="9">
        <v>162</v>
      </c>
      <c r="O108" s="9">
        <v>6000</v>
      </c>
      <c r="P108" s="9">
        <v>5221</v>
      </c>
      <c r="Q108" s="9">
        <v>223</v>
      </c>
      <c r="X108" s="20" t="s">
        <v>148</v>
      </c>
      <c r="Y108" s="21" t="s">
        <v>32</v>
      </c>
      <c r="Z108" s="21">
        <v>150</v>
      </c>
      <c r="AD108" s="8" t="s">
        <v>6</v>
      </c>
      <c r="AE108" s="8">
        <v>6.8108806480899509E-2</v>
      </c>
      <c r="AF108" s="9" t="str" cm="1">
        <f t="array" ref="AF108">_xlfn.IFS(AE108&gt;=0.4, "Top Performer",AE108&gt;=0.2,"Medium Performer",AE108&lt;0.2, "Least Performer")</f>
        <v>Least Performer</v>
      </c>
    </row>
    <row r="109" spans="4:32" x14ac:dyDescent="0.25">
      <c r="D109" s="9" t="str">
        <v>P103</v>
      </c>
      <c r="E109" s="9">
        <v>9.9632815002833983E-2</v>
      </c>
      <c r="G109" s="9" t="str">
        <v>P103</v>
      </c>
      <c r="H109" s="9" t="str">
        <v>Facebook</v>
      </c>
      <c r="I109" s="9">
        <v>45454</v>
      </c>
      <c r="J109" s="9" t="str">
        <v>Image</v>
      </c>
      <c r="K109" s="9" t="str">
        <v>Check out our latest image on facebook!</v>
      </c>
      <c r="L109" s="9">
        <v>3689</v>
      </c>
      <c r="M109" s="9">
        <v>48</v>
      </c>
      <c r="N109" s="9">
        <v>306</v>
      </c>
      <c r="O109" s="9">
        <v>40579</v>
      </c>
      <c r="P109" s="9">
        <v>39588</v>
      </c>
      <c r="Q109" s="9">
        <v>212</v>
      </c>
      <c r="X109" s="25" t="s">
        <v>149</v>
      </c>
      <c r="Y109" s="26" t="s">
        <v>6</v>
      </c>
      <c r="Z109" s="26">
        <v>46</v>
      </c>
      <c r="AD109" s="8" t="s">
        <v>6</v>
      </c>
      <c r="AE109" s="8">
        <v>0.10339256865912763</v>
      </c>
      <c r="AF109" s="9" t="str" cm="1">
        <f t="array" ref="AF109">_xlfn.IFS(AE109&gt;=0.4, "Top Performer",AE109&gt;=0.2,"Medium Performer",AE109&lt;0.2, "Least Performer")</f>
        <v>Least Performer</v>
      </c>
    </row>
    <row r="110" spans="4:32" x14ac:dyDescent="0.25">
      <c r="D110" s="9" t="str">
        <v>P104</v>
      </c>
      <c r="E110" s="9">
        <v>0.13707250341997265</v>
      </c>
      <c r="G110" s="9" t="str">
        <v>P104</v>
      </c>
      <c r="H110" s="9" t="str">
        <v>YouTube</v>
      </c>
      <c r="I110" s="9">
        <v>45739</v>
      </c>
      <c r="J110" s="9" t="str">
        <v>Story</v>
      </c>
      <c r="K110" s="9" t="str">
        <v>Check out our latest story on youtube!</v>
      </c>
      <c r="L110" s="9">
        <v>3655</v>
      </c>
      <c r="M110" s="9">
        <v>568</v>
      </c>
      <c r="N110" s="9">
        <v>286</v>
      </c>
      <c r="O110" s="9">
        <v>32895</v>
      </c>
      <c r="P110" s="9">
        <v>32015</v>
      </c>
      <c r="Q110" s="9">
        <v>199</v>
      </c>
      <c r="X110" s="20" t="s">
        <v>150</v>
      </c>
      <c r="Y110" s="21" t="s">
        <v>6</v>
      </c>
      <c r="Z110" s="21">
        <v>163</v>
      </c>
      <c r="AD110" s="8" t="s">
        <v>21</v>
      </c>
      <c r="AE110" s="8">
        <v>8.7668609086629767E-2</v>
      </c>
      <c r="AF110" s="9" t="str" cm="1">
        <f t="array" ref="AF110">_xlfn.IFS(AE110&gt;=0.4, "Top Performer",AE110&gt;=0.2,"Medium Performer",AE110&lt;0.2, "Least Performer")</f>
        <v>Least Performer</v>
      </c>
    </row>
    <row r="111" spans="4:32" x14ac:dyDescent="0.25">
      <c r="D111" s="9" t="str">
        <v>P105</v>
      </c>
      <c r="E111" s="9">
        <v>0.12896028558679162</v>
      </c>
      <c r="G111" s="9" t="str">
        <v>P105</v>
      </c>
      <c r="H111" s="9" t="str">
        <v>Instagram</v>
      </c>
      <c r="I111" s="9">
        <v>45457</v>
      </c>
      <c r="J111" s="9" t="str">
        <v>Carousel</v>
      </c>
      <c r="K111" s="9" t="str">
        <v>Check out our latest carousel on instagram!</v>
      </c>
      <c r="L111" s="9">
        <v>498</v>
      </c>
      <c r="M111" s="9">
        <v>38</v>
      </c>
      <c r="N111" s="9">
        <v>42</v>
      </c>
      <c r="O111" s="9">
        <v>4482</v>
      </c>
      <c r="P111" s="9">
        <v>3647</v>
      </c>
      <c r="Q111" s="9">
        <v>32</v>
      </c>
      <c r="X111" s="25" t="s">
        <v>151</v>
      </c>
      <c r="Y111" s="26" t="s">
        <v>6</v>
      </c>
      <c r="Z111" s="26">
        <v>123</v>
      </c>
      <c r="AD111" s="8" t="s">
        <v>5</v>
      </c>
      <c r="AE111" s="8">
        <v>8.7668609086629767E-2</v>
      </c>
      <c r="AF111" s="9" t="str" cm="1">
        <f t="array" ref="AF111">_xlfn.IFS(AE111&gt;=0.4, "Top Performer",AE111&gt;=0.2,"Medium Performer",AE111&lt;0.2, "Least Performer")</f>
        <v>Least Performer</v>
      </c>
    </row>
    <row r="112" spans="4:32" x14ac:dyDescent="0.25">
      <c r="D112" s="9" t="str">
        <v>P106</v>
      </c>
      <c r="E112" s="9">
        <v>8.5718409468138843E-2</v>
      </c>
      <c r="G112" s="9" t="str">
        <v>P106</v>
      </c>
      <c r="H112" s="9" t="str">
        <v>Instagram</v>
      </c>
      <c r="I112" s="9">
        <v>45692</v>
      </c>
      <c r="J112" s="9" t="str">
        <v>Image</v>
      </c>
      <c r="K112" s="9" t="str">
        <v>Check out our latest image on instagram!</v>
      </c>
      <c r="L112" s="9">
        <v>4619</v>
      </c>
      <c r="M112" s="9">
        <v>821</v>
      </c>
      <c r="N112" s="9">
        <v>499</v>
      </c>
      <c r="O112" s="9">
        <v>69285</v>
      </c>
      <c r="P112" s="9">
        <v>69141</v>
      </c>
      <c r="Q112" s="9">
        <v>298</v>
      </c>
      <c r="X112" s="20" t="s">
        <v>38</v>
      </c>
      <c r="Y112" s="21" t="s">
        <v>21</v>
      </c>
      <c r="Z112" s="21">
        <v>36</v>
      </c>
      <c r="AD112" s="8" t="s">
        <v>6</v>
      </c>
      <c r="AE112" s="8">
        <v>0.11238095238095239</v>
      </c>
      <c r="AF112" s="9" t="str" cm="1">
        <f t="array" ref="AF112">_xlfn.IFS(AE112&gt;=0.4, "Top Performer",AE112&gt;=0.2,"Medium Performer",AE112&lt;0.2, "Least Performer")</f>
        <v>Least Performer</v>
      </c>
    </row>
    <row r="113" spans="4:32" x14ac:dyDescent="0.25">
      <c r="D113" s="9" t="str">
        <v>P107</v>
      </c>
      <c r="E113" s="9">
        <v>6.2467323109097243E-2</v>
      </c>
      <c r="G113" s="9" t="str">
        <v>P107</v>
      </c>
      <c r="H113" s="9" t="str">
        <v>YouTube</v>
      </c>
      <c r="I113" s="9">
        <v>45464</v>
      </c>
      <c r="J113" s="9" t="str">
        <v>Image</v>
      </c>
      <c r="K113" s="9" t="str">
        <v>Check out our latest image on youtube!</v>
      </c>
      <c r="L113" s="9">
        <v>4832</v>
      </c>
      <c r="M113" s="9">
        <v>893</v>
      </c>
      <c r="N113" s="9">
        <v>10</v>
      </c>
      <c r="O113" s="9">
        <v>91808</v>
      </c>
      <c r="P113" s="9">
        <v>91296</v>
      </c>
      <c r="Q113" s="9">
        <v>182</v>
      </c>
      <c r="X113" s="25" t="s">
        <v>38</v>
      </c>
      <c r="Y113" s="26" t="s">
        <v>5</v>
      </c>
      <c r="Z113" s="26">
        <v>36</v>
      </c>
      <c r="AD113" s="8" t="s">
        <v>6</v>
      </c>
      <c r="AE113" s="8">
        <v>7.2000119875329657E-2</v>
      </c>
      <c r="AF113" s="9" t="str" cm="1">
        <f t="array" ref="AF113">_xlfn.IFS(AE113&gt;=0.4, "Top Performer",AE113&gt;=0.2,"Medium Performer",AE113&lt;0.2, "Least Performer")</f>
        <v>Least Performer</v>
      </c>
    </row>
    <row r="114" spans="4:32" x14ac:dyDescent="0.25">
      <c r="D114" s="9" t="str">
        <v>P108</v>
      </c>
      <c r="E114" s="9">
        <v>0.10005698005698006</v>
      </c>
      <c r="G114" s="9" t="str">
        <v>P108</v>
      </c>
      <c r="H114" s="9" t="str">
        <v>Twitter</v>
      </c>
      <c r="I114" s="9">
        <v>45741</v>
      </c>
      <c r="J114" s="9" t="str">
        <v>Video</v>
      </c>
      <c r="K114" s="9" t="str">
        <v>Check out our latest video on twitter!</v>
      </c>
      <c r="L114" s="9">
        <v>4050</v>
      </c>
      <c r="M114" s="9">
        <v>871</v>
      </c>
      <c r="N114" s="9">
        <v>347</v>
      </c>
      <c r="O114" s="9">
        <v>52650</v>
      </c>
      <c r="P114" s="9">
        <v>51755</v>
      </c>
      <c r="Q114" s="9">
        <v>209</v>
      </c>
      <c r="X114" s="20" t="s">
        <v>152</v>
      </c>
      <c r="Y114" s="21" t="s">
        <v>6</v>
      </c>
      <c r="Z114" s="21">
        <v>17</v>
      </c>
      <c r="AD114" s="8" t="s">
        <v>32</v>
      </c>
      <c r="AE114" s="8">
        <v>9.2298980747451867E-2</v>
      </c>
      <c r="AF114" s="9" t="str" cm="1">
        <f t="array" ref="AF114">_xlfn.IFS(AE114&gt;=0.4, "Top Performer",AE114&gt;=0.2,"Medium Performer",AE114&lt;0.2, "Least Performer")</f>
        <v>Least Performer</v>
      </c>
    </row>
    <row r="115" spans="4:32" x14ac:dyDescent="0.25">
      <c r="D115" s="9" t="str">
        <v>P109</v>
      </c>
      <c r="E115" s="9">
        <v>0.16744313510550835</v>
      </c>
      <c r="G115" s="9" t="str">
        <v>P109</v>
      </c>
      <c r="H115" s="9" t="str">
        <v>Twitter</v>
      </c>
      <c r="I115" s="9">
        <v>45512</v>
      </c>
      <c r="J115" s="9" t="str">
        <v>Story</v>
      </c>
      <c r="K115" s="9" t="str">
        <v>Check out our latest story on twitter!</v>
      </c>
      <c r="L115" s="9">
        <v>3649</v>
      </c>
      <c r="M115" s="9">
        <v>215</v>
      </c>
      <c r="N115" s="9">
        <v>413</v>
      </c>
      <c r="O115" s="9">
        <v>25543</v>
      </c>
      <c r="P115" s="9">
        <v>24963</v>
      </c>
      <c r="Q115" s="9">
        <v>167</v>
      </c>
      <c r="X115" s="25" t="s">
        <v>153</v>
      </c>
      <c r="Y115" s="26" t="s">
        <v>6</v>
      </c>
      <c r="Z115" s="26">
        <v>173</v>
      </c>
      <c r="AD115" s="8" t="s">
        <v>6</v>
      </c>
      <c r="AE115" s="8">
        <v>7.3707865168539333E-2</v>
      </c>
      <c r="AF115" s="9" t="str" cm="1">
        <f t="array" ref="AF115">_xlfn.IFS(AE115&gt;=0.4, "Top Performer",AE115&gt;=0.2,"Medium Performer",AE115&lt;0.2, "Least Performer")</f>
        <v>Least Performer</v>
      </c>
    </row>
    <row r="116" spans="4:32" x14ac:dyDescent="0.25">
      <c r="D116" s="9" t="str">
        <v>P110</v>
      </c>
      <c r="E116" s="9">
        <v>0.12277759141227776</v>
      </c>
      <c r="G116" s="9" t="str">
        <v>P110</v>
      </c>
      <c r="H116" s="9" t="str">
        <v>Instagram</v>
      </c>
      <c r="I116" s="9">
        <v>45502</v>
      </c>
      <c r="J116" s="9" t="str">
        <v>Reel</v>
      </c>
      <c r="K116" s="9" t="str">
        <v>Check out our latest reel on instagram!</v>
      </c>
      <c r="L116" s="9">
        <v>3523</v>
      </c>
      <c r="M116" s="9">
        <v>753</v>
      </c>
      <c r="N116" s="9">
        <v>482</v>
      </c>
      <c r="O116" s="9">
        <v>38753</v>
      </c>
      <c r="P116" s="9">
        <v>38579</v>
      </c>
      <c r="Q116" s="9">
        <v>270</v>
      </c>
      <c r="X116" s="20" t="s">
        <v>154</v>
      </c>
      <c r="Y116" s="21" t="s">
        <v>32</v>
      </c>
      <c r="Z116" s="21">
        <v>52</v>
      </c>
      <c r="AD116" s="8" t="s">
        <v>32</v>
      </c>
      <c r="AE116" s="8">
        <v>0.35666666666666669</v>
      </c>
      <c r="AF116" s="9" t="str" cm="1">
        <f t="array" ref="AF116">_xlfn.IFS(AE116&gt;=0.4, "Top Performer",AE116&gt;=0.2,"Medium Performer",AE116&lt;0.2, "Least Performer")</f>
        <v>Medium Performer</v>
      </c>
    </row>
    <row r="117" spans="4:32" x14ac:dyDescent="0.25">
      <c r="D117" s="9" t="str">
        <v>P111</v>
      </c>
      <c r="E117" s="9">
        <v>7.4071349760941527E-2</v>
      </c>
      <c r="G117" s="9" t="str">
        <v>P111</v>
      </c>
      <c r="H117" s="9" t="str">
        <v>YouTube</v>
      </c>
      <c r="I117" s="9">
        <v>45619</v>
      </c>
      <c r="J117" s="9" t="str">
        <v>Image</v>
      </c>
      <c r="K117" s="9" t="str">
        <v>Check out our latest image on youtube!</v>
      </c>
      <c r="L117" s="9">
        <v>2719</v>
      </c>
      <c r="M117" s="9">
        <v>17</v>
      </c>
      <c r="N117" s="9">
        <v>285</v>
      </c>
      <c r="O117" s="9">
        <v>40785</v>
      </c>
      <c r="P117" s="9">
        <v>40281</v>
      </c>
      <c r="Q117" s="9">
        <v>40</v>
      </c>
      <c r="X117" s="25" t="s">
        <v>155</v>
      </c>
      <c r="Y117" s="26" t="s">
        <v>6</v>
      </c>
      <c r="Z117" s="26">
        <v>12</v>
      </c>
      <c r="AD117" s="8" t="s">
        <v>32</v>
      </c>
      <c r="AE117" s="8">
        <v>9.9632815002833983E-2</v>
      </c>
      <c r="AF117" s="9" t="str" cm="1">
        <f t="array" ref="AF117">_xlfn.IFS(AE117&gt;=0.4, "Top Performer",AE117&gt;=0.2,"Medium Performer",AE117&lt;0.2, "Least Performer")</f>
        <v>Least Performer</v>
      </c>
    </row>
    <row r="118" spans="4:32" x14ac:dyDescent="0.25">
      <c r="D118" s="9" t="str">
        <v>P112</v>
      </c>
      <c r="E118" s="9">
        <v>0.17441662408448305</v>
      </c>
      <c r="G118" s="9" t="str">
        <v>P112</v>
      </c>
      <c r="H118" s="9" t="str">
        <v>Twitter</v>
      </c>
      <c r="I118" s="9">
        <v>45570</v>
      </c>
      <c r="J118" s="9" t="str">
        <v>Story</v>
      </c>
      <c r="K118" s="9" t="str">
        <v>Check out our latest story on twitter!</v>
      </c>
      <c r="L118" s="9">
        <v>1957</v>
      </c>
      <c r="M118" s="9">
        <v>877</v>
      </c>
      <c r="N118" s="9">
        <v>238</v>
      </c>
      <c r="O118" s="9">
        <v>17613</v>
      </c>
      <c r="P118" s="9">
        <v>16865</v>
      </c>
      <c r="Q118" s="9">
        <v>297</v>
      </c>
      <c r="X118" s="20" t="s">
        <v>156</v>
      </c>
      <c r="Y118" s="21" t="s">
        <v>32</v>
      </c>
      <c r="Z118" s="21">
        <v>223</v>
      </c>
      <c r="AD118" s="8" t="s">
        <v>21</v>
      </c>
      <c r="AE118" s="8">
        <v>0.13707250341997265</v>
      </c>
      <c r="AF118" s="9" t="str" cm="1">
        <f t="array" ref="AF118">_xlfn.IFS(AE118&gt;=0.4, "Top Performer",AE118&gt;=0.2,"Medium Performer",AE118&lt;0.2, "Least Performer")</f>
        <v>Least Performer</v>
      </c>
    </row>
    <row r="119" spans="4:32" x14ac:dyDescent="0.25">
      <c r="D119" s="9" t="str">
        <v>P113</v>
      </c>
      <c r="E119" s="9">
        <v>0.11369088028965829</v>
      </c>
      <c r="G119" s="9" t="str">
        <v>P113</v>
      </c>
      <c r="H119" s="9" t="str">
        <v>Twitter</v>
      </c>
      <c r="I119" s="9">
        <v>45567</v>
      </c>
      <c r="J119" s="9" t="str">
        <v>Carousel</v>
      </c>
      <c r="K119" s="9" t="str">
        <v>Check out our latest carousel on twitter!</v>
      </c>
      <c r="L119" s="9">
        <v>4419</v>
      </c>
      <c r="M119" s="9">
        <v>236</v>
      </c>
      <c r="N119" s="9">
        <v>369</v>
      </c>
      <c r="O119" s="9">
        <v>44190</v>
      </c>
      <c r="P119" s="9">
        <v>43582</v>
      </c>
      <c r="Q119" s="9">
        <v>10</v>
      </c>
      <c r="X119" s="25" t="s">
        <v>157</v>
      </c>
      <c r="Y119" s="26" t="s">
        <v>32</v>
      </c>
      <c r="Z119" s="26">
        <v>212</v>
      </c>
      <c r="AD119" s="8" t="s">
        <v>6</v>
      </c>
      <c r="AE119" s="8">
        <v>0.12896028558679162</v>
      </c>
      <c r="AF119" s="9" t="str" cm="1">
        <f t="array" ref="AF119">_xlfn.IFS(AE119&gt;=0.4, "Top Performer",AE119&gt;=0.2,"Medium Performer",AE119&lt;0.2, "Least Performer")</f>
        <v>Least Performer</v>
      </c>
    </row>
    <row r="120" spans="4:32" x14ac:dyDescent="0.25">
      <c r="D120" s="9" t="str">
        <v>P114</v>
      </c>
      <c r="E120" s="9">
        <v>0.12942500000000001</v>
      </c>
      <c r="G120" s="9" t="str">
        <v>P114</v>
      </c>
      <c r="H120" s="9" t="str">
        <v>Twitter</v>
      </c>
      <c r="I120" s="9">
        <v>45610</v>
      </c>
      <c r="J120" s="9" t="str">
        <v>Story</v>
      </c>
      <c r="K120" s="9" t="str">
        <v>Check out our latest story on twitter!</v>
      </c>
      <c r="L120" s="9">
        <v>4000</v>
      </c>
      <c r="M120" s="9">
        <v>689</v>
      </c>
      <c r="N120" s="9">
        <v>488</v>
      </c>
      <c r="O120" s="9">
        <v>40000</v>
      </c>
      <c r="P120" s="9">
        <v>39569</v>
      </c>
      <c r="Q120" s="9">
        <v>44</v>
      </c>
      <c r="X120" s="20" t="s">
        <v>158</v>
      </c>
      <c r="Y120" s="21" t="s">
        <v>21</v>
      </c>
      <c r="Z120" s="21">
        <v>199</v>
      </c>
      <c r="AD120" s="8" t="s">
        <v>21</v>
      </c>
      <c r="AE120" s="8">
        <v>8.5718409468138843E-2</v>
      </c>
      <c r="AF120" s="9" t="str" cm="1">
        <f t="array" ref="AF120">_xlfn.IFS(AE120&gt;=0.4, "Top Performer",AE120&gt;=0.2,"Medium Performer",AE120&lt;0.2, "Least Performer")</f>
        <v>Least Performer</v>
      </c>
    </row>
    <row r="121" spans="4:32" x14ac:dyDescent="0.25">
      <c r="D121" s="9" t="str">
        <v>P115</v>
      </c>
      <c r="E121" s="9">
        <v>6.2150491965739366E-2</v>
      </c>
      <c r="G121" s="9" t="str">
        <v>P115</v>
      </c>
      <c r="H121" s="9" t="str">
        <v>Twitter</v>
      </c>
      <c r="I121" s="9">
        <v>45788</v>
      </c>
      <c r="J121" s="9" t="str">
        <v>Image</v>
      </c>
      <c r="K121" s="9" t="str">
        <v>Check out our latest image on twitter!</v>
      </c>
      <c r="L121" s="9">
        <v>2493</v>
      </c>
      <c r="M121" s="9">
        <v>97</v>
      </c>
      <c r="N121" s="9">
        <v>44</v>
      </c>
      <c r="O121" s="9">
        <v>42381</v>
      </c>
      <c r="P121" s="9">
        <v>41991</v>
      </c>
      <c r="Q121" s="9">
        <v>242</v>
      </c>
      <c r="X121" s="25" t="s">
        <v>159</v>
      </c>
      <c r="Y121" s="26" t="s">
        <v>6</v>
      </c>
      <c r="Z121" s="26">
        <v>32</v>
      </c>
      <c r="AD121" s="8" t="s">
        <v>21</v>
      </c>
      <c r="AE121" s="8">
        <v>6.2467323109097243E-2</v>
      </c>
      <c r="AF121" s="9" t="str" cm="1">
        <f t="array" ref="AF121">_xlfn.IFS(AE121&gt;=0.4, "Top Performer",AE121&gt;=0.2,"Medium Performer",AE121&lt;0.2, "Least Performer")</f>
        <v>Least Performer</v>
      </c>
    </row>
    <row r="122" spans="4:32" x14ac:dyDescent="0.25">
      <c r="D122" s="9" t="str">
        <v>P116</v>
      </c>
      <c r="E122" s="9">
        <v>0.16769515581610614</v>
      </c>
      <c r="G122" s="9" t="str">
        <v>P116</v>
      </c>
      <c r="H122" s="9" t="str">
        <v>YouTube</v>
      </c>
      <c r="I122" s="9">
        <v>45734</v>
      </c>
      <c r="J122" s="9" t="str">
        <v>Reel</v>
      </c>
      <c r="K122" s="9" t="str">
        <v>Check out our latest reel on youtube!</v>
      </c>
      <c r="L122" s="9">
        <v>3704</v>
      </c>
      <c r="M122" s="9">
        <v>186</v>
      </c>
      <c r="N122" s="9">
        <v>458</v>
      </c>
      <c r="O122" s="9">
        <v>25928</v>
      </c>
      <c r="P122" s="9">
        <v>25081</v>
      </c>
      <c r="Q122" s="9">
        <v>131</v>
      </c>
      <c r="X122" s="20" t="s">
        <v>160</v>
      </c>
      <c r="Y122" s="21" t="s">
        <v>21</v>
      </c>
      <c r="Z122" s="21">
        <v>298</v>
      </c>
      <c r="AD122" s="8" t="s">
        <v>21</v>
      </c>
      <c r="AE122" s="8">
        <v>0.10005698005698006</v>
      </c>
      <c r="AF122" s="9" t="str" cm="1">
        <f t="array" ref="AF122">_xlfn.IFS(AE122&gt;=0.4, "Top Performer",AE122&gt;=0.2,"Medium Performer",AE122&lt;0.2, "Least Performer")</f>
        <v>Least Performer</v>
      </c>
    </row>
    <row r="123" spans="4:32" x14ac:dyDescent="0.25">
      <c r="D123" s="9" t="str">
        <v>P117</v>
      </c>
      <c r="E123" s="9">
        <v>0.11792317271769326</v>
      </c>
      <c r="G123" s="9" t="str">
        <v>P117</v>
      </c>
      <c r="H123" s="9" t="str">
        <v>Twitter</v>
      </c>
      <c r="I123" s="9">
        <v>45600</v>
      </c>
      <c r="J123" s="9" t="str">
        <v>Image</v>
      </c>
      <c r="K123" s="9" t="str">
        <v>Check out our latest image on twitter!</v>
      </c>
      <c r="L123" s="9">
        <v>1606</v>
      </c>
      <c r="M123" s="9">
        <v>451</v>
      </c>
      <c r="N123" s="9">
        <v>405</v>
      </c>
      <c r="O123" s="9">
        <v>20878</v>
      </c>
      <c r="P123" s="9">
        <v>20190</v>
      </c>
      <c r="Q123" s="9">
        <v>219</v>
      </c>
      <c r="X123" s="25" t="s">
        <v>161</v>
      </c>
      <c r="Y123" s="26" t="s">
        <v>21</v>
      </c>
      <c r="Z123" s="26">
        <v>182</v>
      </c>
      <c r="AD123" s="8" t="s">
        <v>6</v>
      </c>
      <c r="AE123" s="8">
        <v>0.16744313510550835</v>
      </c>
      <c r="AF123" s="9" t="str" cm="1">
        <f t="array" ref="AF123">_xlfn.IFS(AE123&gt;=0.4, "Top Performer",AE123&gt;=0.2,"Medium Performer",AE123&lt;0.2, "Least Performer")</f>
        <v>Least Performer</v>
      </c>
    </row>
    <row r="124" spans="4:32" x14ac:dyDescent="0.25">
      <c r="D124" s="9" t="str">
        <v>P118</v>
      </c>
      <c r="E124" s="9">
        <v>8.0158206987475278E-2</v>
      </c>
      <c r="G124" s="9" t="str">
        <v>P118</v>
      </c>
      <c r="H124" s="9" t="str">
        <v>Facebook</v>
      </c>
      <c r="I124" s="9">
        <v>45600</v>
      </c>
      <c r="J124" s="9" t="str">
        <v>Image</v>
      </c>
      <c r="K124" s="9" t="str">
        <v>Check out our latest image on facebook!</v>
      </c>
      <c r="L124" s="9">
        <v>4551</v>
      </c>
      <c r="M124" s="9">
        <v>714</v>
      </c>
      <c r="N124" s="9">
        <v>207</v>
      </c>
      <c r="O124" s="9">
        <v>68265</v>
      </c>
      <c r="P124" s="9">
        <v>67754</v>
      </c>
      <c r="Q124" s="9">
        <v>57</v>
      </c>
      <c r="X124" s="20" t="s">
        <v>162</v>
      </c>
      <c r="Y124" s="21" t="s">
        <v>21</v>
      </c>
      <c r="Z124" s="21">
        <v>209</v>
      </c>
      <c r="AD124" s="8" t="s">
        <v>32</v>
      </c>
      <c r="AE124" s="8">
        <v>0.12277759141227776</v>
      </c>
      <c r="AF124" s="9" t="str" cm="1">
        <f t="array" ref="AF124">_xlfn.IFS(AE124&gt;=0.4, "Top Performer",AE124&gt;=0.2,"Medium Performer",AE124&lt;0.2, "Least Performer")</f>
        <v>Least Performer</v>
      </c>
    </row>
    <row r="125" spans="4:32" x14ac:dyDescent="0.25">
      <c r="D125" s="9" t="str">
        <v>P119</v>
      </c>
      <c r="E125" s="9">
        <v>0.31705583756345179</v>
      </c>
      <c r="G125" s="9" t="str">
        <v>P119</v>
      </c>
      <c r="H125" s="9" t="str">
        <v>Instagram</v>
      </c>
      <c r="I125" s="9">
        <v>45695</v>
      </c>
      <c r="J125" s="9" t="str">
        <v>Reel</v>
      </c>
      <c r="K125" s="9" t="str">
        <v>Check out our latest reel on instagram!</v>
      </c>
      <c r="L125" s="9">
        <v>1970</v>
      </c>
      <c r="M125" s="9">
        <v>675</v>
      </c>
      <c r="N125" s="9">
        <v>478</v>
      </c>
      <c r="O125" s="9">
        <v>9850</v>
      </c>
      <c r="P125" s="9">
        <v>8924</v>
      </c>
      <c r="Q125" s="9">
        <v>117</v>
      </c>
      <c r="X125" s="25" t="s">
        <v>163</v>
      </c>
      <c r="Y125" s="26" t="s">
        <v>6</v>
      </c>
      <c r="Z125" s="26">
        <v>167</v>
      </c>
      <c r="AD125" s="8" t="s">
        <v>21</v>
      </c>
      <c r="AE125" s="8">
        <v>7.4071349760941527E-2</v>
      </c>
      <c r="AF125" s="9" t="str" cm="1">
        <f t="array" ref="AF125">_xlfn.IFS(AE125&gt;=0.4, "Top Performer",AE125&gt;=0.2,"Medium Performer",AE125&lt;0.2, "Least Performer")</f>
        <v>Least Performer</v>
      </c>
    </row>
    <row r="126" spans="4:32" x14ac:dyDescent="0.25">
      <c r="D126" s="9" t="str">
        <v>P120</v>
      </c>
      <c r="E126" s="9">
        <v>0.23414918414918415</v>
      </c>
      <c r="G126" s="9" t="str">
        <v>P120</v>
      </c>
      <c r="H126" s="9" t="str">
        <v>Facebook</v>
      </c>
      <c r="I126" s="9">
        <v>45586</v>
      </c>
      <c r="J126" s="9" t="str">
        <v>Story</v>
      </c>
      <c r="K126" s="9" t="str">
        <v>Check out our latest story on facebook!</v>
      </c>
      <c r="L126" s="9">
        <v>780</v>
      </c>
      <c r="M126" s="9">
        <v>928</v>
      </c>
      <c r="N126" s="9">
        <v>301</v>
      </c>
      <c r="O126" s="9">
        <v>8580</v>
      </c>
      <c r="P126" s="9">
        <v>8081</v>
      </c>
      <c r="Q126" s="9">
        <v>91</v>
      </c>
      <c r="X126" s="20" t="s">
        <v>164</v>
      </c>
      <c r="Y126" s="21" t="s">
        <v>32</v>
      </c>
      <c r="Z126" s="21">
        <v>270</v>
      </c>
      <c r="AD126" s="8" t="s">
        <v>6</v>
      </c>
      <c r="AE126" s="8">
        <v>0.17441662408448305</v>
      </c>
      <c r="AF126" s="9" t="str" cm="1">
        <f t="array" ref="AF126">_xlfn.IFS(AE126&gt;=0.4, "Top Performer",AE126&gt;=0.2,"Medium Performer",AE126&lt;0.2, "Least Performer")</f>
        <v>Least Performer</v>
      </c>
    </row>
    <row r="127" spans="4:32" x14ac:dyDescent="0.25">
      <c r="D127" s="9" t="str">
        <v>P121</v>
      </c>
      <c r="E127" s="9">
        <v>0.32349397590361445</v>
      </c>
      <c r="G127" s="9" t="str">
        <v>P121</v>
      </c>
      <c r="H127" s="9" t="str">
        <v>Instagram</v>
      </c>
      <c r="I127" s="9">
        <v>45502</v>
      </c>
      <c r="J127" s="9" t="str">
        <v>Story</v>
      </c>
      <c r="K127" s="9" t="str">
        <v>Check out our latest story on instagram!</v>
      </c>
      <c r="L127" s="9">
        <v>498</v>
      </c>
      <c r="M127" s="9">
        <v>701</v>
      </c>
      <c r="N127" s="9">
        <v>412</v>
      </c>
      <c r="O127" s="9">
        <v>4980</v>
      </c>
      <c r="P127" s="9">
        <v>4185</v>
      </c>
      <c r="Q127" s="9">
        <v>185</v>
      </c>
      <c r="X127" s="25" t="s">
        <v>165</v>
      </c>
      <c r="Y127" s="26" t="s">
        <v>21</v>
      </c>
      <c r="Z127" s="26">
        <v>40</v>
      </c>
      <c r="AD127" s="8" t="s">
        <v>32</v>
      </c>
      <c r="AE127" s="8">
        <v>0.11369088028965829</v>
      </c>
      <c r="AF127" s="9" t="str" cm="1">
        <f t="array" ref="AF127">_xlfn.IFS(AE127&gt;=0.4, "Top Performer",AE127&gt;=0.2,"Medium Performer",AE127&lt;0.2, "Least Performer")</f>
        <v>Least Performer</v>
      </c>
    </row>
    <row r="128" spans="4:32" x14ac:dyDescent="0.25">
      <c r="D128" s="9" t="str">
        <v>P122</v>
      </c>
      <c r="E128" s="9">
        <v>8.0565268065268064E-2</v>
      </c>
      <c r="G128" s="9" t="str">
        <v>P122</v>
      </c>
      <c r="H128" s="9" t="str">
        <v>Instagram</v>
      </c>
      <c r="I128" s="9">
        <v>45567</v>
      </c>
      <c r="J128" s="9" t="str">
        <v>Text</v>
      </c>
      <c r="K128" s="9" t="str">
        <v>Check out our latest text on instagram!</v>
      </c>
      <c r="L128" s="9">
        <v>3432</v>
      </c>
      <c r="M128" s="9">
        <v>869</v>
      </c>
      <c r="N128" s="9">
        <v>123</v>
      </c>
      <c r="O128" s="9">
        <v>54912</v>
      </c>
      <c r="P128" s="9">
        <v>53916</v>
      </c>
      <c r="Q128" s="9">
        <v>264</v>
      </c>
      <c r="X128" s="20" t="s">
        <v>166</v>
      </c>
      <c r="Y128" s="21" t="s">
        <v>6</v>
      </c>
      <c r="Z128" s="21">
        <v>297</v>
      </c>
      <c r="AD128" s="8" t="s">
        <v>6</v>
      </c>
      <c r="AE128" s="8">
        <v>0.12942500000000001</v>
      </c>
      <c r="AF128" s="9" t="str" cm="1">
        <f t="array" ref="AF128">_xlfn.IFS(AE128&gt;=0.4, "Top Performer",AE128&gt;=0.2,"Medium Performer",AE128&lt;0.2, "Least Performer")</f>
        <v>Least Performer</v>
      </c>
    </row>
    <row r="129" spans="4:32" x14ac:dyDescent="0.25">
      <c r="D129" s="9" t="str">
        <v>P123</v>
      </c>
      <c r="E129" s="9">
        <v>0.23616777446710979</v>
      </c>
      <c r="G129" s="9" t="str">
        <v>P123</v>
      </c>
      <c r="H129" s="9" t="str">
        <v>Instagram</v>
      </c>
      <c r="I129" s="9">
        <v>45457</v>
      </c>
      <c r="J129" s="9" t="str">
        <v>Story</v>
      </c>
      <c r="K129" s="9" t="str">
        <v>Check out our latest story on instagram!</v>
      </c>
      <c r="L129" s="9">
        <v>4363</v>
      </c>
      <c r="M129" s="9">
        <v>649</v>
      </c>
      <c r="N129" s="9">
        <v>140</v>
      </c>
      <c r="O129" s="9">
        <v>21815</v>
      </c>
      <c r="P129" s="9">
        <v>21481</v>
      </c>
      <c r="Q129" s="9">
        <v>157</v>
      </c>
      <c r="X129" s="25" t="s">
        <v>167</v>
      </c>
      <c r="Y129" s="26" t="s">
        <v>32</v>
      </c>
      <c r="Z129" s="26">
        <v>10</v>
      </c>
      <c r="AD129" s="8" t="s">
        <v>21</v>
      </c>
      <c r="AE129" s="8">
        <v>6.2150491965739366E-2</v>
      </c>
      <c r="AF129" s="9" t="str" cm="1">
        <f t="array" ref="AF129">_xlfn.IFS(AE129&gt;=0.4, "Top Performer",AE129&gt;=0.2,"Medium Performer",AE129&lt;0.2, "Least Performer")</f>
        <v>Least Performer</v>
      </c>
    </row>
    <row r="130" spans="4:32" x14ac:dyDescent="0.25">
      <c r="D130" s="9" t="str">
        <v>P124</v>
      </c>
      <c r="E130" s="9">
        <v>0.33618012422360249</v>
      </c>
      <c r="G130" s="9" t="str">
        <v>P124</v>
      </c>
      <c r="H130" s="9" t="str">
        <v>YouTube</v>
      </c>
      <c r="I130" s="9">
        <v>45753</v>
      </c>
      <c r="J130" s="9" t="str">
        <v>Carousel</v>
      </c>
      <c r="K130" s="9" t="str">
        <v>Check out our latest carousel on youtube!</v>
      </c>
      <c r="L130" s="9">
        <v>736</v>
      </c>
      <c r="M130" s="9">
        <v>771</v>
      </c>
      <c r="N130" s="9">
        <v>225</v>
      </c>
      <c r="O130" s="9">
        <v>5152</v>
      </c>
      <c r="P130" s="9">
        <v>4706</v>
      </c>
      <c r="Q130" s="9">
        <v>19</v>
      </c>
      <c r="X130" s="20" t="s">
        <v>168</v>
      </c>
      <c r="Y130" s="21" t="s">
        <v>6</v>
      </c>
      <c r="Z130" s="21">
        <v>44</v>
      </c>
      <c r="AD130" s="8" t="s">
        <v>5</v>
      </c>
      <c r="AE130" s="8">
        <v>6.2150491965739366E-2</v>
      </c>
      <c r="AF130" s="9" t="str" cm="1">
        <f t="array" ref="AF130">_xlfn.IFS(AE130&gt;=0.4, "Top Performer",AE130&gt;=0.2,"Medium Performer",AE130&lt;0.2, "Least Performer")</f>
        <v>Least Performer</v>
      </c>
    </row>
    <row r="131" spans="4:32" x14ac:dyDescent="0.25">
      <c r="D131" s="9" t="str">
        <v>P125</v>
      </c>
      <c r="E131" s="9">
        <v>0.14265722032712325</v>
      </c>
      <c r="G131" s="9" t="str">
        <v>P125</v>
      </c>
      <c r="H131" s="9" t="str">
        <v>Twitter</v>
      </c>
      <c r="I131" s="9">
        <v>45543</v>
      </c>
      <c r="J131" s="9" t="str">
        <v>Carousel</v>
      </c>
      <c r="K131" s="9" t="str">
        <v>Check out our latest carousel on twitter!</v>
      </c>
      <c r="L131" s="9">
        <v>3811</v>
      </c>
      <c r="M131" s="9">
        <v>866</v>
      </c>
      <c r="N131" s="9">
        <v>216</v>
      </c>
      <c r="O131" s="9">
        <v>34299</v>
      </c>
      <c r="P131" s="9">
        <v>34088</v>
      </c>
      <c r="Q131" s="9">
        <v>233</v>
      </c>
      <c r="X131" s="25" t="s">
        <v>42</v>
      </c>
      <c r="Y131" s="26" t="s">
        <v>21</v>
      </c>
      <c r="Z131" s="26">
        <v>242</v>
      </c>
      <c r="AD131" s="8" t="s">
        <v>21</v>
      </c>
      <c r="AE131" s="8">
        <v>0.16769515581610614</v>
      </c>
      <c r="AF131" s="9" t="str" cm="1">
        <f t="array" ref="AF131">_xlfn.IFS(AE131&gt;=0.4, "Top Performer",AE131&gt;=0.2,"Medium Performer",AE131&lt;0.2, "Least Performer")</f>
        <v>Least Performer</v>
      </c>
    </row>
    <row r="132" spans="4:32" x14ac:dyDescent="0.25">
      <c r="D132" s="9" t="str">
        <v>P126</v>
      </c>
      <c r="E132" s="9">
        <v>9.9829463465827106E-2</v>
      </c>
      <c r="G132" s="9" t="str">
        <v>P126</v>
      </c>
      <c r="H132" s="9" t="str">
        <v>Instagram</v>
      </c>
      <c r="I132" s="9">
        <v>45744</v>
      </c>
      <c r="J132" s="9" t="str">
        <v>Carousel</v>
      </c>
      <c r="K132" s="9" t="str">
        <v>Check out our latest carousel on instagram!</v>
      </c>
      <c r="L132" s="9">
        <v>4158</v>
      </c>
      <c r="M132" s="9">
        <v>167</v>
      </c>
      <c r="N132" s="9">
        <v>241</v>
      </c>
      <c r="O132" s="9">
        <v>45738</v>
      </c>
      <c r="P132" s="9">
        <v>45183</v>
      </c>
      <c r="Q132" s="9">
        <v>142</v>
      </c>
      <c r="X132" s="20" t="s">
        <v>42</v>
      </c>
      <c r="Y132" s="21" t="s">
        <v>5</v>
      </c>
      <c r="Z132" s="21">
        <v>242</v>
      </c>
      <c r="AD132" s="8" t="s">
        <v>32</v>
      </c>
      <c r="AE132" s="8">
        <v>0.11792317271769326</v>
      </c>
      <c r="AF132" s="9" t="str" cm="1">
        <f t="array" ref="AF132">_xlfn.IFS(AE132&gt;=0.4, "Top Performer",AE132&gt;=0.2,"Medium Performer",AE132&lt;0.2, "Least Performer")</f>
        <v>Least Performer</v>
      </c>
    </row>
    <row r="133" spans="4:32" x14ac:dyDescent="0.25">
      <c r="D133" s="9" t="str">
        <v>P127</v>
      </c>
      <c r="E133" s="9">
        <v>6.9311459413307311E-2</v>
      </c>
      <c r="G133" s="9" t="str">
        <v>P127</v>
      </c>
      <c r="H133" s="9" t="str">
        <v>Facebook</v>
      </c>
      <c r="I133" s="9">
        <v>45684</v>
      </c>
      <c r="J133" s="9" t="str">
        <v>Reel</v>
      </c>
      <c r="K133" s="9" t="str">
        <v>Check out our latest reel on facebook!</v>
      </c>
      <c r="L133" s="9">
        <v>3452</v>
      </c>
      <c r="M133" s="9">
        <v>652</v>
      </c>
      <c r="N133" s="9">
        <v>442</v>
      </c>
      <c r="O133" s="9">
        <v>65588</v>
      </c>
      <c r="P133" s="9">
        <v>65049</v>
      </c>
      <c r="Q133" s="9">
        <v>158</v>
      </c>
      <c r="X133" s="25" t="s">
        <v>169</v>
      </c>
      <c r="Y133" s="26" t="s">
        <v>21</v>
      </c>
      <c r="Z133" s="26">
        <v>131</v>
      </c>
      <c r="AD133" s="8" t="s">
        <v>6</v>
      </c>
      <c r="AE133" s="8">
        <v>8.0158206987475278E-2</v>
      </c>
      <c r="AF133" s="9" t="str" cm="1">
        <f t="array" ref="AF133">_xlfn.IFS(AE133&gt;=0.4, "Top Performer",AE133&gt;=0.2,"Medium Performer",AE133&lt;0.2, "Least Performer")</f>
        <v>Least Performer</v>
      </c>
    </row>
    <row r="134" spans="4:32" x14ac:dyDescent="0.25">
      <c r="D134" s="9" t="str">
        <v>P128</v>
      </c>
      <c r="E134" s="9">
        <v>0.12537731780940059</v>
      </c>
      <c r="G134" s="9" t="str">
        <v>P128</v>
      </c>
      <c r="H134" s="9" t="str">
        <v>Twitter</v>
      </c>
      <c r="I134" s="9">
        <v>45667</v>
      </c>
      <c r="J134" s="9" t="str">
        <v>Image</v>
      </c>
      <c r="K134" s="9" t="str">
        <v>Check out our latest image on twitter!</v>
      </c>
      <c r="L134" s="9">
        <v>3092</v>
      </c>
      <c r="M134" s="9">
        <v>106</v>
      </c>
      <c r="N134" s="9">
        <v>291</v>
      </c>
      <c r="O134" s="9">
        <v>27828</v>
      </c>
      <c r="P134" s="9">
        <v>27217</v>
      </c>
      <c r="Q134" s="9">
        <v>102</v>
      </c>
      <c r="X134" s="20" t="s">
        <v>170</v>
      </c>
      <c r="Y134" s="21" t="s">
        <v>32</v>
      </c>
      <c r="Z134" s="21">
        <v>219</v>
      </c>
      <c r="AD134" s="8" t="s">
        <v>6</v>
      </c>
      <c r="AE134" s="8">
        <v>0.31705583756345179</v>
      </c>
      <c r="AF134" s="9" t="str" cm="1">
        <f t="array" ref="AF134">_xlfn.IFS(AE134&gt;=0.4, "Top Performer",AE134&gt;=0.2,"Medium Performer",AE134&lt;0.2, "Least Performer")</f>
        <v>Medium Performer</v>
      </c>
    </row>
    <row r="135" spans="4:32" x14ac:dyDescent="0.25">
      <c r="D135" s="9" t="str">
        <v>P129</v>
      </c>
      <c r="E135" s="9">
        <v>0.17291569632044715</v>
      </c>
      <c r="G135" s="9" t="str">
        <v>P129</v>
      </c>
      <c r="H135" s="9" t="str">
        <v>Twitter</v>
      </c>
      <c r="I135" s="9">
        <v>45494</v>
      </c>
      <c r="J135" s="9" t="str">
        <v>Text</v>
      </c>
      <c r="K135" s="9" t="str">
        <v>Check out our latest text on twitter!</v>
      </c>
      <c r="L135" s="9">
        <v>2147</v>
      </c>
      <c r="M135" s="9">
        <v>430</v>
      </c>
      <c r="N135" s="9">
        <v>393</v>
      </c>
      <c r="O135" s="9">
        <v>17176</v>
      </c>
      <c r="P135" s="9">
        <v>16483</v>
      </c>
      <c r="Q135" s="9">
        <v>170</v>
      </c>
      <c r="X135" s="25" t="s">
        <v>171</v>
      </c>
      <c r="Y135" s="26" t="s">
        <v>6</v>
      </c>
      <c r="Z135" s="26">
        <v>57</v>
      </c>
      <c r="AD135" s="8" t="s">
        <v>32</v>
      </c>
      <c r="AE135" s="8">
        <v>0.23414918414918415</v>
      </c>
      <c r="AF135" s="9" t="str" cm="1">
        <f t="array" ref="AF135">_xlfn.IFS(AE135&gt;=0.4, "Top Performer",AE135&gt;=0.2,"Medium Performer",AE135&lt;0.2, "Least Performer")</f>
        <v>Medium Performer</v>
      </c>
    </row>
    <row r="136" spans="4:32" x14ac:dyDescent="0.25">
      <c r="D136" s="9" t="str">
        <v>P130</v>
      </c>
      <c r="E136" s="9">
        <v>8.9577656675749323E-2</v>
      </c>
      <c r="G136" s="9" t="str">
        <v>P130</v>
      </c>
      <c r="H136" s="9" t="str">
        <v>YouTube</v>
      </c>
      <c r="I136" s="9">
        <v>45564</v>
      </c>
      <c r="J136" s="9" t="str">
        <v>Reel</v>
      </c>
      <c r="K136" s="9" t="str">
        <v>Check out our latest reel on youtube!</v>
      </c>
      <c r="L136" s="9">
        <v>2936</v>
      </c>
      <c r="M136" s="9">
        <v>439</v>
      </c>
      <c r="N136" s="9">
        <v>44</v>
      </c>
      <c r="O136" s="9">
        <v>38168</v>
      </c>
      <c r="P136" s="9">
        <v>37571</v>
      </c>
      <c r="Q136" s="9">
        <v>22</v>
      </c>
      <c r="X136" s="20" t="s">
        <v>172</v>
      </c>
      <c r="Y136" s="21" t="s">
        <v>6</v>
      </c>
      <c r="Z136" s="21">
        <v>117</v>
      </c>
      <c r="AD136" s="8" t="s">
        <v>6</v>
      </c>
      <c r="AE136" s="8">
        <v>0.32349397590361445</v>
      </c>
      <c r="AF136" s="9" t="str" cm="1">
        <f t="array" ref="AF136">_xlfn.IFS(AE136&gt;=0.4, "Top Performer",AE136&gt;=0.2,"Medium Performer",AE136&lt;0.2, "Least Performer")</f>
        <v>Medium Performer</v>
      </c>
    </row>
    <row r="137" spans="4:32" x14ac:dyDescent="0.25">
      <c r="D137" s="9" t="str">
        <v>P131</v>
      </c>
      <c r="E137" s="9">
        <v>0.13106060606060607</v>
      </c>
      <c r="G137" s="9" t="str">
        <v>P131</v>
      </c>
      <c r="H137" s="9" t="str">
        <v>Instagram</v>
      </c>
      <c r="I137" s="9">
        <v>45586</v>
      </c>
      <c r="J137" s="9" t="str">
        <v>Reel</v>
      </c>
      <c r="K137" s="9" t="str">
        <v>Check out our latest reel on instagram!</v>
      </c>
      <c r="L137" s="9">
        <v>4840</v>
      </c>
      <c r="M137" s="9">
        <v>658</v>
      </c>
      <c r="N137" s="9">
        <v>211</v>
      </c>
      <c r="O137" s="9">
        <v>43560</v>
      </c>
      <c r="P137" s="9">
        <v>43225</v>
      </c>
      <c r="Q137" s="9">
        <v>57</v>
      </c>
      <c r="X137" s="25" t="s">
        <v>173</v>
      </c>
      <c r="Y137" s="26" t="s">
        <v>32</v>
      </c>
      <c r="Z137" s="26">
        <v>91</v>
      </c>
      <c r="AD137" s="8" t="s">
        <v>32</v>
      </c>
      <c r="AE137" s="8">
        <v>8.0565268065268064E-2</v>
      </c>
      <c r="AF137" s="9" t="str" cm="1">
        <f t="array" ref="AF137">_xlfn.IFS(AE137&gt;=0.4, "Top Performer",AE137&gt;=0.2,"Medium Performer",AE137&lt;0.2, "Least Performer")</f>
        <v>Least Performer</v>
      </c>
    </row>
    <row r="138" spans="4:32" x14ac:dyDescent="0.25">
      <c r="D138" s="9" t="str">
        <v>P132</v>
      </c>
      <c r="E138" s="9">
        <v>0.13493953401503478</v>
      </c>
      <c r="G138" s="9" t="str">
        <v>P132</v>
      </c>
      <c r="H138" s="9" t="str">
        <v>Instagram</v>
      </c>
      <c r="I138" s="9">
        <v>45720</v>
      </c>
      <c r="J138" s="9" t="str">
        <v>Story</v>
      </c>
      <c r="K138" s="9" t="str">
        <v>Check out our latest story on instagram!</v>
      </c>
      <c r="L138" s="9">
        <v>1947</v>
      </c>
      <c r="M138" s="9">
        <v>842</v>
      </c>
      <c r="N138" s="9">
        <v>101</v>
      </c>
      <c r="O138" s="9">
        <v>21417</v>
      </c>
      <c r="P138" s="9">
        <v>20967</v>
      </c>
      <c r="Q138" s="9">
        <v>186</v>
      </c>
      <c r="X138" s="20" t="s">
        <v>174</v>
      </c>
      <c r="Y138" s="21" t="s">
        <v>6</v>
      </c>
      <c r="Z138" s="21">
        <v>185</v>
      </c>
      <c r="AD138" s="8" t="s">
        <v>32</v>
      </c>
      <c r="AE138" s="8">
        <v>0.23616777446710979</v>
      </c>
      <c r="AF138" s="9" t="str" cm="1">
        <f t="array" ref="AF138">_xlfn.IFS(AE138&gt;=0.4, "Top Performer",AE138&gt;=0.2,"Medium Performer",AE138&lt;0.2, "Least Performer")</f>
        <v>Medium Performer</v>
      </c>
    </row>
    <row r="139" spans="4:32" x14ac:dyDescent="0.25">
      <c r="D139" s="9" t="str">
        <v>P133</v>
      </c>
      <c r="E139" s="9">
        <v>7.172350922350923E-2</v>
      </c>
      <c r="G139" s="9" t="str">
        <v>P133</v>
      </c>
      <c r="H139" s="9" t="str">
        <v>Facebook</v>
      </c>
      <c r="I139" s="9">
        <v>45694</v>
      </c>
      <c r="J139" s="9" t="str">
        <v>Image</v>
      </c>
      <c r="K139" s="9" t="str">
        <v>Check out our latest image on facebook!</v>
      </c>
      <c r="L139" s="9">
        <v>2072</v>
      </c>
      <c r="M139" s="9">
        <v>532</v>
      </c>
      <c r="N139" s="9">
        <v>71</v>
      </c>
      <c r="O139" s="9">
        <v>37296</v>
      </c>
      <c r="P139" s="9">
        <v>36467</v>
      </c>
      <c r="Q139" s="9">
        <v>25</v>
      </c>
      <c r="X139" s="25" t="s">
        <v>175</v>
      </c>
      <c r="Y139" s="26" t="s">
        <v>32</v>
      </c>
      <c r="Z139" s="26">
        <v>264</v>
      </c>
      <c r="AD139" s="8" t="s">
        <v>32</v>
      </c>
      <c r="AE139" s="8">
        <v>0.33618012422360249</v>
      </c>
      <c r="AF139" s="9" t="str" cm="1">
        <f t="array" ref="AF139">_xlfn.IFS(AE139&gt;=0.4, "Top Performer",AE139&gt;=0.2,"Medium Performer",AE139&lt;0.2, "Least Performer")</f>
        <v>Medium Performer</v>
      </c>
    </row>
    <row r="140" spans="4:32" x14ac:dyDescent="0.25">
      <c r="D140" s="9" t="str">
        <v>P134</v>
      </c>
      <c r="E140" s="9">
        <v>7.1133744304476013E-2</v>
      </c>
      <c r="G140" s="9" t="str">
        <v>P134</v>
      </c>
      <c r="H140" s="9" t="str">
        <v>Twitter</v>
      </c>
      <c r="I140" s="9">
        <v>45771</v>
      </c>
      <c r="J140" s="9" t="str">
        <v>Reel</v>
      </c>
      <c r="K140" s="9" t="str">
        <v>Check out our latest reel on twitter!</v>
      </c>
      <c r="L140" s="9">
        <v>3731</v>
      </c>
      <c r="M140" s="9">
        <v>115</v>
      </c>
      <c r="N140" s="9">
        <v>135</v>
      </c>
      <c r="O140" s="9">
        <v>55965</v>
      </c>
      <c r="P140" s="9">
        <v>55436</v>
      </c>
      <c r="Q140" s="9">
        <v>103</v>
      </c>
      <c r="X140" s="20" t="s">
        <v>176</v>
      </c>
      <c r="Y140" s="21" t="s">
        <v>32</v>
      </c>
      <c r="Z140" s="21">
        <v>157</v>
      </c>
      <c r="AD140" s="8" t="s">
        <v>21</v>
      </c>
      <c r="AE140" s="8">
        <v>0.14265722032712325</v>
      </c>
      <c r="AF140" s="9" t="str" cm="1">
        <f t="array" ref="AF140">_xlfn.IFS(AE140&gt;=0.4, "Top Performer",AE140&gt;=0.2,"Medium Performer",AE140&lt;0.2, "Least Performer")</f>
        <v>Least Performer</v>
      </c>
    </row>
    <row r="141" spans="4:32" x14ac:dyDescent="0.25">
      <c r="D141" s="9" t="str">
        <v>P135</v>
      </c>
      <c r="E141" s="9">
        <v>6.461481657304112E-2</v>
      </c>
      <c r="G141" s="9" t="str">
        <v>P135</v>
      </c>
      <c r="H141" s="9" t="str">
        <v>Facebook</v>
      </c>
      <c r="I141" s="9">
        <v>45624</v>
      </c>
      <c r="J141" s="9" t="str">
        <v>Text</v>
      </c>
      <c r="K141" s="9" t="str">
        <v>Check out our latest text on facebook!</v>
      </c>
      <c r="L141" s="9">
        <v>4213</v>
      </c>
      <c r="M141" s="9">
        <v>253</v>
      </c>
      <c r="N141" s="9">
        <v>434</v>
      </c>
      <c r="O141" s="9">
        <v>75834</v>
      </c>
      <c r="P141" s="9">
        <v>75437</v>
      </c>
      <c r="Q141" s="9">
        <v>272</v>
      </c>
      <c r="X141" s="25" t="s">
        <v>177</v>
      </c>
      <c r="Y141" s="26" t="s">
        <v>32</v>
      </c>
      <c r="Z141" s="26">
        <v>19</v>
      </c>
      <c r="AD141" s="8" t="s">
        <v>6</v>
      </c>
      <c r="AE141" s="8">
        <v>9.9829463465827106E-2</v>
      </c>
      <c r="AF141" s="9" t="str" cm="1">
        <f t="array" ref="AF141">_xlfn.IFS(AE141&gt;=0.4, "Top Performer",AE141&gt;=0.2,"Medium Performer",AE141&lt;0.2, "Least Performer")</f>
        <v>Least Performer</v>
      </c>
    </row>
    <row r="142" spans="4:32" x14ac:dyDescent="0.25">
      <c r="D142" s="9" t="str">
        <v>P136</v>
      </c>
      <c r="E142" s="9">
        <v>0.20357370772176134</v>
      </c>
      <c r="G142" s="9" t="str">
        <v>P136</v>
      </c>
      <c r="H142" s="9" t="str">
        <v>Instagram</v>
      </c>
      <c r="I142" s="9">
        <v>45484</v>
      </c>
      <c r="J142" s="9" t="str">
        <v>Text</v>
      </c>
      <c r="K142" s="9" t="str">
        <v>Check out our latest text on instagram!</v>
      </c>
      <c r="L142" s="9">
        <v>3134</v>
      </c>
      <c r="M142" s="9">
        <v>888</v>
      </c>
      <c r="N142" s="9">
        <v>444</v>
      </c>
      <c r="O142" s="9">
        <v>21938</v>
      </c>
      <c r="P142" s="9">
        <v>21337</v>
      </c>
      <c r="Q142" s="9">
        <v>130</v>
      </c>
      <c r="X142" s="20" t="s">
        <v>178</v>
      </c>
      <c r="Y142" s="21" t="s">
        <v>21</v>
      </c>
      <c r="Z142" s="21">
        <v>233</v>
      </c>
      <c r="AD142" s="8" t="s">
        <v>6</v>
      </c>
      <c r="AE142" s="8">
        <v>6.9311459413307311E-2</v>
      </c>
      <c r="AF142" s="9" t="str" cm="1">
        <f t="array" ref="AF142">_xlfn.IFS(AE142&gt;=0.4, "Top Performer",AE142&gt;=0.2,"Medium Performer",AE142&lt;0.2, "Least Performer")</f>
        <v>Least Performer</v>
      </c>
    </row>
    <row r="143" spans="4:32" x14ac:dyDescent="0.25">
      <c r="D143" s="9" t="str">
        <v>P137</v>
      </c>
      <c r="E143" s="9">
        <v>0.20871010638297871</v>
      </c>
      <c r="G143" s="9" t="str">
        <v>P137</v>
      </c>
      <c r="H143" s="9" t="str">
        <v>Facebook</v>
      </c>
      <c r="I143" s="9">
        <v>45504</v>
      </c>
      <c r="J143" s="9" t="str">
        <v>Video</v>
      </c>
      <c r="K143" s="9" t="str">
        <v>Check out our latest video on facebook!</v>
      </c>
      <c r="L143" s="9">
        <v>3008</v>
      </c>
      <c r="M143" s="9">
        <v>94</v>
      </c>
      <c r="N143" s="9">
        <v>37</v>
      </c>
      <c r="O143" s="9">
        <v>15040</v>
      </c>
      <c r="P143" s="9">
        <v>14639</v>
      </c>
      <c r="Q143" s="9">
        <v>277</v>
      </c>
      <c r="X143" s="25" t="s">
        <v>179</v>
      </c>
      <c r="Y143" s="26" t="s">
        <v>6</v>
      </c>
      <c r="Z143" s="26">
        <v>142</v>
      </c>
      <c r="AD143" s="8" t="s">
        <v>6</v>
      </c>
      <c r="AE143" s="8">
        <v>0.12537731780940059</v>
      </c>
      <c r="AF143" s="9" t="str" cm="1">
        <f t="array" ref="AF143">_xlfn.IFS(AE143&gt;=0.4, "Top Performer",AE143&gt;=0.2,"Medium Performer",AE143&lt;0.2, "Least Performer")</f>
        <v>Least Performer</v>
      </c>
    </row>
    <row r="144" spans="4:32" x14ac:dyDescent="0.25">
      <c r="D144" s="9" t="str">
        <v>P138</v>
      </c>
      <c r="E144" s="9">
        <v>0.16065573770491803</v>
      </c>
      <c r="G144" s="9" t="str">
        <v>P138</v>
      </c>
      <c r="H144" s="9" t="str">
        <v>Twitter</v>
      </c>
      <c r="I144" s="9">
        <v>45745</v>
      </c>
      <c r="J144" s="9" t="str">
        <v>Image</v>
      </c>
      <c r="K144" s="9" t="str">
        <v>Check out our latest image on twitter!</v>
      </c>
      <c r="L144" s="9">
        <v>305</v>
      </c>
      <c r="M144" s="9">
        <v>187</v>
      </c>
      <c r="N144" s="9">
        <v>243</v>
      </c>
      <c r="O144" s="9">
        <v>4575</v>
      </c>
      <c r="P144" s="9">
        <v>3704</v>
      </c>
      <c r="Q144" s="9">
        <v>234</v>
      </c>
      <c r="X144" s="20" t="s">
        <v>180</v>
      </c>
      <c r="Y144" s="21" t="s">
        <v>6</v>
      </c>
      <c r="Z144" s="21">
        <v>158</v>
      </c>
      <c r="AD144" s="8" t="s">
        <v>21</v>
      </c>
      <c r="AE144" s="8">
        <v>0.17291569632044715</v>
      </c>
      <c r="AF144" s="9" t="str" cm="1">
        <f t="array" ref="AF144">_xlfn.IFS(AE144&gt;=0.4, "Top Performer",AE144&gt;=0.2,"Medium Performer",AE144&lt;0.2, "Least Performer")</f>
        <v>Least Performer</v>
      </c>
    </row>
    <row r="145" spans="4:32" x14ac:dyDescent="0.25">
      <c r="D145" s="9" t="str">
        <v>P139</v>
      </c>
      <c r="E145" s="9">
        <v>9.422796795338674E-2</v>
      </c>
      <c r="G145" s="9" t="str">
        <v>P139</v>
      </c>
      <c r="H145" s="9" t="str">
        <v>YouTube</v>
      </c>
      <c r="I145" s="9">
        <v>45594</v>
      </c>
      <c r="J145" s="9" t="str">
        <v>Text</v>
      </c>
      <c r="K145" s="9" t="str">
        <v>Check out our latest text on youtube!</v>
      </c>
      <c r="L145" s="9">
        <v>2746</v>
      </c>
      <c r="M145" s="9">
        <v>156</v>
      </c>
      <c r="N145" s="9">
        <v>203</v>
      </c>
      <c r="O145" s="9">
        <v>32952</v>
      </c>
      <c r="P145" s="9">
        <v>32147</v>
      </c>
      <c r="Q145" s="9">
        <v>147</v>
      </c>
      <c r="X145" s="25" t="s">
        <v>181</v>
      </c>
      <c r="Y145" s="26" t="s">
        <v>6</v>
      </c>
      <c r="Z145" s="26">
        <v>102</v>
      </c>
      <c r="AD145" s="8" t="s">
        <v>32</v>
      </c>
      <c r="AE145" s="8">
        <v>8.9577656675749323E-2</v>
      </c>
      <c r="AF145" s="9" t="str" cm="1">
        <f t="array" ref="AF145">_xlfn.IFS(AE145&gt;=0.4, "Top Performer",AE145&gt;=0.2,"Medium Performer",AE145&lt;0.2, "Least Performer")</f>
        <v>Least Performer</v>
      </c>
    </row>
    <row r="146" spans="4:32" x14ac:dyDescent="0.25">
      <c r="D146" s="9" t="str">
        <v>P140</v>
      </c>
      <c r="E146" s="9">
        <v>0.15571802706241816</v>
      </c>
      <c r="G146" s="9" t="str">
        <v>P140</v>
      </c>
      <c r="H146" s="9" t="str">
        <v>Facebook</v>
      </c>
      <c r="I146" s="9">
        <v>45488</v>
      </c>
      <c r="J146" s="9" t="str">
        <v>Image</v>
      </c>
      <c r="K146" s="9" t="str">
        <v>Check out our latest image on facebook!</v>
      </c>
      <c r="L146" s="9">
        <v>2291</v>
      </c>
      <c r="M146" s="9">
        <v>78</v>
      </c>
      <c r="N146" s="9">
        <v>485</v>
      </c>
      <c r="O146" s="9">
        <v>18328</v>
      </c>
      <c r="P146" s="9">
        <v>18101</v>
      </c>
      <c r="Q146" s="9">
        <v>10</v>
      </c>
      <c r="X146" s="20" t="s">
        <v>182</v>
      </c>
      <c r="Y146" s="21" t="s">
        <v>21</v>
      </c>
      <c r="Z146" s="21">
        <v>170</v>
      </c>
      <c r="AD146" s="8" t="s">
        <v>6</v>
      </c>
      <c r="AE146" s="8">
        <v>0.13106060606060607</v>
      </c>
      <c r="AF146" s="9" t="str" cm="1">
        <f t="array" ref="AF146">_xlfn.IFS(AE146&gt;=0.4, "Top Performer",AE146&gt;=0.2,"Medium Performer",AE146&lt;0.2, "Least Performer")</f>
        <v>Least Performer</v>
      </c>
    </row>
    <row r="147" spans="4:32" x14ac:dyDescent="0.25">
      <c r="D147" s="9" t="str">
        <v>P141</v>
      </c>
      <c r="E147" s="9">
        <v>0.2316508937960042</v>
      </c>
      <c r="G147" s="9" t="str">
        <v>P141</v>
      </c>
      <c r="H147" s="9" t="str">
        <v>Twitter</v>
      </c>
      <c r="I147" s="9">
        <v>45535</v>
      </c>
      <c r="J147" s="9" t="str">
        <v>Image</v>
      </c>
      <c r="K147" s="9" t="str">
        <v>Check out our latest image on twitter!</v>
      </c>
      <c r="L147" s="9">
        <v>3170</v>
      </c>
      <c r="M147" s="9">
        <v>857</v>
      </c>
      <c r="N147" s="9">
        <v>379</v>
      </c>
      <c r="O147" s="9">
        <v>19020</v>
      </c>
      <c r="P147" s="9">
        <v>18559</v>
      </c>
      <c r="Q147" s="9">
        <v>240</v>
      </c>
      <c r="X147" s="25" t="s">
        <v>183</v>
      </c>
      <c r="Y147" s="26" t="s">
        <v>32</v>
      </c>
      <c r="Z147" s="26">
        <v>22</v>
      </c>
      <c r="AD147" s="8" t="s">
        <v>6</v>
      </c>
      <c r="AE147" s="8">
        <v>0.13493953401503478</v>
      </c>
      <c r="AF147" s="9" t="str" cm="1">
        <f t="array" ref="AF147">_xlfn.IFS(AE147&gt;=0.4, "Top Performer",AE147&gt;=0.2,"Medium Performer",AE147&lt;0.2, "Least Performer")</f>
        <v>Least Performer</v>
      </c>
    </row>
    <row r="148" spans="4:32" x14ac:dyDescent="0.25">
      <c r="D148" s="9" t="str">
        <v>P142</v>
      </c>
      <c r="E148" s="9">
        <v>6.9438087973557078E-2</v>
      </c>
      <c r="G148" s="9" t="str">
        <v>P142</v>
      </c>
      <c r="H148" s="9" t="str">
        <v>YouTube</v>
      </c>
      <c r="I148" s="9">
        <v>45741</v>
      </c>
      <c r="J148" s="9" t="str">
        <v>Story</v>
      </c>
      <c r="K148" s="9" t="str">
        <v>Check out our latest story on youtube!</v>
      </c>
      <c r="L148" s="9">
        <v>2070</v>
      </c>
      <c r="M148" s="9">
        <v>275</v>
      </c>
      <c r="N148" s="9">
        <v>386</v>
      </c>
      <c r="O148" s="9">
        <v>39330</v>
      </c>
      <c r="P148" s="9">
        <v>38627</v>
      </c>
      <c r="Q148" s="9">
        <v>114</v>
      </c>
      <c r="X148" s="20" t="s">
        <v>184</v>
      </c>
      <c r="Y148" s="21" t="s">
        <v>6</v>
      </c>
      <c r="Z148" s="21">
        <v>57</v>
      </c>
      <c r="AD148" s="8" t="s">
        <v>21</v>
      </c>
      <c r="AE148" s="8">
        <v>7.172350922350923E-2</v>
      </c>
      <c r="AF148" s="9" t="str" cm="1">
        <f t="array" ref="AF148">_xlfn.IFS(AE148&gt;=0.4, "Top Performer",AE148&gt;=0.2,"Medium Performer",AE148&lt;0.2, "Least Performer")</f>
        <v>Least Performer</v>
      </c>
    </row>
    <row r="149" spans="4:32" x14ac:dyDescent="0.25">
      <c r="D149" s="9" t="str">
        <v>P143</v>
      </c>
      <c r="E149" s="9">
        <v>0.50192307692307692</v>
      </c>
      <c r="G149" s="9" t="str">
        <v>P143</v>
      </c>
      <c r="H149" s="9" t="str">
        <v>YouTube</v>
      </c>
      <c r="I149" s="9">
        <v>45567</v>
      </c>
      <c r="J149" s="9" t="str">
        <v>Carousel</v>
      </c>
      <c r="K149" s="9" t="str">
        <v>Check out our latest carousel on youtube!</v>
      </c>
      <c r="L149" s="9">
        <v>80</v>
      </c>
      <c r="M149" s="9">
        <v>362</v>
      </c>
      <c r="N149" s="9">
        <v>80</v>
      </c>
      <c r="O149" s="9">
        <v>1040</v>
      </c>
      <c r="P149" s="9">
        <v>349</v>
      </c>
      <c r="Q149" s="9">
        <v>117</v>
      </c>
      <c r="X149" s="25" t="s">
        <v>185</v>
      </c>
      <c r="Y149" s="26" t="s">
        <v>6</v>
      </c>
      <c r="Z149" s="26">
        <v>186</v>
      </c>
      <c r="AD149" s="8" t="s">
        <v>21</v>
      </c>
      <c r="AE149" s="8">
        <v>7.1133744304476013E-2</v>
      </c>
      <c r="AF149" s="9" t="str" cm="1">
        <f t="array" ref="AF149">_xlfn.IFS(AE149&gt;=0.4, "Top Performer",AE149&gt;=0.2,"Medium Performer",AE149&lt;0.2, "Least Performer")</f>
        <v>Least Performer</v>
      </c>
    </row>
    <row r="150" spans="4:32" x14ac:dyDescent="0.25">
      <c r="D150" s="9" t="str">
        <v>P144</v>
      </c>
      <c r="E150" s="9">
        <v>6.5455787978772245E-2</v>
      </c>
      <c r="G150" s="9" t="str">
        <v>P144</v>
      </c>
      <c r="H150" s="9" t="str">
        <v>YouTube</v>
      </c>
      <c r="I150" s="9">
        <v>45593</v>
      </c>
      <c r="J150" s="9" t="str">
        <v>Story</v>
      </c>
      <c r="K150" s="9" t="str">
        <v>Check out our latest story on youtube!</v>
      </c>
      <c r="L150" s="9">
        <v>4929</v>
      </c>
      <c r="M150" s="9">
        <v>749</v>
      </c>
      <c r="N150" s="9">
        <v>452</v>
      </c>
      <c r="O150" s="9">
        <v>93651</v>
      </c>
      <c r="P150" s="9">
        <v>92810</v>
      </c>
      <c r="Q150" s="9">
        <v>66</v>
      </c>
      <c r="X150" s="20" t="s">
        <v>186</v>
      </c>
      <c r="Y150" s="21" t="s">
        <v>21</v>
      </c>
      <c r="Z150" s="21">
        <v>25</v>
      </c>
      <c r="AD150" s="8" t="s">
        <v>6</v>
      </c>
      <c r="AE150" s="8">
        <v>6.461481657304112E-2</v>
      </c>
      <c r="AF150" s="9" t="str" cm="1">
        <f t="array" ref="AF150">_xlfn.IFS(AE150&gt;=0.4, "Top Performer",AE150&gt;=0.2,"Medium Performer",AE150&lt;0.2, "Least Performer")</f>
        <v>Least Performer</v>
      </c>
    </row>
    <row r="151" spans="4:32" x14ac:dyDescent="0.25">
      <c r="D151" s="9" t="str">
        <v>P145</v>
      </c>
      <c r="E151" s="9">
        <v>5.6416400425985093E-2</v>
      </c>
      <c r="G151" s="9" t="str">
        <v>P145</v>
      </c>
      <c r="H151" s="9" t="str">
        <v>Instagram</v>
      </c>
      <c r="I151" s="9">
        <v>45516</v>
      </c>
      <c r="J151" s="9" t="str">
        <v>Carousel</v>
      </c>
      <c r="K151" s="9" t="str">
        <v>Check out our latest carousel on instagram!</v>
      </c>
      <c r="L151" s="9">
        <v>1878</v>
      </c>
      <c r="M151" s="9">
        <v>62</v>
      </c>
      <c r="N151" s="9">
        <v>179</v>
      </c>
      <c r="O151" s="9">
        <v>37560</v>
      </c>
      <c r="P151" s="9">
        <v>36874</v>
      </c>
      <c r="Q151" s="9">
        <v>142</v>
      </c>
      <c r="X151" s="25" t="s">
        <v>187</v>
      </c>
      <c r="Y151" s="26" t="s">
        <v>21</v>
      </c>
      <c r="Z151" s="26">
        <v>103</v>
      </c>
      <c r="AD151" s="8" t="s">
        <v>32</v>
      </c>
      <c r="AE151" s="8">
        <v>0.20357370772176134</v>
      </c>
      <c r="AF151" s="9" t="str" cm="1">
        <f t="array" ref="AF151">_xlfn.IFS(AE151&gt;=0.4, "Top Performer",AE151&gt;=0.2,"Medium Performer",AE151&lt;0.2, "Least Performer")</f>
        <v>Medium Performer</v>
      </c>
    </row>
    <row r="152" spans="4:32" x14ac:dyDescent="0.25">
      <c r="D152" s="9" t="str">
        <v>P146</v>
      </c>
      <c r="E152" s="9">
        <v>0.21636759108210984</v>
      </c>
      <c r="G152" s="9" t="str">
        <v>P146</v>
      </c>
      <c r="H152" s="9" t="str">
        <v>YouTube</v>
      </c>
      <c r="I152" s="9">
        <v>45448</v>
      </c>
      <c r="J152" s="9" t="str">
        <v>Reel</v>
      </c>
      <c r="K152" s="9" t="str">
        <v>Check out our latest reel on youtube!</v>
      </c>
      <c r="L152" s="9">
        <v>3065</v>
      </c>
      <c r="M152" s="9">
        <v>772</v>
      </c>
      <c r="N152" s="9">
        <v>142</v>
      </c>
      <c r="O152" s="9">
        <v>18390</v>
      </c>
      <c r="P152" s="9">
        <v>17875</v>
      </c>
      <c r="Q152" s="9">
        <v>200</v>
      </c>
      <c r="X152" s="20" t="s">
        <v>188</v>
      </c>
      <c r="Y152" s="21" t="s">
        <v>6</v>
      </c>
      <c r="Z152" s="21">
        <v>272</v>
      </c>
      <c r="AD152" s="8" t="s">
        <v>6</v>
      </c>
      <c r="AE152" s="8">
        <v>0.20871010638297871</v>
      </c>
      <c r="AF152" s="9" t="str" cm="1">
        <f t="array" ref="AF152">_xlfn.IFS(AE152&gt;=0.4, "Top Performer",AE152&gt;=0.2,"Medium Performer",AE152&lt;0.2, "Least Performer")</f>
        <v>Medium Performer</v>
      </c>
    </row>
    <row r="153" spans="4:32" x14ac:dyDescent="0.25">
      <c r="D153" s="9" t="str">
        <v>P147</v>
      </c>
      <c r="E153" s="9">
        <v>0.15283323095823095</v>
      </c>
      <c r="G153" s="9" t="str">
        <v>P147</v>
      </c>
      <c r="H153" s="9" t="str">
        <v>Instagram</v>
      </c>
      <c r="I153" s="9">
        <v>45586</v>
      </c>
      <c r="J153" s="9" t="str">
        <v>Reel</v>
      </c>
      <c r="K153" s="9" t="str">
        <v>Check out our latest reel on instagram!</v>
      </c>
      <c r="L153" s="9">
        <v>3256</v>
      </c>
      <c r="M153" s="9">
        <v>459</v>
      </c>
      <c r="N153" s="9">
        <v>266</v>
      </c>
      <c r="O153" s="9">
        <v>26048</v>
      </c>
      <c r="P153" s="9">
        <v>25529</v>
      </c>
      <c r="Q153" s="9">
        <v>143</v>
      </c>
      <c r="X153" s="25" t="s">
        <v>189</v>
      </c>
      <c r="Y153" s="26" t="s">
        <v>32</v>
      </c>
      <c r="Z153" s="26">
        <v>130</v>
      </c>
      <c r="AD153" s="8" t="s">
        <v>6</v>
      </c>
      <c r="AE153" s="8">
        <v>0.16065573770491803</v>
      </c>
      <c r="AF153" s="9" t="str" cm="1">
        <f t="array" ref="AF153">_xlfn.IFS(AE153&gt;=0.4, "Top Performer",AE153&gt;=0.2,"Medium Performer",AE153&lt;0.2, "Least Performer")</f>
        <v>Least Performer</v>
      </c>
    </row>
    <row r="154" spans="4:32" x14ac:dyDescent="0.25">
      <c r="D154" s="9" t="str">
        <v>P148</v>
      </c>
      <c r="E154" s="9">
        <v>0.19864505202032423</v>
      </c>
      <c r="G154" s="9" t="str">
        <v>P148</v>
      </c>
      <c r="H154" s="9" t="str">
        <v>Instagram</v>
      </c>
      <c r="I154" s="9">
        <v>45762</v>
      </c>
      <c r="J154" s="9" t="str">
        <v>Video</v>
      </c>
      <c r="K154" s="9" t="str">
        <v>Check out our latest video on instagram!</v>
      </c>
      <c r="L154" s="9">
        <v>4133</v>
      </c>
      <c r="M154" s="9">
        <v>466</v>
      </c>
      <c r="N154" s="9">
        <v>327</v>
      </c>
      <c r="O154" s="9">
        <v>24798</v>
      </c>
      <c r="P154" s="9">
        <v>24620</v>
      </c>
      <c r="Q154" s="9">
        <v>176</v>
      </c>
      <c r="X154" s="20" t="s">
        <v>190</v>
      </c>
      <c r="Y154" s="21" t="s">
        <v>6</v>
      </c>
      <c r="Z154" s="21">
        <v>277</v>
      </c>
      <c r="AD154" s="8" t="s">
        <v>32</v>
      </c>
      <c r="AE154" s="8">
        <v>9.422796795338674E-2</v>
      </c>
      <c r="AF154" s="9" t="str" cm="1">
        <f t="array" ref="AF154">_xlfn.IFS(AE154&gt;=0.4, "Top Performer",AE154&gt;=0.2,"Medium Performer",AE154&lt;0.2, "Least Performer")</f>
        <v>Least Performer</v>
      </c>
    </row>
    <row r="155" spans="4:32" x14ac:dyDescent="0.25">
      <c r="D155" s="9" t="str">
        <v>P149</v>
      </c>
      <c r="E155" s="9">
        <v>7.7291421856639245E-2</v>
      </c>
      <c r="G155" s="9" t="str">
        <v>P149</v>
      </c>
      <c r="H155" s="9" t="str">
        <v>Twitter</v>
      </c>
      <c r="I155" s="9">
        <v>45459</v>
      </c>
      <c r="J155" s="9" t="str">
        <v>Video</v>
      </c>
      <c r="K155" s="9" t="str">
        <v>Check out our latest video on twitter!</v>
      </c>
      <c r="L155" s="9">
        <v>1702</v>
      </c>
      <c r="M155" s="9">
        <v>750</v>
      </c>
      <c r="N155" s="9">
        <v>179</v>
      </c>
      <c r="O155" s="9">
        <v>34040</v>
      </c>
      <c r="P155" s="9">
        <v>33174</v>
      </c>
      <c r="Q155" s="9">
        <v>76</v>
      </c>
      <c r="X155" s="25" t="s">
        <v>191</v>
      </c>
      <c r="Y155" s="26" t="s">
        <v>6</v>
      </c>
      <c r="Z155" s="26">
        <v>234</v>
      </c>
      <c r="AD155" s="8" t="s">
        <v>32</v>
      </c>
      <c r="AE155" s="8">
        <v>0.15571802706241816</v>
      </c>
      <c r="AF155" s="9" t="str" cm="1">
        <f t="array" ref="AF155">_xlfn.IFS(AE155&gt;=0.4, "Top Performer",AE155&gt;=0.2,"Medium Performer",AE155&lt;0.2, "Least Performer")</f>
        <v>Least Performer</v>
      </c>
    </row>
    <row r="156" spans="4:32" x14ac:dyDescent="0.25">
      <c r="D156" s="9" t="str">
        <v>P150</v>
      </c>
      <c r="E156" s="9">
        <v>6.3713620488940623E-2</v>
      </c>
      <c r="G156" s="9" t="str">
        <v>P150</v>
      </c>
      <c r="H156" s="9" t="str">
        <v>YouTube</v>
      </c>
      <c r="I156" s="9">
        <v>45526</v>
      </c>
      <c r="J156" s="9" t="str">
        <v>Carousel</v>
      </c>
      <c r="K156" s="9" t="str">
        <v>Check out our latest carousel on youtube!</v>
      </c>
      <c r="L156" s="9">
        <v>4295</v>
      </c>
      <c r="M156" s="9">
        <v>853</v>
      </c>
      <c r="N156" s="9">
        <v>325</v>
      </c>
      <c r="O156" s="9">
        <v>85900</v>
      </c>
      <c r="P156" s="9">
        <v>85788</v>
      </c>
      <c r="Q156" s="9">
        <v>290</v>
      </c>
      <c r="X156" s="20" t="s">
        <v>192</v>
      </c>
      <c r="Y156" s="21" t="s">
        <v>32</v>
      </c>
      <c r="Z156" s="21">
        <v>147</v>
      </c>
      <c r="AD156" s="8" t="s">
        <v>39</v>
      </c>
      <c r="AE156" s="8">
        <v>0.15571802706241816</v>
      </c>
      <c r="AF156" s="9" t="str" cm="1">
        <f t="array" ref="AF156">_xlfn.IFS(AE156&gt;=0.4, "Top Performer",AE156&gt;=0.2,"Medium Performer",AE156&lt;0.2, "Least Performer")</f>
        <v>Least Performer</v>
      </c>
    </row>
    <row r="157" spans="4:32" x14ac:dyDescent="0.25">
      <c r="D157" s="9" t="str">
        <v>P151</v>
      </c>
      <c r="E157" s="9">
        <v>0.10977802753582468</v>
      </c>
      <c r="G157" s="9" t="str">
        <v>P151</v>
      </c>
      <c r="H157" s="9" t="str">
        <v>Instagram</v>
      </c>
      <c r="I157" s="9">
        <v>45499</v>
      </c>
      <c r="J157" s="9" t="str">
        <v>Image</v>
      </c>
      <c r="K157" s="9" t="str">
        <v>Check out our latest image on instagram!</v>
      </c>
      <c r="L157" s="9">
        <v>3559</v>
      </c>
      <c r="M157" s="9">
        <v>59</v>
      </c>
      <c r="N157" s="9">
        <v>289</v>
      </c>
      <c r="O157" s="9">
        <v>35590</v>
      </c>
      <c r="P157" s="9">
        <v>35105</v>
      </c>
      <c r="Q157" s="9">
        <v>122</v>
      </c>
      <c r="X157" s="25" t="s">
        <v>193</v>
      </c>
      <c r="Y157" s="26" t="s">
        <v>32</v>
      </c>
      <c r="Z157" s="26">
        <v>10</v>
      </c>
      <c r="AD157" s="8" t="s">
        <v>6</v>
      </c>
      <c r="AE157" s="8">
        <v>0.2316508937960042</v>
      </c>
      <c r="AF157" s="9" t="str" cm="1">
        <f t="array" ref="AF157">_xlfn.IFS(AE157&gt;=0.4, "Top Performer",AE157&gt;=0.2,"Medium Performer",AE157&lt;0.2, "Least Performer")</f>
        <v>Medium Performer</v>
      </c>
    </row>
    <row r="158" spans="4:32" x14ac:dyDescent="0.25">
      <c r="D158" s="9" t="str">
        <v>P152</v>
      </c>
      <c r="E158" s="9">
        <v>0.19511518179295032</v>
      </c>
      <c r="G158" s="9" t="str">
        <v>P152</v>
      </c>
      <c r="H158" s="9" t="str">
        <v>Facebook</v>
      </c>
      <c r="I158" s="9">
        <v>45769</v>
      </c>
      <c r="J158" s="9" t="str">
        <v>Image</v>
      </c>
      <c r="K158" s="9" t="str">
        <v>Check out our latest image on facebook!</v>
      </c>
      <c r="L158" s="9">
        <v>4804</v>
      </c>
      <c r="M158" s="9">
        <v>550</v>
      </c>
      <c r="N158" s="9">
        <v>270</v>
      </c>
      <c r="O158" s="9">
        <v>28824</v>
      </c>
      <c r="P158" s="9">
        <v>28370</v>
      </c>
      <c r="Q158" s="9">
        <v>47</v>
      </c>
      <c r="X158" s="20" t="s">
        <v>193</v>
      </c>
      <c r="Y158" s="21" t="s">
        <v>39</v>
      </c>
      <c r="Z158" s="21">
        <v>10</v>
      </c>
      <c r="AD158" s="8" t="s">
        <v>6</v>
      </c>
      <c r="AE158" s="8">
        <v>6.9438087973557078E-2</v>
      </c>
      <c r="AF158" s="9" t="str" cm="1">
        <f t="array" ref="AF158">_xlfn.IFS(AE158&gt;=0.4, "Top Performer",AE158&gt;=0.2,"Medium Performer",AE158&lt;0.2, "Least Performer")</f>
        <v>Least Performer</v>
      </c>
    </row>
    <row r="159" spans="4:32" x14ac:dyDescent="0.25">
      <c r="D159" s="9" t="str">
        <v>P153</v>
      </c>
      <c r="E159" s="9">
        <v>0.17801355732390214</v>
      </c>
      <c r="G159" s="9" t="str">
        <v>P153</v>
      </c>
      <c r="H159" s="9" t="str">
        <v>Twitter</v>
      </c>
      <c r="I159" s="9">
        <v>45658</v>
      </c>
      <c r="J159" s="9" t="str">
        <v>Video</v>
      </c>
      <c r="K159" s="9" t="str">
        <v>Check out our latest video on twitter!</v>
      </c>
      <c r="L159" s="9">
        <v>754</v>
      </c>
      <c r="M159" s="9">
        <v>197</v>
      </c>
      <c r="N159" s="9">
        <v>257</v>
      </c>
      <c r="O159" s="9">
        <v>6786</v>
      </c>
      <c r="P159" s="9">
        <v>6221</v>
      </c>
      <c r="Q159" s="9">
        <v>212</v>
      </c>
      <c r="X159" s="25" t="s">
        <v>194</v>
      </c>
      <c r="Y159" s="26" t="s">
        <v>6</v>
      </c>
      <c r="Z159" s="26">
        <v>240</v>
      </c>
      <c r="AD159" s="8" t="s">
        <v>21</v>
      </c>
      <c r="AE159" s="8">
        <v>0.50192307692307692</v>
      </c>
      <c r="AF159" s="9" t="str" cm="1">
        <f t="array" ref="AF159">_xlfn.IFS(AE159&gt;=0.4, "Top Performer",AE159&gt;=0.2,"Medium Performer",AE159&lt;0.2, "Least Performer")</f>
        <v>Top Performer</v>
      </c>
    </row>
    <row r="160" spans="4:32" x14ac:dyDescent="0.25">
      <c r="D160" s="9" t="str">
        <v>P154</v>
      </c>
      <c r="E160" s="9">
        <v>0.31965192168237855</v>
      </c>
      <c r="G160" s="9" t="str">
        <v>P154</v>
      </c>
      <c r="H160" s="9" t="str">
        <v>Instagram</v>
      </c>
      <c r="I160" s="9">
        <v>45574</v>
      </c>
      <c r="J160" s="9" t="str">
        <v>Carousel</v>
      </c>
      <c r="K160" s="9" t="str">
        <v>Check out our latest carousel on instagram!</v>
      </c>
      <c r="L160" s="9">
        <v>985</v>
      </c>
      <c r="M160" s="9">
        <v>932</v>
      </c>
      <c r="N160" s="9">
        <v>287</v>
      </c>
      <c r="O160" s="9">
        <v>6895</v>
      </c>
      <c r="P160" s="9">
        <v>6757</v>
      </c>
      <c r="Q160" s="9">
        <v>64</v>
      </c>
      <c r="X160" s="20" t="s">
        <v>195</v>
      </c>
      <c r="Y160" s="21" t="s">
        <v>6</v>
      </c>
      <c r="Z160" s="21">
        <v>114</v>
      </c>
      <c r="AD160" s="8" t="s">
        <v>32</v>
      </c>
      <c r="AE160" s="8">
        <v>6.5455787978772245E-2</v>
      </c>
      <c r="AF160" s="9" t="str" cm="1">
        <f t="array" ref="AF160">_xlfn.IFS(AE160&gt;=0.4, "Top Performer",AE160&gt;=0.2,"Medium Performer",AE160&lt;0.2, "Least Performer")</f>
        <v>Least Performer</v>
      </c>
    </row>
    <row r="161" spans="4:32" x14ac:dyDescent="0.25">
      <c r="D161" s="9" t="str">
        <v>P155</v>
      </c>
      <c r="E161" s="9">
        <v>0.11489268506351293</v>
      </c>
      <c r="G161" s="9" t="str">
        <v>P155</v>
      </c>
      <c r="H161" s="9" t="str">
        <v>YouTube</v>
      </c>
      <c r="I161" s="9">
        <v>45647</v>
      </c>
      <c r="J161" s="9" t="str">
        <v>Image</v>
      </c>
      <c r="K161" s="9" t="str">
        <v>Check out our latest image on youtube!</v>
      </c>
      <c r="L161" s="9">
        <v>2283</v>
      </c>
      <c r="M161" s="9">
        <v>210</v>
      </c>
      <c r="N161" s="9">
        <v>130</v>
      </c>
      <c r="O161" s="9">
        <v>22830</v>
      </c>
      <c r="P161" s="9">
        <v>22617</v>
      </c>
      <c r="Q161" s="9">
        <v>143</v>
      </c>
      <c r="X161" s="25" t="s">
        <v>196</v>
      </c>
      <c r="Y161" s="26" t="s">
        <v>21</v>
      </c>
      <c r="Z161" s="26">
        <v>117</v>
      </c>
      <c r="AD161" s="8" t="s">
        <v>21</v>
      </c>
      <c r="AE161" s="8">
        <v>5.6416400425985093E-2</v>
      </c>
      <c r="AF161" s="9" t="str" cm="1">
        <f t="array" ref="AF161">_xlfn.IFS(AE161&gt;=0.4, "Top Performer",AE161&gt;=0.2,"Medium Performer",AE161&lt;0.2, "Least Performer")</f>
        <v>Least Performer</v>
      </c>
    </row>
    <row r="162" spans="4:32" x14ac:dyDescent="0.25">
      <c r="D162" s="9" t="str">
        <v>P156</v>
      </c>
      <c r="E162" s="9">
        <v>0.1095786671562328</v>
      </c>
      <c r="G162" s="9" t="str">
        <v>P156</v>
      </c>
      <c r="H162" s="9" t="str">
        <v>Facebook</v>
      </c>
      <c r="I162" s="9">
        <v>45587</v>
      </c>
      <c r="J162" s="9" t="str">
        <v>Carousel</v>
      </c>
      <c r="K162" s="9" t="str">
        <v>Check out our latest carousel on facebook!</v>
      </c>
      <c r="L162" s="9">
        <v>3352</v>
      </c>
      <c r="M162" s="9">
        <v>941</v>
      </c>
      <c r="N162" s="9">
        <v>482</v>
      </c>
      <c r="O162" s="9">
        <v>43576</v>
      </c>
      <c r="P162" s="9">
        <v>43338</v>
      </c>
      <c r="Q162" s="9">
        <v>240</v>
      </c>
      <c r="X162" s="20" t="s">
        <v>197</v>
      </c>
      <c r="Y162" s="21" t="s">
        <v>32</v>
      </c>
      <c r="Z162" s="21">
        <v>66</v>
      </c>
      <c r="AD162" s="8" t="s">
        <v>32</v>
      </c>
      <c r="AE162" s="8">
        <v>0.21636759108210984</v>
      </c>
      <c r="AF162" s="9" t="str" cm="1">
        <f t="array" ref="AF162">_xlfn.IFS(AE162&gt;=0.4, "Top Performer",AE162&gt;=0.2,"Medium Performer",AE162&lt;0.2, "Least Performer")</f>
        <v>Medium Performer</v>
      </c>
    </row>
    <row r="163" spans="4:32" x14ac:dyDescent="0.25">
      <c r="D163" s="9" t="str">
        <v>P157</v>
      </c>
      <c r="E163" s="9">
        <v>0.10793717277486911</v>
      </c>
      <c r="G163" s="9" t="str">
        <v>P157</v>
      </c>
      <c r="H163" s="9" t="str">
        <v>YouTube</v>
      </c>
      <c r="I163" s="9">
        <v>45496</v>
      </c>
      <c r="J163" s="9" t="str">
        <v>Story</v>
      </c>
      <c r="K163" s="9" t="str">
        <v>Check out our latest story on youtube!</v>
      </c>
      <c r="L163" s="9">
        <v>4775</v>
      </c>
      <c r="M163" s="9">
        <v>173</v>
      </c>
      <c r="N163" s="9">
        <v>206</v>
      </c>
      <c r="O163" s="9">
        <v>47750</v>
      </c>
      <c r="P163" s="9">
        <v>47544</v>
      </c>
      <c r="Q163" s="9">
        <v>187</v>
      </c>
      <c r="X163" s="25" t="s">
        <v>198</v>
      </c>
      <c r="Y163" s="26" t="s">
        <v>21</v>
      </c>
      <c r="Z163" s="26">
        <v>142</v>
      </c>
      <c r="AD163" s="8" t="s">
        <v>5</v>
      </c>
      <c r="AE163" s="8">
        <v>0.21636759108210984</v>
      </c>
      <c r="AF163" s="9" t="str" cm="1">
        <f t="array" ref="AF163">_xlfn.IFS(AE163&gt;=0.4, "Top Performer",AE163&gt;=0.2,"Medium Performer",AE163&lt;0.2, "Least Performer")</f>
        <v>Medium Performer</v>
      </c>
    </row>
    <row r="164" spans="4:32" x14ac:dyDescent="0.25">
      <c r="D164" s="9" t="str">
        <v>P158</v>
      </c>
      <c r="E164" s="9">
        <v>0.11307081114118571</v>
      </c>
      <c r="G164" s="9" t="str">
        <v>P158</v>
      </c>
      <c r="H164" s="9" t="str">
        <v>Instagram</v>
      </c>
      <c r="I164" s="9">
        <v>45515</v>
      </c>
      <c r="J164" s="9" t="str">
        <v>Story</v>
      </c>
      <c r="K164" s="9" t="str">
        <v>Check out our latest story on instagram!</v>
      </c>
      <c r="L164" s="9">
        <v>1762</v>
      </c>
      <c r="M164" s="9">
        <v>405</v>
      </c>
      <c r="N164" s="9">
        <v>423</v>
      </c>
      <c r="O164" s="9">
        <v>22906</v>
      </c>
      <c r="P164" s="9">
        <v>21925</v>
      </c>
      <c r="Q164" s="9">
        <v>25</v>
      </c>
      <c r="X164" s="20" t="s">
        <v>44</v>
      </c>
      <c r="Y164" s="21" t="s">
        <v>32</v>
      </c>
      <c r="Z164" s="21">
        <v>200</v>
      </c>
      <c r="AD164" s="8" t="s">
        <v>21</v>
      </c>
      <c r="AE164" s="8">
        <v>0.15283323095823095</v>
      </c>
      <c r="AF164" s="9" t="str" cm="1">
        <f t="array" ref="AF164">_xlfn.IFS(AE164&gt;=0.4, "Top Performer",AE164&gt;=0.2,"Medium Performer",AE164&lt;0.2, "Least Performer")</f>
        <v>Least Performer</v>
      </c>
    </row>
    <row r="165" spans="4:32" x14ac:dyDescent="0.25">
      <c r="D165" s="9" t="str">
        <v>P159</v>
      </c>
      <c r="E165" s="9">
        <v>0.21745283018867925</v>
      </c>
      <c r="G165" s="9" t="str">
        <v>P159</v>
      </c>
      <c r="H165" s="9" t="str">
        <v>Facebook</v>
      </c>
      <c r="I165" s="9">
        <v>45621</v>
      </c>
      <c r="J165" s="9" t="str">
        <v>Story</v>
      </c>
      <c r="K165" s="9" t="str">
        <v>Check out our latest story on facebook!</v>
      </c>
      <c r="L165" s="9">
        <v>2120</v>
      </c>
      <c r="M165" s="9">
        <v>158</v>
      </c>
      <c r="N165" s="9">
        <v>488</v>
      </c>
      <c r="O165" s="9">
        <v>12720</v>
      </c>
      <c r="P165" s="9">
        <v>12085</v>
      </c>
      <c r="Q165" s="9">
        <v>17</v>
      </c>
      <c r="X165" s="25" t="s">
        <v>44</v>
      </c>
      <c r="Y165" s="26" t="s">
        <v>5</v>
      </c>
      <c r="Z165" s="26">
        <v>200</v>
      </c>
      <c r="AD165" s="8" t="s">
        <v>32</v>
      </c>
      <c r="AE165" s="8">
        <v>0.19864505202032423</v>
      </c>
      <c r="AF165" s="9" t="str" cm="1">
        <f t="array" ref="AF165">_xlfn.IFS(AE165&gt;=0.4, "Top Performer",AE165&gt;=0.2,"Medium Performer",AE165&lt;0.2, "Least Performer")</f>
        <v>Least Performer</v>
      </c>
    </row>
    <row r="166" spans="4:32" x14ac:dyDescent="0.25">
      <c r="D166" s="9" t="str">
        <v>P160</v>
      </c>
      <c r="E166" s="9">
        <v>9.1137810638734856E-2</v>
      </c>
      <c r="G166" s="9" t="str">
        <v>P160</v>
      </c>
      <c r="H166" s="9" t="str">
        <v>Twitter</v>
      </c>
      <c r="I166" s="9">
        <v>45528</v>
      </c>
      <c r="J166" s="9" t="str">
        <v>Video</v>
      </c>
      <c r="K166" s="9" t="str">
        <v>Check out our latest video on twitter!</v>
      </c>
      <c r="L166" s="9">
        <v>1082</v>
      </c>
      <c r="M166" s="9">
        <v>209</v>
      </c>
      <c r="N166" s="9">
        <v>484</v>
      </c>
      <c r="O166" s="9">
        <v>19476</v>
      </c>
      <c r="P166" s="9">
        <v>18654</v>
      </c>
      <c r="Q166" s="9">
        <v>20</v>
      </c>
      <c r="X166" s="20" t="s">
        <v>199</v>
      </c>
      <c r="Y166" s="21" t="s">
        <v>21</v>
      </c>
      <c r="Z166" s="21">
        <v>143</v>
      </c>
      <c r="AD166" s="8" t="s">
        <v>32</v>
      </c>
      <c r="AE166" s="8">
        <v>7.7291421856639245E-2</v>
      </c>
      <c r="AF166" s="9" t="str" cm="1">
        <f t="array" ref="AF166">_xlfn.IFS(AE166&gt;=0.4, "Top Performer",AE166&gt;=0.2,"Medium Performer",AE166&lt;0.2, "Least Performer")</f>
        <v>Least Performer</v>
      </c>
    </row>
    <row r="167" spans="4:32" x14ac:dyDescent="0.25">
      <c r="D167" s="9" t="str">
        <v>P161</v>
      </c>
      <c r="E167" s="9">
        <v>0.11508145034156594</v>
      </c>
      <c r="G167" s="9" t="str">
        <v>P161</v>
      </c>
      <c r="H167" s="9" t="str">
        <v>Twitter</v>
      </c>
      <c r="I167" s="9">
        <v>45707</v>
      </c>
      <c r="J167" s="9" t="str">
        <v>Text</v>
      </c>
      <c r="K167" s="9" t="str">
        <v>Check out our latest text on twitter!</v>
      </c>
      <c r="L167" s="9">
        <v>4671</v>
      </c>
      <c r="M167" s="9">
        <v>876</v>
      </c>
      <c r="N167" s="9">
        <v>366</v>
      </c>
      <c r="O167" s="9">
        <v>51381</v>
      </c>
      <c r="P167" s="9">
        <v>50565</v>
      </c>
      <c r="Q167" s="9">
        <v>245</v>
      </c>
      <c r="X167" s="25" t="s">
        <v>200</v>
      </c>
      <c r="Y167" s="26" t="s">
        <v>32</v>
      </c>
      <c r="Z167" s="26">
        <v>176</v>
      </c>
      <c r="AD167" s="8" t="s">
        <v>21</v>
      </c>
      <c r="AE167" s="8">
        <v>6.3713620488940623E-2</v>
      </c>
      <c r="AF167" s="9" t="str" cm="1">
        <f t="array" ref="AF167">_xlfn.IFS(AE167&gt;=0.4, "Top Performer",AE167&gt;=0.2,"Medium Performer",AE167&lt;0.2, "Least Performer")</f>
        <v>Least Performer</v>
      </c>
    </row>
    <row r="168" spans="4:32" x14ac:dyDescent="0.25">
      <c r="D168" s="9" t="str">
        <v>P162</v>
      </c>
      <c r="E168" s="9">
        <v>8.6630570595585168E-2</v>
      </c>
      <c r="G168" s="9" t="str">
        <v>P162</v>
      </c>
      <c r="H168" s="9" t="str">
        <v>Facebook</v>
      </c>
      <c r="I168" s="9">
        <v>45748</v>
      </c>
      <c r="J168" s="9" t="str">
        <v>Story</v>
      </c>
      <c r="K168" s="9" t="str">
        <v>Check out our latest story on facebook!</v>
      </c>
      <c r="L168" s="9">
        <v>3430</v>
      </c>
      <c r="M168" s="9">
        <v>566</v>
      </c>
      <c r="N168" s="9">
        <v>164</v>
      </c>
      <c r="O168" s="9">
        <v>48020</v>
      </c>
      <c r="P168" s="9">
        <v>47305</v>
      </c>
      <c r="Q168" s="9">
        <v>120</v>
      </c>
      <c r="X168" s="20" t="s">
        <v>201</v>
      </c>
      <c r="Y168" s="21" t="s">
        <v>32</v>
      </c>
      <c r="Z168" s="21">
        <v>76</v>
      </c>
      <c r="AD168" s="8" t="s">
        <v>32</v>
      </c>
      <c r="AE168" s="8">
        <v>0.10977802753582468</v>
      </c>
      <c r="AF168" s="9" t="str" cm="1">
        <f t="array" ref="AF168">_xlfn.IFS(AE168&gt;=0.4, "Top Performer",AE168&gt;=0.2,"Medium Performer",AE168&lt;0.2, "Least Performer")</f>
        <v>Least Performer</v>
      </c>
    </row>
    <row r="169" spans="4:32" x14ac:dyDescent="0.25">
      <c r="D169" s="9" t="str">
        <v>P163</v>
      </c>
      <c r="E169" s="9">
        <v>0.23101532992668297</v>
      </c>
      <c r="G169" s="9" t="str">
        <v>P163</v>
      </c>
      <c r="H169" s="9" t="str">
        <v>Instagram</v>
      </c>
      <c r="I169" s="9">
        <v>45755</v>
      </c>
      <c r="J169" s="9" t="str">
        <v>Image</v>
      </c>
      <c r="K169" s="9" t="str">
        <v>Check out our latest image on instagram!</v>
      </c>
      <c r="L169" s="9">
        <v>4501</v>
      </c>
      <c r="M169" s="9">
        <v>375</v>
      </c>
      <c r="N169" s="9">
        <v>323</v>
      </c>
      <c r="O169" s="9">
        <v>22505</v>
      </c>
      <c r="P169" s="9">
        <v>21836</v>
      </c>
      <c r="Q169" s="9">
        <v>132</v>
      </c>
      <c r="X169" s="25" t="s">
        <v>202</v>
      </c>
      <c r="Y169" s="26" t="s">
        <v>21</v>
      </c>
      <c r="Z169" s="26">
        <v>290</v>
      </c>
      <c r="AD169" s="8" t="s">
        <v>32</v>
      </c>
      <c r="AE169" s="8">
        <v>0.19511518179295032</v>
      </c>
      <c r="AF169" s="9" t="str" cm="1">
        <f t="array" ref="AF169">_xlfn.IFS(AE169&gt;=0.4, "Top Performer",AE169&gt;=0.2,"Medium Performer",AE169&lt;0.2, "Least Performer")</f>
        <v>Least Performer</v>
      </c>
    </row>
    <row r="170" spans="4:32" x14ac:dyDescent="0.25">
      <c r="D170" s="9" t="str">
        <v>P164</v>
      </c>
      <c r="E170" s="9">
        <v>0.15355188488042157</v>
      </c>
      <c r="G170" s="9" t="str">
        <v>P164</v>
      </c>
      <c r="H170" s="9" t="str">
        <v>YouTube</v>
      </c>
      <c r="I170" s="9">
        <v>45715</v>
      </c>
      <c r="J170" s="9" t="str">
        <v>Text</v>
      </c>
      <c r="K170" s="9" t="str">
        <v>Check out our latest text on youtube!</v>
      </c>
      <c r="L170" s="9">
        <v>4934</v>
      </c>
      <c r="M170" s="9">
        <v>971</v>
      </c>
      <c r="N170" s="9">
        <v>156</v>
      </c>
      <c r="O170" s="9">
        <v>39472</v>
      </c>
      <c r="P170" s="9">
        <v>39025</v>
      </c>
      <c r="Q170" s="9">
        <v>169</v>
      </c>
      <c r="X170" s="20" t="s">
        <v>203</v>
      </c>
      <c r="Y170" s="21" t="s">
        <v>32</v>
      </c>
      <c r="Z170" s="21">
        <v>122</v>
      </c>
      <c r="AD170" s="8" t="s">
        <v>21</v>
      </c>
      <c r="AE170" s="8">
        <v>0.17801355732390214</v>
      </c>
      <c r="AF170" s="9" t="str" cm="1">
        <f t="array" ref="AF170">_xlfn.IFS(AE170&gt;=0.4, "Top Performer",AE170&gt;=0.2,"Medium Performer",AE170&lt;0.2, "Least Performer")</f>
        <v>Least Performer</v>
      </c>
    </row>
    <row r="171" spans="4:32" x14ac:dyDescent="0.25">
      <c r="D171" s="9" t="str">
        <v>P165</v>
      </c>
      <c r="E171" s="9">
        <v>0.15405989502933004</v>
      </c>
      <c r="G171" s="9" t="str">
        <v>P165</v>
      </c>
      <c r="H171" s="9" t="str">
        <v>Twitter</v>
      </c>
      <c r="I171" s="9">
        <v>45637</v>
      </c>
      <c r="J171" s="9" t="str">
        <v>Text</v>
      </c>
      <c r="K171" s="9" t="str">
        <v>Check out our latest text on twitter!</v>
      </c>
      <c r="L171" s="9">
        <v>3239</v>
      </c>
      <c r="M171" s="9">
        <v>43</v>
      </c>
      <c r="N171" s="9">
        <v>211</v>
      </c>
      <c r="O171" s="9">
        <v>22673</v>
      </c>
      <c r="P171" s="9">
        <v>22171</v>
      </c>
      <c r="Q171" s="9">
        <v>230</v>
      </c>
      <c r="X171" s="25" t="s">
        <v>204</v>
      </c>
      <c r="Y171" s="26" t="s">
        <v>32</v>
      </c>
      <c r="Z171" s="26">
        <v>47</v>
      </c>
      <c r="AD171" s="8" t="s">
        <v>6</v>
      </c>
      <c r="AE171" s="8">
        <v>0.31965192168237855</v>
      </c>
      <c r="AF171" s="9" t="str" cm="1">
        <f t="array" ref="AF171">_xlfn.IFS(AE171&gt;=0.4, "Top Performer",AE171&gt;=0.2,"Medium Performer",AE171&lt;0.2, "Least Performer")</f>
        <v>Medium Performer</v>
      </c>
    </row>
    <row r="172" spans="4:32" x14ac:dyDescent="0.25">
      <c r="D172" s="9" t="str">
        <v>P166</v>
      </c>
      <c r="E172" s="9">
        <v>0.14320716458262928</v>
      </c>
      <c r="G172" s="9" t="str">
        <v>P166</v>
      </c>
      <c r="H172" s="9" t="str">
        <v>Twitter</v>
      </c>
      <c r="I172" s="9">
        <v>45704</v>
      </c>
      <c r="J172" s="9" t="str">
        <v>Reel</v>
      </c>
      <c r="K172" s="9" t="str">
        <v>Check out our latest reel on twitter!</v>
      </c>
      <c r="L172" s="9">
        <v>1076</v>
      </c>
      <c r="M172" s="9">
        <v>313</v>
      </c>
      <c r="N172" s="9">
        <v>306</v>
      </c>
      <c r="O172" s="9">
        <v>11836</v>
      </c>
      <c r="P172" s="9">
        <v>11596</v>
      </c>
      <c r="Q172" s="9">
        <v>104</v>
      </c>
      <c r="X172" s="20" t="s">
        <v>205</v>
      </c>
      <c r="Y172" s="21" t="s">
        <v>21</v>
      </c>
      <c r="Z172" s="21">
        <v>212</v>
      </c>
      <c r="AD172" s="8" t="s">
        <v>6</v>
      </c>
      <c r="AE172" s="8">
        <v>0.11489268506351293</v>
      </c>
      <c r="AF172" s="9" t="str" cm="1">
        <f t="array" ref="AF172">_xlfn.IFS(AE172&gt;=0.4, "Top Performer",AE172&gt;=0.2,"Medium Performer",AE172&lt;0.2, "Least Performer")</f>
        <v>Least Performer</v>
      </c>
    </row>
    <row r="173" spans="4:32" x14ac:dyDescent="0.25">
      <c r="D173" s="9" t="str">
        <v>P167</v>
      </c>
      <c r="E173" s="9">
        <v>9.859917557465242E-2</v>
      </c>
      <c r="G173" s="9" t="str">
        <v>P167</v>
      </c>
      <c r="H173" s="9" t="str">
        <v>Instagram</v>
      </c>
      <c r="I173" s="9">
        <v>45624</v>
      </c>
      <c r="J173" s="9" t="str">
        <v>Text</v>
      </c>
      <c r="K173" s="9" t="str">
        <v>Check out our latest text on instagram!</v>
      </c>
      <c r="L173" s="9">
        <v>4771</v>
      </c>
      <c r="M173" s="9">
        <v>818</v>
      </c>
      <c r="N173" s="9">
        <v>56</v>
      </c>
      <c r="O173" s="9">
        <v>57252</v>
      </c>
      <c r="P173" s="9">
        <v>56378</v>
      </c>
      <c r="Q173" s="9">
        <v>150</v>
      </c>
      <c r="X173" s="25" t="s">
        <v>206</v>
      </c>
      <c r="Y173" s="26" t="s">
        <v>6</v>
      </c>
      <c r="Z173" s="26">
        <v>64</v>
      </c>
      <c r="AD173" s="8" t="s">
        <v>6</v>
      </c>
      <c r="AE173" s="8">
        <v>0.1095786671562328</v>
      </c>
      <c r="AF173" s="9" t="str" cm="1">
        <f t="array" ref="AF173">_xlfn.IFS(AE173&gt;=0.4, "Top Performer",AE173&gt;=0.2,"Medium Performer",AE173&lt;0.2, "Least Performer")</f>
        <v>Least Performer</v>
      </c>
    </row>
    <row r="174" spans="4:32" x14ac:dyDescent="0.25">
      <c r="D174" s="9" t="str">
        <v>P168</v>
      </c>
      <c r="E174" s="9">
        <v>7.412002573292896E-2</v>
      </c>
      <c r="G174" s="9" t="str">
        <v>P168</v>
      </c>
      <c r="H174" s="9" t="str">
        <v>Facebook</v>
      </c>
      <c r="I174" s="9">
        <v>45608</v>
      </c>
      <c r="J174" s="9" t="str">
        <v>Text</v>
      </c>
      <c r="K174" s="9" t="str">
        <v>Check out our latest text on facebook!</v>
      </c>
      <c r="L174" s="9">
        <v>2418</v>
      </c>
      <c r="M174" s="9">
        <v>754</v>
      </c>
      <c r="N174" s="9">
        <v>54</v>
      </c>
      <c r="O174" s="9">
        <v>43524</v>
      </c>
      <c r="P174" s="9">
        <v>42743</v>
      </c>
      <c r="Q174" s="9">
        <v>182</v>
      </c>
      <c r="X174" s="20" t="s">
        <v>207</v>
      </c>
      <c r="Y174" s="21" t="s">
        <v>6</v>
      </c>
      <c r="Z174" s="21">
        <v>143</v>
      </c>
      <c r="AD174" s="8" t="s">
        <v>6</v>
      </c>
      <c r="AE174" s="8">
        <v>0.10793717277486911</v>
      </c>
      <c r="AF174" s="9" t="str" cm="1">
        <f t="array" ref="AF174">_xlfn.IFS(AE174&gt;=0.4, "Top Performer",AE174&gt;=0.2,"Medium Performer",AE174&lt;0.2, "Least Performer")</f>
        <v>Least Performer</v>
      </c>
    </row>
    <row r="175" spans="4:32" x14ac:dyDescent="0.25">
      <c r="D175" s="9" t="str">
        <v>P169</v>
      </c>
      <c r="E175" s="9">
        <v>0.12490884163239112</v>
      </c>
      <c r="G175" s="9" t="str">
        <v>P169</v>
      </c>
      <c r="H175" s="9" t="str">
        <v>YouTube</v>
      </c>
      <c r="I175" s="9">
        <v>45629</v>
      </c>
      <c r="J175" s="9" t="str">
        <v>Video</v>
      </c>
      <c r="K175" s="9" t="str">
        <v>Check out our latest video on youtube!</v>
      </c>
      <c r="L175" s="9">
        <v>3809</v>
      </c>
      <c r="M175" s="9">
        <v>273</v>
      </c>
      <c r="N175" s="9">
        <v>200</v>
      </c>
      <c r="O175" s="9">
        <v>34281</v>
      </c>
      <c r="P175" s="9">
        <v>33534</v>
      </c>
      <c r="Q175" s="9">
        <v>83</v>
      </c>
      <c r="X175" s="25" t="s">
        <v>208</v>
      </c>
      <c r="Y175" s="26" t="s">
        <v>6</v>
      </c>
      <c r="Z175" s="26">
        <v>240</v>
      </c>
      <c r="AD175" s="8" t="s">
        <v>21</v>
      </c>
      <c r="AE175" s="8">
        <v>0.11307081114118571</v>
      </c>
      <c r="AF175" s="9" t="str" cm="1">
        <f t="array" ref="AF175">_xlfn.IFS(AE175&gt;=0.4, "Top Performer",AE175&gt;=0.2,"Medium Performer",AE175&lt;0.2, "Least Performer")</f>
        <v>Least Performer</v>
      </c>
    </row>
    <row r="176" spans="4:32" x14ac:dyDescent="0.25">
      <c r="D176" s="9" t="str">
        <v>P170</v>
      </c>
      <c r="E176" s="9">
        <v>6.8655003457763777E-2</v>
      </c>
      <c r="G176" s="9" t="str">
        <v>P170</v>
      </c>
      <c r="H176" s="9" t="str">
        <v>Twitter</v>
      </c>
      <c r="I176" s="9">
        <v>45775</v>
      </c>
      <c r="J176" s="9" t="str">
        <v>Text</v>
      </c>
      <c r="K176" s="9" t="str">
        <v>Check out our latest text on twitter!</v>
      </c>
      <c r="L176" s="9">
        <v>3577</v>
      </c>
      <c r="M176" s="9">
        <v>596</v>
      </c>
      <c r="N176" s="9">
        <v>493</v>
      </c>
      <c r="O176" s="9">
        <v>67963</v>
      </c>
      <c r="P176" s="9">
        <v>67839</v>
      </c>
      <c r="Q176" s="9">
        <v>53</v>
      </c>
      <c r="X176" s="20" t="s">
        <v>209</v>
      </c>
      <c r="Y176" s="21" t="s">
        <v>6</v>
      </c>
      <c r="Z176" s="21">
        <v>187</v>
      </c>
      <c r="AD176" s="8" t="s">
        <v>6</v>
      </c>
      <c r="AE176" s="8">
        <v>0.21745283018867925</v>
      </c>
      <c r="AF176" s="9" t="str" cm="1">
        <f t="array" ref="AF176">_xlfn.IFS(AE176&gt;=0.4, "Top Performer",AE176&gt;=0.2,"Medium Performer",AE176&lt;0.2, "Least Performer")</f>
        <v>Medium Performer</v>
      </c>
    </row>
    <row r="177" spans="4:32" x14ac:dyDescent="0.25">
      <c r="D177" s="9" t="str">
        <v>P171</v>
      </c>
      <c r="E177" s="9">
        <v>9.8068107400130972E-2</v>
      </c>
      <c r="G177" s="9" t="str">
        <v>P171</v>
      </c>
      <c r="H177" s="9" t="str">
        <v>YouTube</v>
      </c>
      <c r="I177" s="9">
        <v>45657</v>
      </c>
      <c r="J177" s="9" t="str">
        <v>Video</v>
      </c>
      <c r="K177" s="9" t="str">
        <v>Check out our latest video on youtube!</v>
      </c>
      <c r="L177" s="9">
        <v>1018</v>
      </c>
      <c r="M177" s="9">
        <v>447</v>
      </c>
      <c r="N177" s="9">
        <v>332</v>
      </c>
      <c r="O177" s="9">
        <v>18324</v>
      </c>
      <c r="P177" s="9">
        <v>18164</v>
      </c>
      <c r="Q177" s="9">
        <v>38</v>
      </c>
      <c r="X177" s="25" t="s">
        <v>210</v>
      </c>
      <c r="Y177" s="26" t="s">
        <v>21</v>
      </c>
      <c r="Z177" s="26">
        <v>25</v>
      </c>
      <c r="AD177" s="8" t="s">
        <v>21</v>
      </c>
      <c r="AE177" s="8">
        <v>9.1137810638734856E-2</v>
      </c>
      <c r="AF177" s="9" t="str" cm="1">
        <f t="array" ref="AF177">_xlfn.IFS(AE177&gt;=0.4, "Top Performer",AE177&gt;=0.2,"Medium Performer",AE177&lt;0.2, "Least Performer")</f>
        <v>Least Performer</v>
      </c>
    </row>
    <row r="178" spans="4:32" x14ac:dyDescent="0.25">
      <c r="D178" s="9" t="str">
        <v>P172</v>
      </c>
      <c r="E178" s="9">
        <v>7.2739802071170159E-2</v>
      </c>
      <c r="G178" s="9" t="str">
        <v>P172</v>
      </c>
      <c r="H178" s="9" t="str">
        <v>Facebook</v>
      </c>
      <c r="I178" s="9">
        <v>45518</v>
      </c>
      <c r="J178" s="9" t="str">
        <v>Carousel</v>
      </c>
      <c r="K178" s="9" t="str">
        <v>Check out our latest carousel on facebook!</v>
      </c>
      <c r="L178" s="9">
        <v>3073</v>
      </c>
      <c r="M178" s="9">
        <v>553</v>
      </c>
      <c r="N178" s="9">
        <v>174</v>
      </c>
      <c r="O178" s="9">
        <v>52241</v>
      </c>
      <c r="P178" s="9">
        <v>51605</v>
      </c>
      <c r="Q178" s="9">
        <v>246</v>
      </c>
      <c r="X178" s="20" t="s">
        <v>211</v>
      </c>
      <c r="Y178" s="21" t="s">
        <v>6</v>
      </c>
      <c r="Z178" s="21">
        <v>17</v>
      </c>
      <c r="AD178" s="8" t="s">
        <v>21</v>
      </c>
      <c r="AE178" s="8">
        <v>0.11508145034156594</v>
      </c>
      <c r="AF178" s="9" t="str" cm="1">
        <f t="array" ref="AF178">_xlfn.IFS(AE178&gt;=0.4, "Top Performer",AE178&gt;=0.2,"Medium Performer",AE178&lt;0.2, "Least Performer")</f>
        <v>Least Performer</v>
      </c>
    </row>
    <row r="179" spans="4:32" x14ac:dyDescent="0.25">
      <c r="D179" s="9" t="str">
        <v>P173</v>
      </c>
      <c r="E179" s="9">
        <v>0.14348370927318296</v>
      </c>
      <c r="G179" s="9" t="str">
        <v>P173</v>
      </c>
      <c r="H179" s="9" t="str">
        <v>Twitter</v>
      </c>
      <c r="I179" s="9">
        <v>45631</v>
      </c>
      <c r="J179" s="9" t="str">
        <v>Video</v>
      </c>
      <c r="K179" s="9" t="str">
        <v>Check out our latest video on twitter!</v>
      </c>
      <c r="L179" s="9">
        <v>1330</v>
      </c>
      <c r="M179" s="9">
        <v>925</v>
      </c>
      <c r="N179" s="9">
        <v>35</v>
      </c>
      <c r="O179" s="9">
        <v>15960</v>
      </c>
      <c r="P179" s="9">
        <v>15379</v>
      </c>
      <c r="Q179" s="9">
        <v>229</v>
      </c>
      <c r="X179" s="25" t="s">
        <v>212</v>
      </c>
      <c r="Y179" s="26" t="s">
        <v>21</v>
      </c>
      <c r="Z179" s="26">
        <v>20</v>
      </c>
      <c r="AD179" s="8" t="s">
        <v>6</v>
      </c>
      <c r="AE179" s="8">
        <v>8.6630570595585168E-2</v>
      </c>
      <c r="AF179" s="9" t="str" cm="1">
        <f t="array" ref="AF179">_xlfn.IFS(AE179&gt;=0.4, "Top Performer",AE179&gt;=0.2,"Medium Performer",AE179&lt;0.2, "Least Performer")</f>
        <v>Least Performer</v>
      </c>
    </row>
    <row r="180" spans="4:32" x14ac:dyDescent="0.25">
      <c r="D180" s="9" t="str">
        <v>P174</v>
      </c>
      <c r="E180" s="9">
        <v>0.13809430512016718</v>
      </c>
      <c r="G180" s="9" t="str">
        <v>P174</v>
      </c>
      <c r="H180" s="9" t="str">
        <v>Facebook</v>
      </c>
      <c r="I180" s="9">
        <v>45465</v>
      </c>
      <c r="J180" s="9" t="str">
        <v>Text</v>
      </c>
      <c r="K180" s="9" t="str">
        <v>Check out our latest text on facebook!</v>
      </c>
      <c r="L180" s="9">
        <v>3828</v>
      </c>
      <c r="M180" s="9">
        <v>148</v>
      </c>
      <c r="N180" s="9">
        <v>253</v>
      </c>
      <c r="O180" s="9">
        <v>30624</v>
      </c>
      <c r="P180" s="9">
        <v>30229</v>
      </c>
      <c r="Q180" s="9">
        <v>235</v>
      </c>
      <c r="X180" s="20" t="s">
        <v>213</v>
      </c>
      <c r="Y180" s="21" t="s">
        <v>21</v>
      </c>
      <c r="Z180" s="21">
        <v>245</v>
      </c>
      <c r="AD180" s="8" t="s">
        <v>21</v>
      </c>
      <c r="AE180" s="8">
        <v>0.23101532992668297</v>
      </c>
      <c r="AF180" s="9" t="str" cm="1">
        <f t="array" ref="AF180">_xlfn.IFS(AE180&gt;=0.4, "Top Performer",AE180&gt;=0.2,"Medium Performer",AE180&lt;0.2, "Least Performer")</f>
        <v>Medium Performer</v>
      </c>
    </row>
    <row r="181" spans="4:32" x14ac:dyDescent="0.25">
      <c r="D181" s="9" t="str">
        <v>P175</v>
      </c>
      <c r="E181" s="9">
        <v>0.6508215962441315</v>
      </c>
      <c r="G181" s="9" t="str">
        <v>P175</v>
      </c>
      <c r="H181" s="9" t="str">
        <v>Instagram</v>
      </c>
      <c r="I181" s="9">
        <v>45674</v>
      </c>
      <c r="J181" s="9" t="str">
        <v>Reel</v>
      </c>
      <c r="K181" s="9" t="str">
        <v>Check out our latest reel on instagram!</v>
      </c>
      <c r="L181" s="9">
        <v>142</v>
      </c>
      <c r="M181" s="9">
        <v>784</v>
      </c>
      <c r="N181" s="9">
        <v>183</v>
      </c>
      <c r="O181" s="9">
        <v>1704</v>
      </c>
      <c r="P181" s="9">
        <v>995</v>
      </c>
      <c r="Q181" s="9">
        <v>154</v>
      </c>
      <c r="X181" s="25" t="s">
        <v>214</v>
      </c>
      <c r="Y181" s="26" t="s">
        <v>6</v>
      </c>
      <c r="Z181" s="26">
        <v>120</v>
      </c>
      <c r="AD181" s="8" t="s">
        <v>21</v>
      </c>
      <c r="AE181" s="8">
        <v>0.15355188488042157</v>
      </c>
      <c r="AF181" s="9" t="str" cm="1">
        <f t="array" ref="AF181">_xlfn.IFS(AE181&gt;=0.4, "Top Performer",AE181&gt;=0.2,"Medium Performer",AE181&lt;0.2, "Least Performer")</f>
        <v>Least Performer</v>
      </c>
    </row>
    <row r="182" spans="4:32" x14ac:dyDescent="0.25">
      <c r="D182" s="9" t="str">
        <v>P176</v>
      </c>
      <c r="E182" s="9">
        <v>5.4081095313322801E-2</v>
      </c>
      <c r="G182" s="9" t="str">
        <v>P176</v>
      </c>
      <c r="H182" s="9" t="str">
        <v>Facebook</v>
      </c>
      <c r="I182" s="9">
        <v>45463</v>
      </c>
      <c r="J182" s="9" t="str">
        <v>Video</v>
      </c>
      <c r="K182" s="9" t="str">
        <v>Check out our latest video on facebook!</v>
      </c>
      <c r="L182" s="9">
        <v>3798</v>
      </c>
      <c r="M182" s="9">
        <v>31</v>
      </c>
      <c r="N182" s="9">
        <v>279</v>
      </c>
      <c r="O182" s="9">
        <v>75960</v>
      </c>
      <c r="P182" s="9">
        <v>75813</v>
      </c>
      <c r="Q182" s="9">
        <v>266</v>
      </c>
      <c r="X182" s="20" t="s">
        <v>215</v>
      </c>
      <c r="Y182" s="21" t="s">
        <v>21</v>
      </c>
      <c r="Z182" s="21">
        <v>132</v>
      </c>
      <c r="AD182" s="8" t="s">
        <v>5</v>
      </c>
      <c r="AE182" s="8">
        <v>0.15355188488042157</v>
      </c>
      <c r="AF182" s="9" t="str" cm="1">
        <f t="array" ref="AF182">_xlfn.IFS(AE182&gt;=0.4, "Top Performer",AE182&gt;=0.2,"Medium Performer",AE182&lt;0.2, "Least Performer")</f>
        <v>Least Performer</v>
      </c>
    </row>
    <row r="183" spans="4:32" x14ac:dyDescent="0.25">
      <c r="D183" s="9" t="str">
        <v>P177</v>
      </c>
      <c r="E183" s="9">
        <v>9.1365878393951966E-2</v>
      </c>
      <c r="G183" s="9" t="str">
        <v>P177</v>
      </c>
      <c r="H183" s="9" t="str">
        <v>Instagram</v>
      </c>
      <c r="I183" s="9">
        <v>45483</v>
      </c>
      <c r="J183" s="9" t="str">
        <v>Carousel</v>
      </c>
      <c r="K183" s="9" t="str">
        <v>Check out our latest carousel on instagram!</v>
      </c>
      <c r="L183" s="9">
        <v>3099</v>
      </c>
      <c r="M183" s="9">
        <v>694</v>
      </c>
      <c r="N183" s="9">
        <v>171</v>
      </c>
      <c r="O183" s="9">
        <v>43386</v>
      </c>
      <c r="P183" s="9">
        <v>42921</v>
      </c>
      <c r="Q183" s="9">
        <v>52</v>
      </c>
      <c r="X183" s="25" t="s">
        <v>48</v>
      </c>
      <c r="Y183" s="26" t="s">
        <v>21</v>
      </c>
      <c r="Z183" s="26">
        <v>169</v>
      </c>
      <c r="AD183" s="8" t="s">
        <v>21</v>
      </c>
      <c r="AE183" s="8">
        <v>0.15405989502933004</v>
      </c>
      <c r="AF183" s="9" t="str" cm="1">
        <f t="array" ref="AF183">_xlfn.IFS(AE183&gt;=0.4, "Top Performer",AE183&gt;=0.2,"Medium Performer",AE183&lt;0.2, "Least Performer")</f>
        <v>Least Performer</v>
      </c>
    </row>
    <row r="184" spans="4:32" x14ac:dyDescent="0.25">
      <c r="D184" s="9" t="str">
        <v>P178</v>
      </c>
      <c r="E184" s="9">
        <v>0.70387596899224802</v>
      </c>
      <c r="G184" s="9" t="str">
        <v>P178</v>
      </c>
      <c r="H184" s="9" t="str">
        <v>Instagram</v>
      </c>
      <c r="I184" s="9">
        <v>45603</v>
      </c>
      <c r="J184" s="9" t="str">
        <v>Video</v>
      </c>
      <c r="K184" s="9" t="str">
        <v>Check out our latest video on instagram!</v>
      </c>
      <c r="L184" s="9">
        <v>129</v>
      </c>
      <c r="M184" s="9">
        <v>643</v>
      </c>
      <c r="N184" s="9">
        <v>136</v>
      </c>
      <c r="O184" s="9">
        <v>1290</v>
      </c>
      <c r="P184" s="9">
        <v>839</v>
      </c>
      <c r="Q184" s="9">
        <v>238</v>
      </c>
      <c r="X184" s="20" t="s">
        <v>48</v>
      </c>
      <c r="Y184" s="21" t="s">
        <v>5</v>
      </c>
      <c r="Z184" s="21">
        <v>169</v>
      </c>
      <c r="AD184" s="8" t="s">
        <v>6</v>
      </c>
      <c r="AE184" s="8">
        <v>0.14320716458262928</v>
      </c>
      <c r="AF184" s="9" t="str" cm="1">
        <f t="array" ref="AF184">_xlfn.IFS(AE184&gt;=0.4, "Top Performer",AE184&gt;=0.2,"Medium Performer",AE184&lt;0.2, "Least Performer")</f>
        <v>Least Performer</v>
      </c>
    </row>
    <row r="185" spans="4:32" x14ac:dyDescent="0.25">
      <c r="D185" s="9" t="str">
        <v>P179</v>
      </c>
      <c r="E185" s="9">
        <v>7.5280481001673588E-2</v>
      </c>
      <c r="G185" s="9" t="str">
        <v>P179</v>
      </c>
      <c r="H185" s="9" t="str">
        <v>Facebook</v>
      </c>
      <c r="I185" s="9">
        <v>45488</v>
      </c>
      <c r="J185" s="9" t="str">
        <v>Carousel</v>
      </c>
      <c r="K185" s="9" t="str">
        <v>Check out our latest carousel on facebook!</v>
      </c>
      <c r="L185" s="9">
        <v>3796</v>
      </c>
      <c r="M185" s="9">
        <v>667</v>
      </c>
      <c r="N185" s="9">
        <v>395</v>
      </c>
      <c r="O185" s="9">
        <v>64532</v>
      </c>
      <c r="P185" s="9">
        <v>63550</v>
      </c>
      <c r="Q185" s="9">
        <v>292</v>
      </c>
      <c r="X185" s="25" t="s">
        <v>216</v>
      </c>
      <c r="Y185" s="26" t="s">
        <v>21</v>
      </c>
      <c r="Z185" s="26">
        <v>230</v>
      </c>
      <c r="AD185" s="8" t="s">
        <v>6</v>
      </c>
      <c r="AE185" s="8">
        <v>9.859917557465242E-2</v>
      </c>
      <c r="AF185" s="9" t="str" cm="1">
        <f t="array" ref="AF185">_xlfn.IFS(AE185&gt;=0.4, "Top Performer",AE185&gt;=0.2,"Medium Performer",AE185&lt;0.2, "Least Performer")</f>
        <v>Least Performer</v>
      </c>
    </row>
    <row r="186" spans="4:32" x14ac:dyDescent="0.25">
      <c r="D186" s="9" t="str">
        <v>P180</v>
      </c>
      <c r="E186" s="9">
        <v>9.023070704558174E-2</v>
      </c>
      <c r="G186" s="9" t="str">
        <v>P180</v>
      </c>
      <c r="H186" s="9" t="str">
        <v>YouTube</v>
      </c>
      <c r="I186" s="9">
        <v>45629</v>
      </c>
      <c r="J186" s="9" t="str">
        <v>Text</v>
      </c>
      <c r="K186" s="9" t="str">
        <v>Check out our latest text on youtube!</v>
      </c>
      <c r="L186" s="9">
        <v>3711</v>
      </c>
      <c r="M186" s="9">
        <v>352</v>
      </c>
      <c r="N186" s="9">
        <v>290</v>
      </c>
      <c r="O186" s="9">
        <v>48243</v>
      </c>
      <c r="P186" s="9">
        <v>47579</v>
      </c>
      <c r="Q186" s="9">
        <v>11</v>
      </c>
      <c r="X186" s="20" t="s">
        <v>217</v>
      </c>
      <c r="Y186" s="21" t="s">
        <v>6</v>
      </c>
      <c r="Z186" s="21">
        <v>104</v>
      </c>
      <c r="AD186" s="8" t="s">
        <v>32</v>
      </c>
      <c r="AE186" s="8">
        <v>7.412002573292896E-2</v>
      </c>
      <c r="AF186" s="9" t="str" cm="1">
        <f t="array" ref="AF186">_xlfn.IFS(AE186&gt;=0.4, "Top Performer",AE186&gt;=0.2,"Medium Performer",AE186&lt;0.2, "Least Performer")</f>
        <v>Least Performer</v>
      </c>
    </row>
    <row r="187" spans="4:32" x14ac:dyDescent="0.25">
      <c r="D187" s="9" t="str">
        <v>P181</v>
      </c>
      <c r="E187" s="9">
        <v>0.23673521198273673</v>
      </c>
      <c r="G187" s="9" t="str">
        <v>P181</v>
      </c>
      <c r="H187" s="9" t="str">
        <v>YouTube</v>
      </c>
      <c r="I187" s="9">
        <v>45737</v>
      </c>
      <c r="J187" s="9" t="str">
        <v>Image</v>
      </c>
      <c r="K187" s="9" t="str">
        <v>Check out our latest image on youtube!</v>
      </c>
      <c r="L187" s="9">
        <v>606</v>
      </c>
      <c r="M187" s="9">
        <v>789</v>
      </c>
      <c r="N187" s="9">
        <v>470</v>
      </c>
      <c r="O187" s="9">
        <v>7878</v>
      </c>
      <c r="P187" s="9">
        <v>7389</v>
      </c>
      <c r="Q187" s="9">
        <v>239</v>
      </c>
      <c r="X187" s="25" t="s">
        <v>218</v>
      </c>
      <c r="Y187" s="26" t="s">
        <v>6</v>
      </c>
      <c r="Z187" s="26">
        <v>150</v>
      </c>
      <c r="AD187" s="8" t="s">
        <v>32</v>
      </c>
      <c r="AE187" s="8">
        <v>0.12490884163239112</v>
      </c>
      <c r="AF187" s="9" t="str" cm="1">
        <f t="array" ref="AF187">_xlfn.IFS(AE187&gt;=0.4, "Top Performer",AE187&gt;=0.2,"Medium Performer",AE187&lt;0.2, "Least Performer")</f>
        <v>Least Performer</v>
      </c>
    </row>
    <row r="188" spans="4:32" x14ac:dyDescent="0.25">
      <c r="D188" s="9" t="str">
        <v>P182</v>
      </c>
      <c r="E188" s="9">
        <v>0.10132030477519921</v>
      </c>
      <c r="G188" s="9" t="str">
        <v>P182</v>
      </c>
      <c r="H188" s="9" t="str">
        <v>Facebook</v>
      </c>
      <c r="I188" s="9">
        <v>45504</v>
      </c>
      <c r="J188" s="9" t="str">
        <v>Image</v>
      </c>
      <c r="K188" s="9" t="str">
        <v>Check out our latest image on facebook!</v>
      </c>
      <c r="L188" s="9">
        <v>4689</v>
      </c>
      <c r="M188" s="9">
        <v>134</v>
      </c>
      <c r="N188" s="9">
        <v>403</v>
      </c>
      <c r="O188" s="9">
        <v>51579</v>
      </c>
      <c r="P188" s="9">
        <v>50924</v>
      </c>
      <c r="Q188" s="9">
        <v>173</v>
      </c>
      <c r="X188" s="20" t="s">
        <v>219</v>
      </c>
      <c r="Y188" s="21" t="s">
        <v>32</v>
      </c>
      <c r="Z188" s="21">
        <v>182</v>
      </c>
      <c r="AD188" s="8" t="s">
        <v>21</v>
      </c>
      <c r="AE188" s="8">
        <v>6.8655003457763777E-2</v>
      </c>
      <c r="AF188" s="9" t="str" cm="1">
        <f t="array" ref="AF188">_xlfn.IFS(AE188&gt;=0.4, "Top Performer",AE188&gt;=0.2,"Medium Performer",AE188&lt;0.2, "Least Performer")</f>
        <v>Least Performer</v>
      </c>
    </row>
    <row r="189" spans="4:32" x14ac:dyDescent="0.25">
      <c r="D189" s="9" t="str">
        <v>P183</v>
      </c>
      <c r="E189" s="9">
        <v>0.28696581196581195</v>
      </c>
      <c r="G189" s="9" t="str">
        <v>P183</v>
      </c>
      <c r="H189" s="9" t="str">
        <v>Instagram</v>
      </c>
      <c r="I189" s="9">
        <v>45643</v>
      </c>
      <c r="J189" s="9" t="str">
        <v>Story</v>
      </c>
      <c r="K189" s="9" t="str">
        <v>Check out our latest story on instagram!</v>
      </c>
      <c r="L189" s="9">
        <v>360</v>
      </c>
      <c r="M189" s="9">
        <v>590</v>
      </c>
      <c r="N189" s="9">
        <v>393</v>
      </c>
      <c r="O189" s="9">
        <v>4680</v>
      </c>
      <c r="P189" s="9">
        <v>4322</v>
      </c>
      <c r="Q189" s="9">
        <v>208</v>
      </c>
      <c r="X189" s="25" t="s">
        <v>220</v>
      </c>
      <c r="Y189" s="26" t="s">
        <v>32</v>
      </c>
      <c r="Z189" s="26">
        <v>83</v>
      </c>
      <c r="AD189" s="8" t="s">
        <v>6</v>
      </c>
      <c r="AE189" s="8">
        <v>9.8068107400130972E-2</v>
      </c>
      <c r="AF189" s="9" t="str" cm="1">
        <f t="array" ref="AF189">_xlfn.IFS(AE189&gt;=0.4, "Top Performer",AE189&gt;=0.2,"Medium Performer",AE189&lt;0.2, "Least Performer")</f>
        <v>Least Performer</v>
      </c>
    </row>
    <row r="190" spans="4:32" x14ac:dyDescent="0.25">
      <c r="D190" s="9" t="str">
        <v>P184</v>
      </c>
      <c r="E190" s="9">
        <v>0.13614307931570763</v>
      </c>
      <c r="G190" s="9" t="str">
        <v>P184</v>
      </c>
      <c r="H190" s="9" t="str">
        <v>Twitter</v>
      </c>
      <c r="I190" s="9">
        <v>45501</v>
      </c>
      <c r="J190" s="9" t="str">
        <v>Image</v>
      </c>
      <c r="K190" s="9" t="str">
        <v>Check out our latest image on twitter!</v>
      </c>
      <c r="L190" s="9">
        <v>3215</v>
      </c>
      <c r="M190" s="9">
        <v>960</v>
      </c>
      <c r="N190" s="9">
        <v>202</v>
      </c>
      <c r="O190" s="9">
        <v>32150</v>
      </c>
      <c r="P190" s="9">
        <v>31404</v>
      </c>
      <c r="Q190" s="9">
        <v>251</v>
      </c>
      <c r="X190" s="20" t="s">
        <v>221</v>
      </c>
      <c r="Y190" s="21" t="s">
        <v>21</v>
      </c>
      <c r="Z190" s="21">
        <v>53</v>
      </c>
      <c r="AD190" s="8" t="s">
        <v>32</v>
      </c>
      <c r="AE190" s="8">
        <v>7.2739802071170159E-2</v>
      </c>
      <c r="AF190" s="9" t="str" cm="1">
        <f t="array" ref="AF190">_xlfn.IFS(AE190&gt;=0.4, "Top Performer",AE190&gt;=0.2,"Medium Performer",AE190&lt;0.2, "Least Performer")</f>
        <v>Least Performer</v>
      </c>
    </row>
    <row r="191" spans="4:32" x14ac:dyDescent="0.25">
      <c r="D191" s="9" t="str">
        <v>P185</v>
      </c>
      <c r="E191" s="9">
        <v>9.5290736237010829E-2</v>
      </c>
      <c r="G191" s="9" t="str">
        <v>P185</v>
      </c>
      <c r="H191" s="9" t="str">
        <v>Instagram</v>
      </c>
      <c r="I191" s="9">
        <v>45668</v>
      </c>
      <c r="J191" s="9" t="str">
        <v>Carousel</v>
      </c>
      <c r="K191" s="9" t="str">
        <v>Check out our latest carousel on instagram!</v>
      </c>
      <c r="L191" s="9">
        <v>4523</v>
      </c>
      <c r="M191" s="9">
        <v>61</v>
      </c>
      <c r="N191" s="9">
        <v>157</v>
      </c>
      <c r="O191" s="9">
        <v>49753</v>
      </c>
      <c r="P191" s="9">
        <v>49329</v>
      </c>
      <c r="Q191" s="9">
        <v>71</v>
      </c>
      <c r="X191" s="25" t="s">
        <v>222</v>
      </c>
      <c r="Y191" s="26" t="s">
        <v>6</v>
      </c>
      <c r="Z191" s="26">
        <v>38</v>
      </c>
      <c r="AD191" s="8" t="s">
        <v>6</v>
      </c>
      <c r="AE191" s="8">
        <v>0.14348370927318296</v>
      </c>
      <c r="AF191" s="9" t="str" cm="1">
        <f t="array" ref="AF191">_xlfn.IFS(AE191&gt;=0.4, "Top Performer",AE191&gt;=0.2,"Medium Performer",AE191&lt;0.2, "Least Performer")</f>
        <v>Least Performer</v>
      </c>
    </row>
    <row r="192" spans="4:32" x14ac:dyDescent="0.25">
      <c r="D192" s="9" t="str">
        <v>P186</v>
      </c>
      <c r="E192" s="9">
        <v>8.4862714173059003E-2</v>
      </c>
      <c r="G192" s="9" t="str">
        <v>P186</v>
      </c>
      <c r="H192" s="9" t="str">
        <v>Facebook</v>
      </c>
      <c r="I192" s="9">
        <v>45528</v>
      </c>
      <c r="J192" s="9" t="str">
        <v>Carousel</v>
      </c>
      <c r="K192" s="9" t="str">
        <v>Check out our latest carousel on facebook!</v>
      </c>
      <c r="L192" s="9">
        <v>4292</v>
      </c>
      <c r="M192" s="9">
        <v>51</v>
      </c>
      <c r="N192" s="9">
        <v>392</v>
      </c>
      <c r="O192" s="9">
        <v>55796</v>
      </c>
      <c r="P192" s="9">
        <v>54826</v>
      </c>
      <c r="Q192" s="9">
        <v>264</v>
      </c>
      <c r="X192" s="20" t="s">
        <v>223</v>
      </c>
      <c r="Y192" s="21" t="s">
        <v>32</v>
      </c>
      <c r="Z192" s="21">
        <v>246</v>
      </c>
      <c r="AD192" s="8" t="s">
        <v>32</v>
      </c>
      <c r="AE192" s="8">
        <v>0.13809430512016718</v>
      </c>
      <c r="AF192" s="9" t="str" cm="1">
        <f t="array" ref="AF192">_xlfn.IFS(AE192&gt;=0.4, "Top Performer",AE192&gt;=0.2,"Medium Performer",AE192&lt;0.2, "Least Performer")</f>
        <v>Least Performer</v>
      </c>
    </row>
    <row r="193" spans="4:32" x14ac:dyDescent="0.25">
      <c r="D193" s="9" t="str">
        <v>P187</v>
      </c>
      <c r="E193" s="9">
        <v>8.3726921425504502E-2</v>
      </c>
      <c r="G193" s="9" t="str">
        <v>P187</v>
      </c>
      <c r="H193" s="9" t="str">
        <v>Twitter</v>
      </c>
      <c r="I193" s="9">
        <v>45648</v>
      </c>
      <c r="J193" s="9" t="str">
        <v>Reel</v>
      </c>
      <c r="K193" s="9" t="str">
        <v>Check out our latest reel on twitter!</v>
      </c>
      <c r="L193" s="9">
        <v>1644</v>
      </c>
      <c r="M193" s="9">
        <v>546</v>
      </c>
      <c r="N193" s="9">
        <v>150</v>
      </c>
      <c r="O193" s="9">
        <v>27948</v>
      </c>
      <c r="P193" s="9">
        <v>27184</v>
      </c>
      <c r="Q193" s="9">
        <v>300</v>
      </c>
      <c r="X193" s="25" t="s">
        <v>224</v>
      </c>
      <c r="Y193" s="26" t="s">
        <v>6</v>
      </c>
      <c r="Z193" s="26">
        <v>229</v>
      </c>
      <c r="AD193" s="8" t="s">
        <v>6</v>
      </c>
      <c r="AE193" s="8">
        <v>0.6508215962441315</v>
      </c>
      <c r="AF193" s="9" t="str" cm="1">
        <f t="array" ref="AF193">_xlfn.IFS(AE193&gt;=0.4, "Top Performer",AE193&gt;=0.2,"Medium Performer",AE193&lt;0.2, "Least Performer")</f>
        <v>Top Performer</v>
      </c>
    </row>
    <row r="194" spans="4:32" x14ac:dyDescent="0.25">
      <c r="D194" s="9" t="str">
        <v>P188</v>
      </c>
      <c r="E194" s="9">
        <v>8.4946236559139784E-2</v>
      </c>
      <c r="G194" s="9" t="str">
        <v>P188</v>
      </c>
      <c r="H194" s="9" t="str">
        <v>YouTube</v>
      </c>
      <c r="I194" s="9">
        <v>45449</v>
      </c>
      <c r="J194" s="9" t="str">
        <v>Reel</v>
      </c>
      <c r="K194" s="9" t="str">
        <v>Check out our latest reel on youtube!</v>
      </c>
      <c r="L194" s="9">
        <v>2728</v>
      </c>
      <c r="M194" s="9">
        <v>533</v>
      </c>
      <c r="N194" s="9">
        <v>215</v>
      </c>
      <c r="O194" s="9">
        <v>40920</v>
      </c>
      <c r="P194" s="9">
        <v>40816</v>
      </c>
      <c r="Q194" s="9">
        <v>137</v>
      </c>
      <c r="X194" s="20" t="s">
        <v>225</v>
      </c>
      <c r="Y194" s="21" t="s">
        <v>32</v>
      </c>
      <c r="Z194" s="21">
        <v>235</v>
      </c>
      <c r="AD194" s="8" t="s">
        <v>21</v>
      </c>
      <c r="AE194" s="8">
        <v>5.4081095313322801E-2</v>
      </c>
      <c r="AF194" s="9" t="str" cm="1">
        <f t="array" ref="AF194">_xlfn.IFS(AE194&gt;=0.4, "Top Performer",AE194&gt;=0.2,"Medium Performer",AE194&lt;0.2, "Least Performer")</f>
        <v>Least Performer</v>
      </c>
    </row>
    <row r="195" spans="4:32" x14ac:dyDescent="0.25">
      <c r="D195" s="9" t="str">
        <v>P189</v>
      </c>
      <c r="E195" s="9">
        <v>7.2503306878306875E-2</v>
      </c>
      <c r="G195" s="9" t="str">
        <v>P189</v>
      </c>
      <c r="H195" s="9" t="str">
        <v>Facebook</v>
      </c>
      <c r="I195" s="9">
        <v>45740</v>
      </c>
      <c r="J195" s="9" t="str">
        <v>Reel</v>
      </c>
      <c r="K195" s="9" t="str">
        <v>Check out our latest reel on facebook!</v>
      </c>
      <c r="L195" s="9">
        <v>3360</v>
      </c>
      <c r="M195" s="9">
        <v>525</v>
      </c>
      <c r="N195" s="9">
        <v>500</v>
      </c>
      <c r="O195" s="9">
        <v>60480</v>
      </c>
      <c r="P195" s="9">
        <v>59610</v>
      </c>
      <c r="Q195" s="9">
        <v>192</v>
      </c>
      <c r="X195" s="25" t="s">
        <v>226</v>
      </c>
      <c r="Y195" s="26" t="s">
        <v>6</v>
      </c>
      <c r="Z195" s="26">
        <v>154</v>
      </c>
      <c r="AD195" s="8" t="s">
        <v>21</v>
      </c>
      <c r="AE195" s="8">
        <v>9.1365878393951966E-2</v>
      </c>
      <c r="AF195" s="9" t="str" cm="1">
        <f t="array" ref="AF195">_xlfn.IFS(AE195&gt;=0.4, "Top Performer",AE195&gt;=0.2,"Medium Performer",AE195&lt;0.2, "Least Performer")</f>
        <v>Least Performer</v>
      </c>
    </row>
    <row r="196" spans="4:32" x14ac:dyDescent="0.25">
      <c r="D196" s="9" t="str">
        <v>P190</v>
      </c>
      <c r="E196" s="9">
        <v>5.5909322465613857E-2</v>
      </c>
      <c r="G196" s="9" t="str">
        <v>P190</v>
      </c>
      <c r="H196" s="9" t="str">
        <v>YouTube</v>
      </c>
      <c r="I196" s="9">
        <v>45569</v>
      </c>
      <c r="J196" s="9" t="str">
        <v>Text</v>
      </c>
      <c r="K196" s="9" t="str">
        <v>Check out our latest text on youtube!</v>
      </c>
      <c r="L196" s="9">
        <v>1963</v>
      </c>
      <c r="M196" s="9">
        <v>213</v>
      </c>
      <c r="N196" s="9">
        <v>19</v>
      </c>
      <c r="O196" s="9">
        <v>39260</v>
      </c>
      <c r="P196" s="9">
        <v>38771</v>
      </c>
      <c r="Q196" s="9">
        <v>145</v>
      </c>
      <c r="X196" s="20" t="s">
        <v>227</v>
      </c>
      <c r="Y196" s="21" t="s">
        <v>21</v>
      </c>
      <c r="Z196" s="21">
        <v>266</v>
      </c>
      <c r="AD196" s="8" t="s">
        <v>21</v>
      </c>
      <c r="AE196" s="8">
        <v>0.70387596899224802</v>
      </c>
      <c r="AF196" s="9" t="str" cm="1">
        <f t="array" ref="AF196">_xlfn.IFS(AE196&gt;=0.4, "Top Performer",AE196&gt;=0.2,"Medium Performer",AE196&lt;0.2, "Least Performer")</f>
        <v>Top Performer</v>
      </c>
    </row>
    <row r="197" spans="4:32" x14ac:dyDescent="0.25">
      <c r="D197" s="9" t="str">
        <v>P191</v>
      </c>
      <c r="E197" s="9">
        <v>9.9578134817341346E-2</v>
      </c>
      <c r="G197" s="9" t="str">
        <v>P191</v>
      </c>
      <c r="H197" s="9" t="str">
        <v>YouTube</v>
      </c>
      <c r="I197" s="9">
        <v>45629</v>
      </c>
      <c r="J197" s="9" t="str">
        <v>Story</v>
      </c>
      <c r="K197" s="9" t="str">
        <v>Check out our latest story on youtube!</v>
      </c>
      <c r="L197" s="9">
        <v>4285</v>
      </c>
      <c r="M197" s="9">
        <v>886</v>
      </c>
      <c r="N197" s="9">
        <v>376</v>
      </c>
      <c r="O197" s="9">
        <v>55705</v>
      </c>
      <c r="P197" s="9">
        <v>55556</v>
      </c>
      <c r="Q197" s="9">
        <v>51</v>
      </c>
      <c r="X197" s="25" t="s">
        <v>228</v>
      </c>
      <c r="Y197" s="26" t="s">
        <v>21</v>
      </c>
      <c r="Z197" s="26">
        <v>52</v>
      </c>
      <c r="AD197" s="8" t="s">
        <v>21</v>
      </c>
      <c r="AE197" s="8">
        <v>7.5280481001673588E-2</v>
      </c>
      <c r="AF197" s="9" t="str" cm="1">
        <f t="array" ref="AF197">_xlfn.IFS(AE197&gt;=0.4, "Top Performer",AE197&gt;=0.2,"Medium Performer",AE197&lt;0.2, "Least Performer")</f>
        <v>Least Performer</v>
      </c>
    </row>
    <row r="198" spans="4:32" x14ac:dyDescent="0.25">
      <c r="D198" s="9" t="str">
        <v>P192</v>
      </c>
      <c r="E198" s="9">
        <v>0.1441326530612245</v>
      </c>
      <c r="G198" s="9" t="str">
        <v>P192</v>
      </c>
      <c r="H198" s="9" t="str">
        <v>Instagram</v>
      </c>
      <c r="I198" s="9">
        <v>45625</v>
      </c>
      <c r="J198" s="9" t="str">
        <v>Video</v>
      </c>
      <c r="K198" s="9" t="str">
        <v>Check out our latest video on instagram!</v>
      </c>
      <c r="L198" s="9">
        <v>1176</v>
      </c>
      <c r="M198" s="9">
        <v>464</v>
      </c>
      <c r="N198" s="9">
        <v>394</v>
      </c>
      <c r="O198" s="9">
        <v>14112</v>
      </c>
      <c r="P198" s="9">
        <v>13588</v>
      </c>
      <c r="Q198" s="9">
        <v>272</v>
      </c>
      <c r="X198" s="20" t="s">
        <v>229</v>
      </c>
      <c r="Y198" s="21" t="s">
        <v>21</v>
      </c>
      <c r="Z198" s="21">
        <v>238</v>
      </c>
      <c r="AD198" s="8" t="s">
        <v>21</v>
      </c>
      <c r="AE198" s="8">
        <v>9.023070704558174E-2</v>
      </c>
      <c r="AF198" s="9" t="str" cm="1">
        <f t="array" ref="AF198">_xlfn.IFS(AE198&gt;=0.4, "Top Performer",AE198&gt;=0.2,"Medium Performer",AE198&lt;0.2, "Least Performer")</f>
        <v>Least Performer</v>
      </c>
    </row>
    <row r="199" spans="4:32" x14ac:dyDescent="0.25">
      <c r="D199" s="9" t="str">
        <v>P193</v>
      </c>
      <c r="E199" s="9">
        <v>9.9255211647142488E-2</v>
      </c>
      <c r="G199" s="9" t="str">
        <v>P193</v>
      </c>
      <c r="H199" s="9" t="str">
        <v>Twitter</v>
      </c>
      <c r="I199" s="9">
        <v>45546</v>
      </c>
      <c r="J199" s="9" t="str">
        <v>Image</v>
      </c>
      <c r="K199" s="9" t="str">
        <v>Check out our latest image on twitter!</v>
      </c>
      <c r="L199" s="9">
        <v>4858</v>
      </c>
      <c r="M199" s="9">
        <v>317</v>
      </c>
      <c r="N199" s="9">
        <v>129</v>
      </c>
      <c r="O199" s="9">
        <v>53438</v>
      </c>
      <c r="P199" s="9">
        <v>52687</v>
      </c>
      <c r="Q199" s="9">
        <v>223</v>
      </c>
      <c r="X199" s="25" t="s">
        <v>230</v>
      </c>
      <c r="Y199" s="26" t="s">
        <v>21</v>
      </c>
      <c r="Z199" s="26">
        <v>292</v>
      </c>
      <c r="AD199" s="8" t="s">
        <v>32</v>
      </c>
      <c r="AE199" s="8">
        <v>0.23673521198273673</v>
      </c>
      <c r="AF199" s="9" t="str" cm="1">
        <f t="array" ref="AF199">_xlfn.IFS(AE199&gt;=0.4, "Top Performer",AE199&gt;=0.2,"Medium Performer",AE199&lt;0.2, "Least Performer")</f>
        <v>Medium Performer</v>
      </c>
    </row>
    <row r="200" spans="4:32" x14ac:dyDescent="0.25">
      <c r="D200" s="9" t="str">
        <v>P194</v>
      </c>
      <c r="E200" s="9">
        <v>8.4203612479474554E-2</v>
      </c>
      <c r="G200" s="9" t="str">
        <v>P194</v>
      </c>
      <c r="H200" s="9" t="str">
        <v>YouTube</v>
      </c>
      <c r="I200" s="9">
        <v>45567</v>
      </c>
      <c r="J200" s="9" t="str">
        <v>Story</v>
      </c>
      <c r="K200" s="9" t="str">
        <v>Check out our latest story on youtube!</v>
      </c>
      <c r="L200" s="9">
        <v>4350</v>
      </c>
      <c r="M200" s="9">
        <v>771</v>
      </c>
      <c r="N200" s="9">
        <v>7</v>
      </c>
      <c r="O200" s="9">
        <v>60900</v>
      </c>
      <c r="P200" s="9">
        <v>60592</v>
      </c>
      <c r="Q200" s="9">
        <v>195</v>
      </c>
      <c r="X200" s="20" t="s">
        <v>231</v>
      </c>
      <c r="Y200" s="21" t="s">
        <v>21</v>
      </c>
      <c r="Z200" s="21">
        <v>11</v>
      </c>
      <c r="AD200" s="8" t="s">
        <v>21</v>
      </c>
      <c r="AE200" s="8">
        <v>0.10132030477519921</v>
      </c>
      <c r="AF200" s="9" t="str" cm="1">
        <f t="array" ref="AF200">_xlfn.IFS(AE200&gt;=0.4, "Top Performer",AE200&gt;=0.2,"Medium Performer",AE200&lt;0.2, "Least Performer")</f>
        <v>Least Performer</v>
      </c>
    </row>
    <row r="201" spans="4:32" x14ac:dyDescent="0.25">
      <c r="D201" s="9" t="str">
        <v>P195</v>
      </c>
      <c r="E201" s="9">
        <v>0.13667732704931829</v>
      </c>
      <c r="G201" s="9" t="str">
        <v>P195</v>
      </c>
      <c r="H201" s="9" t="str">
        <v>Instagram</v>
      </c>
      <c r="I201" s="9">
        <v>45519</v>
      </c>
      <c r="J201" s="9" t="str">
        <v>Carousel</v>
      </c>
      <c r="K201" s="9" t="str">
        <v>Check out our latest carousel on instagram!</v>
      </c>
      <c r="L201" s="9">
        <v>914</v>
      </c>
      <c r="M201" s="9">
        <v>464</v>
      </c>
      <c r="N201" s="9">
        <v>246</v>
      </c>
      <c r="O201" s="9">
        <v>11882</v>
      </c>
      <c r="P201" s="9">
        <v>11500</v>
      </c>
      <c r="Q201" s="9">
        <v>282</v>
      </c>
      <c r="X201" s="25" t="s">
        <v>232</v>
      </c>
      <c r="Y201" s="26" t="s">
        <v>32</v>
      </c>
      <c r="Z201" s="26">
        <v>239</v>
      </c>
      <c r="AD201" s="8" t="s">
        <v>6</v>
      </c>
      <c r="AE201" s="8">
        <v>0.28696581196581195</v>
      </c>
      <c r="AF201" s="9" t="str" cm="1">
        <f t="array" ref="AF201">_xlfn.IFS(AE201&gt;=0.4, "Top Performer",AE201&gt;=0.2,"Medium Performer",AE201&lt;0.2, "Least Performer")</f>
        <v>Medium Performer</v>
      </c>
    </row>
    <row r="202" spans="4:32" x14ac:dyDescent="0.25">
      <c r="D202" s="9" t="str">
        <v>P196</v>
      </c>
      <c r="E202" s="9">
        <v>0.12575841147269717</v>
      </c>
      <c r="G202" s="9" t="str">
        <v>P196</v>
      </c>
      <c r="H202" s="9" t="str">
        <v>Instagram</v>
      </c>
      <c r="I202" s="9">
        <v>45645</v>
      </c>
      <c r="J202" s="9" t="str">
        <v>Text</v>
      </c>
      <c r="K202" s="9" t="str">
        <v>Check out our latest text on instagram!</v>
      </c>
      <c r="L202" s="9">
        <v>1813</v>
      </c>
      <c r="M202" s="9">
        <v>623</v>
      </c>
      <c r="N202" s="9">
        <v>72</v>
      </c>
      <c r="O202" s="9">
        <v>19943</v>
      </c>
      <c r="P202" s="9">
        <v>18959</v>
      </c>
      <c r="Q202" s="9">
        <v>85</v>
      </c>
      <c r="X202" s="20" t="s">
        <v>233</v>
      </c>
      <c r="Y202" s="21" t="s">
        <v>21</v>
      </c>
      <c r="Z202" s="21">
        <v>173</v>
      </c>
      <c r="AD202" s="8" t="s">
        <v>32</v>
      </c>
      <c r="AE202" s="8">
        <v>0.13614307931570763</v>
      </c>
      <c r="AF202" s="9" t="str" cm="1">
        <f t="array" ref="AF202">_xlfn.IFS(AE202&gt;=0.4, "Top Performer",AE202&gt;=0.2,"Medium Performer",AE202&lt;0.2, "Least Performer")</f>
        <v>Least Performer</v>
      </c>
    </row>
    <row r="203" spans="4:32" x14ac:dyDescent="0.25">
      <c r="D203" s="9" t="str">
        <v>P197</v>
      </c>
      <c r="E203" s="9">
        <v>6.4884520656164318E-2</v>
      </c>
      <c r="G203" s="9" t="str">
        <v>P197</v>
      </c>
      <c r="H203" s="9" t="str">
        <v>Twitter</v>
      </c>
      <c r="I203" s="9">
        <v>45587</v>
      </c>
      <c r="J203" s="9" t="str">
        <v>Reel</v>
      </c>
      <c r="K203" s="9" t="str">
        <v>Check out our latest reel on twitter!</v>
      </c>
      <c r="L203" s="9">
        <v>4782</v>
      </c>
      <c r="M203" s="9">
        <v>721</v>
      </c>
      <c r="N203" s="9">
        <v>82</v>
      </c>
      <c r="O203" s="9">
        <v>86076</v>
      </c>
      <c r="P203" s="9">
        <v>85339</v>
      </c>
      <c r="Q203" s="9">
        <v>19</v>
      </c>
      <c r="X203" s="25" t="s">
        <v>234</v>
      </c>
      <c r="Y203" s="26" t="s">
        <v>6</v>
      </c>
      <c r="Z203" s="26">
        <v>208</v>
      </c>
      <c r="AD203" s="8" t="s">
        <v>32</v>
      </c>
      <c r="AE203" s="8">
        <v>9.5290736237010829E-2</v>
      </c>
      <c r="AF203" s="9" t="str" cm="1">
        <f t="array" ref="AF203">_xlfn.IFS(AE203&gt;=0.4, "Top Performer",AE203&gt;=0.2,"Medium Performer",AE203&lt;0.2, "Least Performer")</f>
        <v>Least Performer</v>
      </c>
    </row>
    <row r="204" spans="4:32" x14ac:dyDescent="0.25">
      <c r="D204" s="9" t="str">
        <v>P198</v>
      </c>
      <c r="E204" s="9">
        <v>0.19847328244274809</v>
      </c>
      <c r="G204" s="9" t="str">
        <v>P198</v>
      </c>
      <c r="H204" s="9" t="str">
        <v>Twitter</v>
      </c>
      <c r="I204" s="9">
        <v>45549</v>
      </c>
      <c r="J204" s="9" t="str">
        <v>Image</v>
      </c>
      <c r="K204" s="9" t="str">
        <v>Check out our latest image on twitter!</v>
      </c>
      <c r="L204" s="9">
        <v>1048</v>
      </c>
      <c r="M204" s="9">
        <v>374</v>
      </c>
      <c r="N204" s="9">
        <v>450</v>
      </c>
      <c r="O204" s="9">
        <v>9432</v>
      </c>
      <c r="P204" s="9">
        <v>8882</v>
      </c>
      <c r="Q204" s="9">
        <v>158</v>
      </c>
      <c r="X204" s="20" t="s">
        <v>235</v>
      </c>
      <c r="Y204" s="21" t="s">
        <v>32</v>
      </c>
      <c r="Z204" s="21">
        <v>251</v>
      </c>
      <c r="AD204" s="8" t="s">
        <v>32</v>
      </c>
      <c r="AE204" s="8">
        <v>8.4862714173059003E-2</v>
      </c>
      <c r="AF204" s="9" t="str" cm="1">
        <f t="array" ref="AF204">_xlfn.IFS(AE204&gt;=0.4, "Top Performer",AE204&gt;=0.2,"Medium Performer",AE204&lt;0.2, "Least Performer")</f>
        <v>Least Performer</v>
      </c>
    </row>
    <row r="205" spans="4:32" x14ac:dyDescent="0.25">
      <c r="D205" s="9" t="str">
        <v>P199</v>
      </c>
      <c r="E205" s="9">
        <v>8.5520696919660646E-2</v>
      </c>
      <c r="G205" s="9" t="str">
        <v>P199</v>
      </c>
      <c r="H205" s="9" t="str">
        <v>YouTube</v>
      </c>
      <c r="I205" s="9">
        <v>45626</v>
      </c>
      <c r="J205" s="9" t="str">
        <v>Carousel</v>
      </c>
      <c r="K205" s="9" t="str">
        <v>Check out our latest carousel on youtube!</v>
      </c>
      <c r="L205" s="9">
        <v>2509</v>
      </c>
      <c r="M205" s="9">
        <v>324</v>
      </c>
      <c r="N205" s="9">
        <v>171</v>
      </c>
      <c r="O205" s="9">
        <v>35126</v>
      </c>
      <c r="P205" s="9">
        <v>34685</v>
      </c>
      <c r="Q205" s="9">
        <v>277</v>
      </c>
      <c r="X205" s="25" t="s">
        <v>236</v>
      </c>
      <c r="Y205" s="26" t="s">
        <v>32</v>
      </c>
      <c r="Z205" s="26">
        <v>71</v>
      </c>
      <c r="AD205" s="8" t="s">
        <v>32</v>
      </c>
      <c r="AE205" s="8">
        <v>8.3726921425504502E-2</v>
      </c>
      <c r="AF205" s="9" t="str" cm="1">
        <f t="array" ref="AF205">_xlfn.IFS(AE205&gt;=0.4, "Top Performer",AE205&gt;=0.2,"Medium Performer",AE205&lt;0.2, "Least Performer")</f>
        <v>Least Performer</v>
      </c>
    </row>
    <row r="206" spans="4:32" x14ac:dyDescent="0.25">
      <c r="D206" s="9" t="str">
        <v>P200</v>
      </c>
      <c r="E206" s="9">
        <v>6.246991874522239E-2</v>
      </c>
      <c r="G206" s="9" t="str">
        <v>P200</v>
      </c>
      <c r="H206" s="9" t="str">
        <v>Facebook</v>
      </c>
      <c r="I206" s="9">
        <v>45754</v>
      </c>
      <c r="J206" s="9" t="str">
        <v>Reel</v>
      </c>
      <c r="K206" s="9" t="str">
        <v>Check out our latest reel on facebook!</v>
      </c>
      <c r="L206" s="9">
        <v>3718</v>
      </c>
      <c r="M206" s="9">
        <v>385</v>
      </c>
      <c r="N206" s="9">
        <v>310</v>
      </c>
      <c r="O206" s="9">
        <v>70642</v>
      </c>
      <c r="P206" s="9">
        <v>69749</v>
      </c>
      <c r="Q206" s="9">
        <v>233</v>
      </c>
      <c r="X206" s="20" t="s">
        <v>237</v>
      </c>
      <c r="Y206" s="21" t="s">
        <v>32</v>
      </c>
      <c r="Z206" s="21">
        <v>264</v>
      </c>
      <c r="AD206" s="8" t="s">
        <v>6</v>
      </c>
      <c r="AE206" s="8">
        <v>8.4946236559139784E-2</v>
      </c>
      <c r="AF206" s="9" t="str" cm="1">
        <f t="array" ref="AF206">_xlfn.IFS(AE206&gt;=0.4, "Top Performer",AE206&gt;=0.2,"Medium Performer",AE206&lt;0.2, "Least Performer")</f>
        <v>Least Performer</v>
      </c>
    </row>
    <row r="207" spans="4:32" x14ac:dyDescent="0.25">
      <c r="D207" s="9" t="str">
        <v>P201</v>
      </c>
      <c r="E207" s="9">
        <v>9.0606816292601824E-2</v>
      </c>
      <c r="G207" s="9" t="str">
        <v>P201</v>
      </c>
      <c r="H207" s="9" t="str">
        <v>Twitter</v>
      </c>
      <c r="I207" s="9">
        <v>45672</v>
      </c>
      <c r="J207" s="9" t="str">
        <v>Reel</v>
      </c>
      <c r="K207" s="9" t="str">
        <v>Check out our latest reel on twitter!</v>
      </c>
      <c r="L207" s="9">
        <v>802</v>
      </c>
      <c r="M207" s="9">
        <v>262</v>
      </c>
      <c r="N207" s="9">
        <v>244</v>
      </c>
      <c r="O207" s="9">
        <v>14436</v>
      </c>
      <c r="P207" s="9">
        <v>14280</v>
      </c>
      <c r="Q207" s="9">
        <v>49</v>
      </c>
      <c r="X207" s="25" t="s">
        <v>238</v>
      </c>
      <c r="Y207" s="26" t="s">
        <v>32</v>
      </c>
      <c r="Z207" s="26">
        <v>300</v>
      </c>
      <c r="AD207" s="8" t="s">
        <v>21</v>
      </c>
      <c r="AE207" s="8">
        <v>7.2503306878306875E-2</v>
      </c>
      <c r="AF207" s="9" t="str" cm="1">
        <f t="array" ref="AF207">_xlfn.IFS(AE207&gt;=0.4, "Top Performer",AE207&gt;=0.2,"Medium Performer",AE207&lt;0.2, "Least Performer")</f>
        <v>Least Performer</v>
      </c>
    </row>
    <row r="208" spans="4:32" x14ac:dyDescent="0.25">
      <c r="D208" s="9" t="str">
        <v>P202</v>
      </c>
      <c r="E208" s="9">
        <v>8.2108498129342594E-2</v>
      </c>
      <c r="G208" s="9" t="str">
        <v>P202</v>
      </c>
      <c r="H208" s="9" t="str">
        <v>Facebook</v>
      </c>
      <c r="I208" s="9">
        <v>45445</v>
      </c>
      <c r="J208" s="9" t="str">
        <v>Image</v>
      </c>
      <c r="K208" s="9" t="str">
        <v>Check out our latest image on facebook!</v>
      </c>
      <c r="L208" s="9">
        <v>1871</v>
      </c>
      <c r="M208" s="9">
        <v>252</v>
      </c>
      <c r="N208" s="9">
        <v>335</v>
      </c>
      <c r="O208" s="9">
        <v>29936</v>
      </c>
      <c r="P208" s="9">
        <v>29576</v>
      </c>
      <c r="Q208" s="9">
        <v>288</v>
      </c>
      <c r="X208" s="20" t="s">
        <v>239</v>
      </c>
      <c r="Y208" s="21" t="s">
        <v>6</v>
      </c>
      <c r="Z208" s="21">
        <v>137</v>
      </c>
      <c r="AD208" s="8" t="s">
        <v>6</v>
      </c>
      <c r="AE208" s="8">
        <v>5.5909322465613857E-2</v>
      </c>
      <c r="AF208" s="9" t="str" cm="1">
        <f t="array" ref="AF208">_xlfn.IFS(AE208&gt;=0.4, "Top Performer",AE208&gt;=0.2,"Medium Performer",AE208&lt;0.2, "Least Performer")</f>
        <v>Least Performer</v>
      </c>
    </row>
    <row r="209" spans="4:32" x14ac:dyDescent="0.25">
      <c r="D209" s="9" t="str">
        <v>P203</v>
      </c>
      <c r="E209" s="9">
        <v>5.7332570758993957E-2</v>
      </c>
      <c r="G209" s="9" t="str">
        <v>P203</v>
      </c>
      <c r="H209" s="9" t="str">
        <v>Instagram</v>
      </c>
      <c r="I209" s="9">
        <v>45617</v>
      </c>
      <c r="J209" s="9" t="str">
        <v>Carousel</v>
      </c>
      <c r="K209" s="9" t="str">
        <v>Check out our latest carousel on instagram!</v>
      </c>
      <c r="L209" s="9">
        <v>3773</v>
      </c>
      <c r="M209" s="9">
        <v>299</v>
      </c>
      <c r="N209" s="9">
        <v>38</v>
      </c>
      <c r="O209" s="9">
        <v>71687</v>
      </c>
      <c r="P209" s="9">
        <v>71447</v>
      </c>
      <c r="Q209" s="9">
        <v>286</v>
      </c>
      <c r="X209" s="25" t="s">
        <v>240</v>
      </c>
      <c r="Y209" s="26" t="s">
        <v>21</v>
      </c>
      <c r="Z209" s="26">
        <v>192</v>
      </c>
      <c r="AD209" s="8" t="s">
        <v>6</v>
      </c>
      <c r="AE209" s="8">
        <v>9.9578134817341346E-2</v>
      </c>
      <c r="AF209" s="9" t="str" cm="1">
        <f t="array" ref="AF209">_xlfn.IFS(AE209&gt;=0.4, "Top Performer",AE209&gt;=0.2,"Medium Performer",AE209&lt;0.2, "Least Performer")</f>
        <v>Least Performer</v>
      </c>
    </row>
    <row r="210" spans="4:32" x14ac:dyDescent="0.25">
      <c r="D210" s="9" t="str">
        <v>P204</v>
      </c>
      <c r="E210" s="9">
        <v>0.29713518352730528</v>
      </c>
      <c r="G210" s="9" t="str">
        <v>P204</v>
      </c>
      <c r="H210" s="9" t="str">
        <v>Instagram</v>
      </c>
      <c r="I210" s="9">
        <v>45658</v>
      </c>
      <c r="J210" s="9" t="str">
        <v>Carousel</v>
      </c>
      <c r="K210" s="9" t="str">
        <v>Check out our latest carousel on instagram!</v>
      </c>
      <c r="L210" s="9">
        <v>2234</v>
      </c>
      <c r="M210" s="9">
        <v>653</v>
      </c>
      <c r="N210" s="9">
        <v>432</v>
      </c>
      <c r="O210" s="9">
        <v>11170</v>
      </c>
      <c r="P210" s="9">
        <v>10569</v>
      </c>
      <c r="Q210" s="9">
        <v>198</v>
      </c>
      <c r="X210" s="20" t="s">
        <v>241</v>
      </c>
      <c r="Y210" s="21" t="s">
        <v>6</v>
      </c>
      <c r="Z210" s="21">
        <v>145</v>
      </c>
      <c r="AD210" s="8" t="s">
        <v>32</v>
      </c>
      <c r="AE210" s="8">
        <v>0.1441326530612245</v>
      </c>
      <c r="AF210" s="9" t="str" cm="1">
        <f t="array" ref="AF210">_xlfn.IFS(AE210&gt;=0.4, "Top Performer",AE210&gt;=0.2,"Medium Performer",AE210&lt;0.2, "Least Performer")</f>
        <v>Least Performer</v>
      </c>
    </row>
    <row r="211" spans="4:32" x14ac:dyDescent="0.25">
      <c r="D211" s="9" t="str">
        <v>P205</v>
      </c>
      <c r="E211" s="9">
        <v>0.1043848167539267</v>
      </c>
      <c r="G211" s="9" t="str">
        <v>P205</v>
      </c>
      <c r="H211" s="9" t="str">
        <v>Twitter</v>
      </c>
      <c r="I211" s="9">
        <v>45771</v>
      </c>
      <c r="J211" s="9" t="str">
        <v>Video</v>
      </c>
      <c r="K211" s="9" t="str">
        <v>Check out our latest video on twitter!</v>
      </c>
      <c r="L211" s="9">
        <v>3820</v>
      </c>
      <c r="M211" s="9">
        <v>697</v>
      </c>
      <c r="N211" s="9">
        <v>268</v>
      </c>
      <c r="O211" s="9">
        <v>45840</v>
      </c>
      <c r="P211" s="9">
        <v>45631</v>
      </c>
      <c r="Q211" s="9">
        <v>171</v>
      </c>
      <c r="X211" s="25" t="s">
        <v>242</v>
      </c>
      <c r="Y211" s="26" t="s">
        <v>6</v>
      </c>
      <c r="Z211" s="26">
        <v>51</v>
      </c>
      <c r="AD211" s="8" t="s">
        <v>32</v>
      </c>
      <c r="AE211" s="8">
        <v>9.9255211647142488E-2</v>
      </c>
      <c r="AF211" s="9" t="str" cm="1">
        <f t="array" ref="AF211">_xlfn.IFS(AE211&gt;=0.4, "Top Performer",AE211&gt;=0.2,"Medium Performer",AE211&lt;0.2, "Least Performer")</f>
        <v>Least Performer</v>
      </c>
    </row>
    <row r="212" spans="4:32" x14ac:dyDescent="0.25">
      <c r="D212" s="9" t="str">
        <v>P206</v>
      </c>
      <c r="E212" s="9">
        <v>0.10768685795253277</v>
      </c>
      <c r="G212" s="9" t="str">
        <v>P206</v>
      </c>
      <c r="H212" s="9" t="str">
        <v>Twitter</v>
      </c>
      <c r="I212" s="9">
        <v>45467</v>
      </c>
      <c r="J212" s="9" t="str">
        <v>Text</v>
      </c>
      <c r="K212" s="9" t="str">
        <v>Check out our latest text on twitter!</v>
      </c>
      <c r="L212" s="9">
        <v>941</v>
      </c>
      <c r="M212" s="9">
        <v>121</v>
      </c>
      <c r="N212" s="9">
        <v>458</v>
      </c>
      <c r="O212" s="9">
        <v>14115</v>
      </c>
      <c r="P212" s="9">
        <v>13838</v>
      </c>
      <c r="Q212" s="9">
        <v>87</v>
      </c>
      <c r="X212" s="20" t="s">
        <v>243</v>
      </c>
      <c r="Y212" s="21" t="s">
        <v>32</v>
      </c>
      <c r="Z212" s="21">
        <v>272</v>
      </c>
      <c r="AD212" s="8" t="s">
        <v>32</v>
      </c>
      <c r="AE212" s="8">
        <v>8.4203612479474554E-2</v>
      </c>
      <c r="AF212" s="9" t="str" cm="1">
        <f t="array" ref="AF212">_xlfn.IFS(AE212&gt;=0.4, "Top Performer",AE212&gt;=0.2,"Medium Performer",AE212&lt;0.2, "Least Performer")</f>
        <v>Least Performer</v>
      </c>
    </row>
    <row r="213" spans="4:32" x14ac:dyDescent="0.25">
      <c r="D213" s="9" t="str">
        <v>P207</v>
      </c>
      <c r="E213" s="9">
        <v>0.14316214319138981</v>
      </c>
      <c r="G213" s="9" t="str">
        <v>P207</v>
      </c>
      <c r="H213" s="9" t="str">
        <v>Twitter</v>
      </c>
      <c r="I213" s="9">
        <v>45655</v>
      </c>
      <c r="J213" s="9" t="str">
        <v>Carousel</v>
      </c>
      <c r="K213" s="9" t="str">
        <v>Check out our latest carousel on twitter!</v>
      </c>
      <c r="L213" s="9">
        <v>4274</v>
      </c>
      <c r="M213" s="9">
        <v>340</v>
      </c>
      <c r="N213" s="9">
        <v>281</v>
      </c>
      <c r="O213" s="9">
        <v>34192</v>
      </c>
      <c r="P213" s="9">
        <v>33446</v>
      </c>
      <c r="Q213" s="9">
        <v>129</v>
      </c>
      <c r="X213" s="25" t="s">
        <v>244</v>
      </c>
      <c r="Y213" s="26" t="s">
        <v>32</v>
      </c>
      <c r="Z213" s="26">
        <v>223</v>
      </c>
      <c r="AD213" s="8" t="s">
        <v>6</v>
      </c>
      <c r="AE213" s="8">
        <v>0.13667732704931829</v>
      </c>
      <c r="AF213" s="9" t="str" cm="1">
        <f t="array" ref="AF213">_xlfn.IFS(AE213&gt;=0.4, "Top Performer",AE213&gt;=0.2,"Medium Performer",AE213&lt;0.2, "Least Performer")</f>
        <v>Least Performer</v>
      </c>
    </row>
    <row r="214" spans="4:32" x14ac:dyDescent="0.25">
      <c r="D214" s="9" t="str">
        <v>P208</v>
      </c>
      <c r="E214" s="9">
        <v>8.6537809426924378E-2</v>
      </c>
      <c r="G214" s="9" t="str">
        <v>P208</v>
      </c>
      <c r="H214" s="9" t="str">
        <v>YouTube</v>
      </c>
      <c r="I214" s="9">
        <v>45467</v>
      </c>
      <c r="J214" s="9" t="str">
        <v>Video</v>
      </c>
      <c r="K214" s="9" t="str">
        <v>Check out our latest video on youtube!</v>
      </c>
      <c r="L214" s="9">
        <v>2949</v>
      </c>
      <c r="M214" s="9">
        <v>476</v>
      </c>
      <c r="N214" s="9">
        <v>403</v>
      </c>
      <c r="O214" s="9">
        <v>44235</v>
      </c>
      <c r="P214" s="9">
        <v>43705</v>
      </c>
      <c r="Q214" s="9">
        <v>135</v>
      </c>
      <c r="X214" s="20" t="s">
        <v>245</v>
      </c>
      <c r="Y214" s="21" t="s">
        <v>32</v>
      </c>
      <c r="Z214" s="21">
        <v>195</v>
      </c>
      <c r="AD214" s="8" t="s">
        <v>21</v>
      </c>
      <c r="AE214" s="8">
        <v>0.13667732704931829</v>
      </c>
      <c r="AF214" s="9" t="str" cm="1">
        <f t="array" ref="AF214">_xlfn.IFS(AE214&gt;=0.4, "Top Performer",AE214&gt;=0.2,"Medium Performer",AE214&lt;0.2, "Least Performer")</f>
        <v>Least Performer</v>
      </c>
    </row>
    <row r="215" spans="4:32" x14ac:dyDescent="0.25">
      <c r="D215" s="9" t="str">
        <v>P209</v>
      </c>
      <c r="E215" s="9">
        <v>8.2753164556962022E-2</v>
      </c>
      <c r="G215" s="9" t="str">
        <v>P209</v>
      </c>
      <c r="H215" s="9" t="str">
        <v>Twitter</v>
      </c>
      <c r="I215" s="9">
        <v>45735</v>
      </c>
      <c r="J215" s="9" t="str">
        <v>Video</v>
      </c>
      <c r="K215" s="9" t="str">
        <v>Check out our latest video on twitter!</v>
      </c>
      <c r="L215" s="9">
        <v>3160</v>
      </c>
      <c r="M215" s="9">
        <v>204</v>
      </c>
      <c r="N215" s="9">
        <v>297</v>
      </c>
      <c r="O215" s="9">
        <v>44240</v>
      </c>
      <c r="P215" s="9">
        <v>43666</v>
      </c>
      <c r="Q215" s="9">
        <v>49</v>
      </c>
      <c r="X215" s="25" t="s">
        <v>51</v>
      </c>
      <c r="Y215" s="26" t="s">
        <v>6</v>
      </c>
      <c r="Z215" s="26">
        <v>282</v>
      </c>
      <c r="AD215" s="8" t="s">
        <v>5</v>
      </c>
      <c r="AE215" s="8">
        <v>0.13667732704931829</v>
      </c>
      <c r="AF215" s="9" t="str" cm="1">
        <f t="array" ref="AF215">_xlfn.IFS(AE215&gt;=0.4, "Top Performer",AE215&gt;=0.2,"Medium Performer",AE215&lt;0.2, "Least Performer")</f>
        <v>Least Performer</v>
      </c>
    </row>
    <row r="216" spans="4:32" x14ac:dyDescent="0.25">
      <c r="D216" s="9" t="str">
        <v>P210</v>
      </c>
      <c r="E216" s="9">
        <v>0.48518407662376534</v>
      </c>
      <c r="G216" s="9" t="str">
        <v>P210</v>
      </c>
      <c r="H216" s="9" t="str">
        <v>YouTube</v>
      </c>
      <c r="I216" s="9">
        <v>45707</v>
      </c>
      <c r="J216" s="9" t="str">
        <v>Image</v>
      </c>
      <c r="K216" s="9" t="str">
        <v>Check out our latest image on youtube!</v>
      </c>
      <c r="L216" s="9">
        <v>257</v>
      </c>
      <c r="M216" s="9">
        <v>966</v>
      </c>
      <c r="N216" s="9">
        <v>398</v>
      </c>
      <c r="O216" s="9">
        <v>3341</v>
      </c>
      <c r="P216" s="9">
        <v>2753</v>
      </c>
      <c r="Q216" s="9">
        <v>287</v>
      </c>
      <c r="X216" s="20" t="s">
        <v>51</v>
      </c>
      <c r="Y216" s="21" t="s">
        <v>21</v>
      </c>
      <c r="Z216" s="21">
        <v>282</v>
      </c>
      <c r="AD216" s="8" t="s">
        <v>32</v>
      </c>
      <c r="AE216" s="8">
        <v>0.12575841147269717</v>
      </c>
      <c r="AF216" s="9" t="str" cm="1">
        <f t="array" ref="AF216">_xlfn.IFS(AE216&gt;=0.4, "Top Performer",AE216&gt;=0.2,"Medium Performer",AE216&lt;0.2, "Least Performer")</f>
        <v>Least Performer</v>
      </c>
    </row>
    <row r="217" spans="4:32" x14ac:dyDescent="0.25">
      <c r="D217" s="9" t="str">
        <v>P211</v>
      </c>
      <c r="E217" s="9">
        <v>0.18632075471698112</v>
      </c>
      <c r="G217" s="9" t="str">
        <v>P211</v>
      </c>
      <c r="H217" s="9" t="str">
        <v>Twitter</v>
      </c>
      <c r="I217" s="9">
        <v>45491</v>
      </c>
      <c r="J217" s="9" t="str">
        <v>Carousel</v>
      </c>
      <c r="K217" s="9" t="str">
        <v>Check out our latest carousel on twitter!</v>
      </c>
      <c r="L217" s="9">
        <v>2120</v>
      </c>
      <c r="M217" s="9">
        <v>38</v>
      </c>
      <c r="N217" s="9">
        <v>212</v>
      </c>
      <c r="O217" s="9">
        <v>12720</v>
      </c>
      <c r="P217" s="9">
        <v>12564</v>
      </c>
      <c r="Q217" s="9">
        <v>21</v>
      </c>
      <c r="X217" s="25" t="s">
        <v>51</v>
      </c>
      <c r="Y217" s="26" t="s">
        <v>5</v>
      </c>
      <c r="Z217" s="26">
        <v>282</v>
      </c>
      <c r="AD217" s="8" t="s">
        <v>32</v>
      </c>
      <c r="AE217" s="8">
        <v>6.4884520656164318E-2</v>
      </c>
      <c r="AF217" s="9" t="str" cm="1">
        <f t="array" ref="AF217">_xlfn.IFS(AE217&gt;=0.4, "Top Performer",AE217&gt;=0.2,"Medium Performer",AE217&lt;0.2, "Least Performer")</f>
        <v>Least Performer</v>
      </c>
    </row>
    <row r="218" spans="4:32" x14ac:dyDescent="0.25">
      <c r="D218" s="9" t="str">
        <v>P212</v>
      </c>
      <c r="E218" s="9">
        <v>0.123309241094476</v>
      </c>
      <c r="G218" s="9" t="str">
        <v>P212</v>
      </c>
      <c r="H218" s="9" t="str">
        <v>YouTube</v>
      </c>
      <c r="I218" s="9">
        <v>45719</v>
      </c>
      <c r="J218" s="9" t="str">
        <v>Video</v>
      </c>
      <c r="K218" s="9" t="str">
        <v>Check out our latest video on youtube!</v>
      </c>
      <c r="L218" s="9">
        <v>3874</v>
      </c>
      <c r="M218" s="9">
        <v>884</v>
      </c>
      <c r="N218" s="9">
        <v>19</v>
      </c>
      <c r="O218" s="9">
        <v>38740</v>
      </c>
      <c r="P218" s="9">
        <v>38552</v>
      </c>
      <c r="Q218" s="9">
        <v>219</v>
      </c>
      <c r="X218" s="20" t="s">
        <v>246</v>
      </c>
      <c r="Y218" s="21" t="s">
        <v>32</v>
      </c>
      <c r="Z218" s="21">
        <v>85</v>
      </c>
      <c r="AD218" s="8" t="s">
        <v>21</v>
      </c>
      <c r="AE218" s="8">
        <v>0.19847328244274809</v>
      </c>
      <c r="AF218" s="9" t="str" cm="1">
        <f t="array" ref="AF218">_xlfn.IFS(AE218&gt;=0.4, "Top Performer",AE218&gt;=0.2,"Medium Performer",AE218&lt;0.2, "Least Performer")</f>
        <v>Least Performer</v>
      </c>
    </row>
    <row r="219" spans="4:32" x14ac:dyDescent="0.25">
      <c r="D219" s="9" t="str">
        <v>P213</v>
      </c>
      <c r="E219" s="9">
        <v>8.21914819340199E-2</v>
      </c>
      <c r="G219" s="9" t="str">
        <v>P213</v>
      </c>
      <c r="H219" s="9" t="str">
        <v>Facebook</v>
      </c>
      <c r="I219" s="9">
        <v>45778</v>
      </c>
      <c r="J219" s="9" t="str">
        <v>Carousel</v>
      </c>
      <c r="K219" s="9" t="str">
        <v>Check out our latest carousel on facebook!</v>
      </c>
      <c r="L219" s="9">
        <v>2696</v>
      </c>
      <c r="M219" s="9">
        <v>628</v>
      </c>
      <c r="N219" s="9">
        <v>443</v>
      </c>
      <c r="O219" s="9">
        <v>45832</v>
      </c>
      <c r="P219" s="9">
        <v>45632</v>
      </c>
      <c r="Q219" s="9">
        <v>248</v>
      </c>
      <c r="X219" s="25" t="s">
        <v>247</v>
      </c>
      <c r="Y219" s="26" t="s">
        <v>32</v>
      </c>
      <c r="Z219" s="26">
        <v>19</v>
      </c>
      <c r="AD219" s="8" t="s">
        <v>21</v>
      </c>
      <c r="AE219" s="8">
        <v>8.5520696919660646E-2</v>
      </c>
      <c r="AF219" s="9" t="str" cm="1">
        <f t="array" ref="AF219">_xlfn.IFS(AE219&gt;=0.4, "Top Performer",AE219&gt;=0.2,"Medium Performer",AE219&lt;0.2, "Least Performer")</f>
        <v>Least Performer</v>
      </c>
    </row>
    <row r="220" spans="4:32" x14ac:dyDescent="0.25">
      <c r="D220" s="9" t="str">
        <v>P214</v>
      </c>
      <c r="E220" s="9">
        <v>0.37955854126679461</v>
      </c>
      <c r="G220" s="9" t="str">
        <v>P214</v>
      </c>
      <c r="H220" s="9" t="str">
        <v>Instagram</v>
      </c>
      <c r="I220" s="9">
        <v>45649</v>
      </c>
      <c r="J220" s="9" t="str">
        <v>Image</v>
      </c>
      <c r="K220" s="9" t="str">
        <v>Check out our latest image on instagram!</v>
      </c>
      <c r="L220" s="9">
        <v>521</v>
      </c>
      <c r="M220" s="9">
        <v>746</v>
      </c>
      <c r="N220" s="9">
        <v>315</v>
      </c>
      <c r="O220" s="9">
        <v>4168</v>
      </c>
      <c r="P220" s="9">
        <v>3399</v>
      </c>
      <c r="Q220" s="9">
        <v>282</v>
      </c>
      <c r="X220" s="20" t="s">
        <v>248</v>
      </c>
      <c r="Y220" s="21" t="s">
        <v>21</v>
      </c>
      <c r="Z220" s="21">
        <v>158</v>
      </c>
      <c r="AD220" s="8" t="s">
        <v>21</v>
      </c>
      <c r="AE220" s="8">
        <v>6.246991874522239E-2</v>
      </c>
      <c r="AF220" s="9" t="str" cm="1">
        <f t="array" ref="AF220">_xlfn.IFS(AE220&gt;=0.4, "Top Performer",AE220&gt;=0.2,"Medium Performer",AE220&lt;0.2, "Least Performer")</f>
        <v>Least Performer</v>
      </c>
    </row>
    <row r="221" spans="4:32" x14ac:dyDescent="0.25">
      <c r="D221" s="9" t="str">
        <v>P215</v>
      </c>
      <c r="E221" s="9">
        <v>7.2116777745580993E-2</v>
      </c>
      <c r="G221" s="9" t="str">
        <v>P215</v>
      </c>
      <c r="H221" s="9" t="str">
        <v>Facebook</v>
      </c>
      <c r="I221" s="9">
        <v>45783</v>
      </c>
      <c r="J221" s="9" t="str">
        <v>Image</v>
      </c>
      <c r="K221" s="9" t="str">
        <v>Check out our latest image on facebook!</v>
      </c>
      <c r="L221" s="9">
        <v>4872</v>
      </c>
      <c r="M221" s="9">
        <v>925</v>
      </c>
      <c r="N221" s="9">
        <v>176</v>
      </c>
      <c r="O221" s="9">
        <v>82824</v>
      </c>
      <c r="P221" s="9">
        <v>82543</v>
      </c>
      <c r="Q221" s="9">
        <v>89</v>
      </c>
      <c r="X221" s="25" t="s">
        <v>249</v>
      </c>
      <c r="Y221" s="26" t="s">
        <v>21</v>
      </c>
      <c r="Z221" s="26">
        <v>277</v>
      </c>
      <c r="AD221" s="8" t="s">
        <v>32</v>
      </c>
      <c r="AE221" s="8">
        <v>9.0606816292601824E-2</v>
      </c>
      <c r="AF221" s="9" t="str" cm="1">
        <f t="array" ref="AF221">_xlfn.IFS(AE221&gt;=0.4, "Top Performer",AE221&gt;=0.2,"Medium Performer",AE221&lt;0.2, "Least Performer")</f>
        <v>Least Performer</v>
      </c>
    </row>
    <row r="222" spans="4:32" x14ac:dyDescent="0.25">
      <c r="D222" s="9" t="str">
        <v>P216</v>
      </c>
      <c r="E222" s="9">
        <v>5.8316766070245198E-2</v>
      </c>
      <c r="G222" s="9" t="str">
        <v>P216</v>
      </c>
      <c r="H222" s="9" t="str">
        <v>YouTube</v>
      </c>
      <c r="I222" s="9">
        <v>45502</v>
      </c>
      <c r="J222" s="9" t="str">
        <v>Story</v>
      </c>
      <c r="K222" s="9" t="str">
        <v>Check out our latest story on youtube!</v>
      </c>
      <c r="L222" s="9">
        <v>1509</v>
      </c>
      <c r="M222" s="9">
        <v>88</v>
      </c>
      <c r="N222" s="9">
        <v>163</v>
      </c>
      <c r="O222" s="9">
        <v>30180</v>
      </c>
      <c r="P222" s="9">
        <v>29689</v>
      </c>
      <c r="Q222" s="9">
        <v>119</v>
      </c>
      <c r="X222" s="20" t="s">
        <v>250</v>
      </c>
      <c r="Y222" s="21" t="s">
        <v>21</v>
      </c>
      <c r="Z222" s="21">
        <v>233</v>
      </c>
      <c r="AD222" s="8" t="s">
        <v>32</v>
      </c>
      <c r="AE222" s="8">
        <v>8.2108498129342594E-2</v>
      </c>
      <c r="AF222" s="9" t="str" cm="1">
        <f t="array" ref="AF222">_xlfn.IFS(AE222&gt;=0.4, "Top Performer",AE222&gt;=0.2,"Medium Performer",AE222&lt;0.2, "Least Performer")</f>
        <v>Least Performer</v>
      </c>
    </row>
    <row r="223" spans="4:32" x14ac:dyDescent="0.25">
      <c r="D223" s="9" t="str">
        <v>P217</v>
      </c>
      <c r="E223" s="9">
        <v>6.2603126356925748E-2</v>
      </c>
      <c r="G223" s="9" t="str">
        <v>P217</v>
      </c>
      <c r="H223" s="9" t="str">
        <v>Facebook</v>
      </c>
      <c r="I223" s="9">
        <v>45629</v>
      </c>
      <c r="J223" s="9" t="str">
        <v>Image</v>
      </c>
      <c r="K223" s="9" t="str">
        <v>Check out our latest image on facebook!</v>
      </c>
      <c r="L223" s="9">
        <v>4606</v>
      </c>
      <c r="M223" s="9">
        <v>931</v>
      </c>
      <c r="N223" s="9">
        <v>230</v>
      </c>
      <c r="O223" s="9">
        <v>92120</v>
      </c>
      <c r="P223" s="9">
        <v>91440</v>
      </c>
      <c r="Q223" s="9">
        <v>56</v>
      </c>
      <c r="X223" s="25" t="s">
        <v>251</v>
      </c>
      <c r="Y223" s="26" t="s">
        <v>32</v>
      </c>
      <c r="Z223" s="26">
        <v>49</v>
      </c>
      <c r="AD223" s="8" t="s">
        <v>6</v>
      </c>
      <c r="AE223" s="8">
        <v>5.7332570758993957E-2</v>
      </c>
      <c r="AF223" s="9" t="str" cm="1">
        <f t="array" ref="AF223">_xlfn.IFS(AE223&gt;=0.4, "Top Performer",AE223&gt;=0.2,"Medium Performer",AE223&lt;0.2, "Least Performer")</f>
        <v>Least Performer</v>
      </c>
    </row>
    <row r="224" spans="4:32" x14ac:dyDescent="0.25">
      <c r="D224" s="9" t="str">
        <v>P218</v>
      </c>
      <c r="E224" s="9">
        <v>0.18806848582129482</v>
      </c>
      <c r="G224" s="9" t="str">
        <v>P218</v>
      </c>
      <c r="H224" s="9" t="str">
        <v>Facebook</v>
      </c>
      <c r="I224" s="9">
        <v>45454</v>
      </c>
      <c r="J224" s="9" t="str">
        <v>Carousel</v>
      </c>
      <c r="K224" s="9" t="str">
        <v>Check out our latest carousel on facebook!</v>
      </c>
      <c r="L224" s="9">
        <v>1869</v>
      </c>
      <c r="M224" s="9">
        <v>453</v>
      </c>
      <c r="N224" s="9">
        <v>490</v>
      </c>
      <c r="O224" s="9">
        <v>14952</v>
      </c>
      <c r="P224" s="9">
        <v>14309</v>
      </c>
      <c r="Q224" s="9">
        <v>275</v>
      </c>
      <c r="X224" s="20" t="s">
        <v>252</v>
      </c>
      <c r="Y224" s="21" t="s">
        <v>32</v>
      </c>
      <c r="Z224" s="21">
        <v>288</v>
      </c>
      <c r="AD224" s="8" t="s">
        <v>6</v>
      </c>
      <c r="AE224" s="8">
        <v>0.29713518352730528</v>
      </c>
      <c r="AF224" s="9" t="str" cm="1">
        <f t="array" ref="AF224">_xlfn.IFS(AE224&gt;=0.4, "Top Performer",AE224&gt;=0.2,"Medium Performer",AE224&lt;0.2, "Least Performer")</f>
        <v>Medium Performer</v>
      </c>
    </row>
    <row r="225" spans="4:32" x14ac:dyDescent="0.25">
      <c r="D225" s="9" t="str">
        <v>P219</v>
      </c>
      <c r="E225" s="9">
        <v>0.25701459034792368</v>
      </c>
      <c r="G225" s="9" t="str">
        <v>P219</v>
      </c>
      <c r="H225" s="9" t="str">
        <v>Twitter</v>
      </c>
      <c r="I225" s="9">
        <v>45685</v>
      </c>
      <c r="J225" s="9" t="str">
        <v>Reel</v>
      </c>
      <c r="K225" s="9" t="str">
        <v>Check out our latest reel on twitter!</v>
      </c>
      <c r="L225" s="9">
        <v>1188</v>
      </c>
      <c r="M225" s="9">
        <v>470</v>
      </c>
      <c r="N225" s="9">
        <v>174</v>
      </c>
      <c r="O225" s="9">
        <v>7128</v>
      </c>
      <c r="P225" s="9">
        <v>6145</v>
      </c>
      <c r="Q225" s="9">
        <v>270</v>
      </c>
      <c r="X225" s="25" t="s">
        <v>253</v>
      </c>
      <c r="Y225" s="26" t="s">
        <v>6</v>
      </c>
      <c r="Z225" s="26">
        <v>286</v>
      </c>
      <c r="AD225" s="8" t="s">
        <v>21</v>
      </c>
      <c r="AE225" s="8">
        <v>0.1043848167539267</v>
      </c>
      <c r="AF225" s="9" t="str" cm="1">
        <f t="array" ref="AF225">_xlfn.IFS(AE225&gt;=0.4, "Top Performer",AE225&gt;=0.2,"Medium Performer",AE225&lt;0.2, "Least Performer")</f>
        <v>Least Performer</v>
      </c>
    </row>
    <row r="226" spans="4:32" x14ac:dyDescent="0.25">
      <c r="D226" s="9" t="str">
        <v>P220</v>
      </c>
      <c r="E226" s="9">
        <v>1.8129251700680271</v>
      </c>
      <c r="G226" s="9" t="str">
        <v>P220</v>
      </c>
      <c r="H226" s="9" t="str">
        <v>Instagram</v>
      </c>
      <c r="I226" s="9">
        <v>45445</v>
      </c>
      <c r="J226" s="9" t="str">
        <v>Story</v>
      </c>
      <c r="K226" s="9" t="str">
        <v>Check out our latest story on instagram!</v>
      </c>
      <c r="L226" s="9">
        <v>84</v>
      </c>
      <c r="M226" s="9">
        <v>897</v>
      </c>
      <c r="N226" s="9">
        <v>85</v>
      </c>
      <c r="O226" s="9">
        <v>588</v>
      </c>
      <c r="P226" s="9">
        <v>8</v>
      </c>
      <c r="Q226" s="9">
        <v>12</v>
      </c>
      <c r="X226" s="20" t="s">
        <v>254</v>
      </c>
      <c r="Y226" s="21" t="s">
        <v>6</v>
      </c>
      <c r="Z226" s="21">
        <v>198</v>
      </c>
      <c r="AD226" s="8" t="s">
        <v>39</v>
      </c>
      <c r="AE226" s="8">
        <v>0.1043848167539267</v>
      </c>
      <c r="AF226" s="9" t="str" cm="1">
        <f t="array" ref="AF226">_xlfn.IFS(AE226&gt;=0.4, "Top Performer",AE226&gt;=0.2,"Medium Performer",AE226&lt;0.2, "Least Performer")</f>
        <v>Least Performer</v>
      </c>
    </row>
    <row r="227" spans="4:32" x14ac:dyDescent="0.25">
      <c r="D227" s="9" t="str">
        <v>P221</v>
      </c>
      <c r="E227" s="9">
        <v>0.15989220750056141</v>
      </c>
      <c r="G227" s="9" t="str">
        <v>P221</v>
      </c>
      <c r="H227" s="9" t="str">
        <v>Facebook</v>
      </c>
      <c r="I227" s="9">
        <v>45739</v>
      </c>
      <c r="J227" s="9" t="str">
        <v>Video</v>
      </c>
      <c r="K227" s="9" t="str">
        <v>Check out our latest video on facebook!</v>
      </c>
      <c r="L227" s="9">
        <v>4453</v>
      </c>
      <c r="M227" s="9">
        <v>111</v>
      </c>
      <c r="N227" s="9">
        <v>420</v>
      </c>
      <c r="O227" s="9">
        <v>31171</v>
      </c>
      <c r="P227" s="9">
        <v>30565</v>
      </c>
      <c r="Q227" s="9">
        <v>23</v>
      </c>
      <c r="X227" s="25" t="s">
        <v>255</v>
      </c>
      <c r="Y227" s="26" t="s">
        <v>21</v>
      </c>
      <c r="Z227" s="26">
        <v>171</v>
      </c>
      <c r="AD227" s="8" t="s">
        <v>32</v>
      </c>
      <c r="AE227" s="8">
        <v>0.10768685795253277</v>
      </c>
      <c r="AF227" s="9" t="str" cm="1">
        <f t="array" ref="AF227">_xlfn.IFS(AE227&gt;=0.4, "Top Performer",AE227&gt;=0.2,"Medium Performer",AE227&lt;0.2, "Least Performer")</f>
        <v>Least Performer</v>
      </c>
    </row>
    <row r="228" spans="4:32" x14ac:dyDescent="0.25">
      <c r="D228" s="9" t="str">
        <v>P222</v>
      </c>
      <c r="E228" s="9">
        <v>0.11143487163332809</v>
      </c>
      <c r="G228" s="9" t="str">
        <v>P222</v>
      </c>
      <c r="H228" s="9" t="str">
        <v>Facebook</v>
      </c>
      <c r="I228" s="9">
        <v>45573</v>
      </c>
      <c r="J228" s="9" t="str">
        <v>Reel</v>
      </c>
      <c r="K228" s="9" t="str">
        <v>Check out our latest reel on facebook!</v>
      </c>
      <c r="L228" s="9">
        <v>1814</v>
      </c>
      <c r="M228" s="9">
        <v>653</v>
      </c>
      <c r="N228" s="9">
        <v>363</v>
      </c>
      <c r="O228" s="9">
        <v>25396</v>
      </c>
      <c r="P228" s="9">
        <v>25286</v>
      </c>
      <c r="Q228" s="9">
        <v>39</v>
      </c>
      <c r="X228" s="20" t="s">
        <v>255</v>
      </c>
      <c r="Y228" s="21" t="s">
        <v>39</v>
      </c>
      <c r="Z228" s="21">
        <v>171</v>
      </c>
      <c r="AD228" s="8" t="s">
        <v>21</v>
      </c>
      <c r="AE228" s="8">
        <v>0.14316214319138981</v>
      </c>
      <c r="AF228" s="9" t="str" cm="1">
        <f t="array" ref="AF228">_xlfn.IFS(AE228&gt;=0.4, "Top Performer",AE228&gt;=0.2,"Medium Performer",AE228&lt;0.2, "Least Performer")</f>
        <v>Least Performer</v>
      </c>
    </row>
    <row r="229" spans="4:32" x14ac:dyDescent="0.25">
      <c r="D229" s="9" t="str">
        <v>P223</v>
      </c>
      <c r="E229" s="9">
        <v>6.2129685107516146E-2</v>
      </c>
      <c r="G229" s="9" t="str">
        <v>P223</v>
      </c>
      <c r="H229" s="9" t="str">
        <v>Twitter</v>
      </c>
      <c r="I229" s="9">
        <v>45608</v>
      </c>
      <c r="J229" s="9" t="str">
        <v>Image</v>
      </c>
      <c r="K229" s="9" t="str">
        <v>Check out our latest image on twitter!</v>
      </c>
      <c r="L229" s="9">
        <v>3338</v>
      </c>
      <c r="M229" s="9">
        <v>277</v>
      </c>
      <c r="N229" s="9">
        <v>118</v>
      </c>
      <c r="O229" s="9">
        <v>60084</v>
      </c>
      <c r="P229" s="9">
        <v>59842</v>
      </c>
      <c r="Q229" s="9">
        <v>252</v>
      </c>
      <c r="X229" s="25" t="s">
        <v>256</v>
      </c>
      <c r="Y229" s="26" t="s">
        <v>32</v>
      </c>
      <c r="Z229" s="26">
        <v>87</v>
      </c>
      <c r="AD229" s="8" t="s">
        <v>39</v>
      </c>
      <c r="AE229" s="8">
        <v>0.14316214319138981</v>
      </c>
      <c r="AF229" s="9" t="str" cm="1">
        <f t="array" ref="AF229">_xlfn.IFS(AE229&gt;=0.4, "Top Performer",AE229&gt;=0.2,"Medium Performer",AE229&lt;0.2, "Least Performer")</f>
        <v>Least Performer</v>
      </c>
    </row>
    <row r="230" spans="4:32" x14ac:dyDescent="0.25">
      <c r="D230" s="9" t="str">
        <v>P224</v>
      </c>
      <c r="E230" s="9">
        <v>0.32083531086853345</v>
      </c>
      <c r="G230" s="9" t="str">
        <v>P224</v>
      </c>
      <c r="H230" s="9" t="str">
        <v>Facebook</v>
      </c>
      <c r="I230" s="9">
        <v>45790</v>
      </c>
      <c r="J230" s="9" t="str">
        <v>Image</v>
      </c>
      <c r="K230" s="9" t="str">
        <v>Check out our latest image on facebook!</v>
      </c>
      <c r="L230" s="9">
        <v>602</v>
      </c>
      <c r="M230" s="9">
        <v>594</v>
      </c>
      <c r="N230" s="9">
        <v>156</v>
      </c>
      <c r="O230" s="9">
        <v>4214</v>
      </c>
      <c r="P230" s="9">
        <v>3363</v>
      </c>
      <c r="Q230" s="9">
        <v>164</v>
      </c>
      <c r="X230" s="20" t="s">
        <v>257</v>
      </c>
      <c r="Y230" s="21" t="s">
        <v>21</v>
      </c>
      <c r="Z230" s="21">
        <v>129</v>
      </c>
      <c r="AD230" s="8" t="s">
        <v>21</v>
      </c>
      <c r="AE230" s="8">
        <v>8.6537809426924378E-2</v>
      </c>
      <c r="AF230" s="9" t="str" cm="1">
        <f t="array" ref="AF230">_xlfn.IFS(AE230&gt;=0.4, "Top Performer",AE230&gt;=0.2,"Medium Performer",AE230&lt;0.2, "Least Performer")</f>
        <v>Least Performer</v>
      </c>
    </row>
    <row r="231" spans="4:32" x14ac:dyDescent="0.25">
      <c r="D231" s="9" t="str">
        <v>P225</v>
      </c>
      <c r="E231" s="9">
        <v>5.6653298485940883E-2</v>
      </c>
      <c r="G231" s="9" t="str">
        <v>P225</v>
      </c>
      <c r="H231" s="9" t="str">
        <v>Twitter</v>
      </c>
      <c r="I231" s="9">
        <v>45463</v>
      </c>
      <c r="J231" s="9" t="str">
        <v>Carousel</v>
      </c>
      <c r="K231" s="9" t="str">
        <v>Check out our latest carousel on twitter!</v>
      </c>
      <c r="L231" s="9">
        <v>4672</v>
      </c>
      <c r="M231" s="9">
        <v>325</v>
      </c>
      <c r="N231" s="9">
        <v>32</v>
      </c>
      <c r="O231" s="9">
        <v>88768</v>
      </c>
      <c r="P231" s="9">
        <v>87833</v>
      </c>
      <c r="Q231" s="9">
        <v>118</v>
      </c>
      <c r="X231" s="25" t="s">
        <v>257</v>
      </c>
      <c r="Y231" s="26" t="s">
        <v>39</v>
      </c>
      <c r="Z231" s="26">
        <v>129</v>
      </c>
      <c r="AD231" s="8" t="s">
        <v>6</v>
      </c>
      <c r="AE231" s="8">
        <v>8.2753164556962022E-2</v>
      </c>
      <c r="AF231" s="9" t="str" cm="1">
        <f t="array" ref="AF231">_xlfn.IFS(AE231&gt;=0.4, "Top Performer",AE231&gt;=0.2,"Medium Performer",AE231&lt;0.2, "Least Performer")</f>
        <v>Least Performer</v>
      </c>
    </row>
    <row r="232" spans="4:32" x14ac:dyDescent="0.25">
      <c r="D232" s="9" t="str">
        <v>P226</v>
      </c>
      <c r="E232" s="9">
        <v>0.25537047673750718</v>
      </c>
      <c r="G232" s="9" t="str">
        <v>P226</v>
      </c>
      <c r="H232" s="9" t="str">
        <v>Instagram</v>
      </c>
      <c r="I232" s="9">
        <v>45511</v>
      </c>
      <c r="J232" s="9" t="str">
        <v>Carousel</v>
      </c>
      <c r="K232" s="9" t="str">
        <v>Check out our latest carousel on instagram!</v>
      </c>
      <c r="L232" s="9">
        <v>1741</v>
      </c>
      <c r="M232" s="9">
        <v>164</v>
      </c>
      <c r="N232" s="9">
        <v>318</v>
      </c>
      <c r="O232" s="9">
        <v>8705</v>
      </c>
      <c r="P232" s="9">
        <v>8272</v>
      </c>
      <c r="Q232" s="9">
        <v>121</v>
      </c>
      <c r="X232" s="20" t="s">
        <v>258</v>
      </c>
      <c r="Y232" s="21" t="s">
        <v>21</v>
      </c>
      <c r="Z232" s="21">
        <v>135</v>
      </c>
      <c r="AD232" s="8" t="s">
        <v>5</v>
      </c>
      <c r="AE232" s="8">
        <v>8.2753164556962022E-2</v>
      </c>
      <c r="AF232" s="9" t="str" cm="1">
        <f t="array" ref="AF232">_xlfn.IFS(AE232&gt;=0.4, "Top Performer",AE232&gt;=0.2,"Medium Performer",AE232&lt;0.2, "Least Performer")</f>
        <v>Least Performer</v>
      </c>
    </row>
    <row r="233" spans="4:32" x14ac:dyDescent="0.25">
      <c r="D233" s="9" t="str">
        <v>P227</v>
      </c>
      <c r="E233" s="9">
        <v>0.11232349165596919</v>
      </c>
      <c r="G233" s="9" t="str">
        <v>P227</v>
      </c>
      <c r="H233" s="9" t="str">
        <v>Instagram</v>
      </c>
      <c r="I233" s="9">
        <v>45455</v>
      </c>
      <c r="J233" s="9" t="str">
        <v>Text</v>
      </c>
      <c r="K233" s="9" t="str">
        <v>Check out our latest text on instagram!</v>
      </c>
      <c r="L233" s="9">
        <v>246</v>
      </c>
      <c r="M233" s="9">
        <v>149</v>
      </c>
      <c r="N233" s="9">
        <v>130</v>
      </c>
      <c r="O233" s="9">
        <v>4674</v>
      </c>
      <c r="P233" s="9">
        <v>4390</v>
      </c>
      <c r="Q233" s="9">
        <v>217</v>
      </c>
      <c r="X233" s="25" t="s">
        <v>55</v>
      </c>
      <c r="Y233" s="26" t="s">
        <v>6</v>
      </c>
      <c r="Z233" s="26">
        <v>49</v>
      </c>
      <c r="AD233" s="8" t="s">
        <v>6</v>
      </c>
      <c r="AE233" s="8">
        <v>0.48518407662376534</v>
      </c>
      <c r="AF233" s="9" t="str" cm="1">
        <f t="array" ref="AF233">_xlfn.IFS(AE233&gt;=0.4, "Top Performer",AE233&gt;=0.2,"Medium Performer",AE233&lt;0.2, "Least Performer")</f>
        <v>Top Performer</v>
      </c>
    </row>
    <row r="234" spans="4:32" x14ac:dyDescent="0.25">
      <c r="D234" s="9" t="str">
        <v>P228</v>
      </c>
      <c r="E234" s="9">
        <v>8.1808097615085965E-2</v>
      </c>
      <c r="G234" s="9" t="str">
        <v>P228</v>
      </c>
      <c r="H234" s="9" t="str">
        <v>Instagram</v>
      </c>
      <c r="I234" s="9">
        <v>45474</v>
      </c>
      <c r="J234" s="9" t="str">
        <v>Story</v>
      </c>
      <c r="K234" s="9" t="str">
        <v>Check out our latest story on instagram!</v>
      </c>
      <c r="L234" s="9">
        <v>4808</v>
      </c>
      <c r="M234" s="9">
        <v>772</v>
      </c>
      <c r="N234" s="9">
        <v>320</v>
      </c>
      <c r="O234" s="9">
        <v>72120</v>
      </c>
      <c r="P234" s="9">
        <v>71696</v>
      </c>
      <c r="Q234" s="9">
        <v>195</v>
      </c>
      <c r="X234" s="20" t="s">
        <v>55</v>
      </c>
      <c r="Y234" s="21" t="s">
        <v>5</v>
      </c>
      <c r="Z234" s="21">
        <v>49</v>
      </c>
      <c r="AD234" s="8" t="s">
        <v>6</v>
      </c>
      <c r="AE234" s="8">
        <v>0.18632075471698112</v>
      </c>
      <c r="AF234" s="9" t="str" cm="1">
        <f t="array" ref="AF234">_xlfn.IFS(AE234&gt;=0.4, "Top Performer",AE234&gt;=0.2,"Medium Performer",AE234&lt;0.2, "Least Performer")</f>
        <v>Least Performer</v>
      </c>
    </row>
    <row r="235" spans="4:32" x14ac:dyDescent="0.25">
      <c r="D235" s="9" t="str">
        <v>P229</v>
      </c>
      <c r="E235" s="9">
        <v>0.13387048227640017</v>
      </c>
      <c r="G235" s="9" t="str">
        <v>P229</v>
      </c>
      <c r="H235" s="9" t="str">
        <v>Instagram</v>
      </c>
      <c r="I235" s="9">
        <v>45476</v>
      </c>
      <c r="J235" s="9" t="str">
        <v>Carousel</v>
      </c>
      <c r="K235" s="9" t="str">
        <v>Check out our latest carousel on instagram!</v>
      </c>
      <c r="L235" s="9">
        <v>4799</v>
      </c>
      <c r="M235" s="9">
        <v>694</v>
      </c>
      <c r="N235" s="9">
        <v>289</v>
      </c>
      <c r="O235" s="9">
        <v>43191</v>
      </c>
      <c r="P235" s="9">
        <v>42228</v>
      </c>
      <c r="Q235" s="9">
        <v>118</v>
      </c>
      <c r="X235" s="25" t="s">
        <v>259</v>
      </c>
      <c r="Y235" s="26" t="s">
        <v>6</v>
      </c>
      <c r="Z235" s="26">
        <v>287</v>
      </c>
      <c r="AD235" s="8" t="s">
        <v>21</v>
      </c>
      <c r="AE235" s="8">
        <v>0.123309241094476</v>
      </c>
      <c r="AF235" s="9" t="str" cm="1">
        <f t="array" ref="AF235">_xlfn.IFS(AE235&gt;=0.4, "Top Performer",AE235&gt;=0.2,"Medium Performer",AE235&lt;0.2, "Least Performer")</f>
        <v>Least Performer</v>
      </c>
    </row>
    <row r="236" spans="4:32" x14ac:dyDescent="0.25">
      <c r="D236" s="9" t="str">
        <v>P230</v>
      </c>
      <c r="E236" s="9">
        <v>7.7512577512577507E-2</v>
      </c>
      <c r="G236" s="9" t="str">
        <v>P230</v>
      </c>
      <c r="H236" s="9" t="str">
        <v>Facebook</v>
      </c>
      <c r="I236" s="9">
        <v>45488</v>
      </c>
      <c r="J236" s="9" t="str">
        <v>Reel</v>
      </c>
      <c r="K236" s="9" t="str">
        <v>Check out our latest reel on facebook!</v>
      </c>
      <c r="L236" s="9">
        <v>3663</v>
      </c>
      <c r="M236" s="9">
        <v>17</v>
      </c>
      <c r="N236" s="9">
        <v>295</v>
      </c>
      <c r="O236" s="9">
        <v>51282</v>
      </c>
      <c r="P236" s="9">
        <v>50567</v>
      </c>
      <c r="Q236" s="9">
        <v>84</v>
      </c>
      <c r="X236" s="20" t="s">
        <v>260</v>
      </c>
      <c r="Y236" s="21" t="s">
        <v>6</v>
      </c>
      <c r="Z236" s="21">
        <v>21</v>
      </c>
      <c r="AD236" s="8" t="s">
        <v>32</v>
      </c>
      <c r="AE236" s="8">
        <v>8.21914819340199E-2</v>
      </c>
      <c r="AF236" s="9" t="str" cm="1">
        <f t="array" ref="AF236">_xlfn.IFS(AE236&gt;=0.4, "Top Performer",AE236&gt;=0.2,"Medium Performer",AE236&lt;0.2, "Least Performer")</f>
        <v>Least Performer</v>
      </c>
    </row>
    <row r="237" spans="4:32" x14ac:dyDescent="0.25">
      <c r="D237" s="9" t="str">
        <v>P231</v>
      </c>
      <c r="E237" s="9">
        <v>8.5734265734265735E-2</v>
      </c>
      <c r="G237" s="9" t="str">
        <v>P231</v>
      </c>
      <c r="H237" s="9" t="str">
        <v>Instagram</v>
      </c>
      <c r="I237" s="9">
        <v>45778</v>
      </c>
      <c r="J237" s="9" t="str">
        <v>Text</v>
      </c>
      <c r="K237" s="9" t="str">
        <v>Check out our latest text on instagram!</v>
      </c>
      <c r="L237" s="9">
        <v>1430</v>
      </c>
      <c r="M237" s="9">
        <v>376</v>
      </c>
      <c r="N237" s="9">
        <v>33</v>
      </c>
      <c r="O237" s="9">
        <v>21450</v>
      </c>
      <c r="P237" s="9">
        <v>20509</v>
      </c>
      <c r="Q237" s="9">
        <v>251</v>
      </c>
      <c r="X237" s="25" t="s">
        <v>261</v>
      </c>
      <c r="Y237" s="26" t="s">
        <v>21</v>
      </c>
      <c r="Z237" s="26">
        <v>219</v>
      </c>
      <c r="AD237" s="8" t="s">
        <v>6</v>
      </c>
      <c r="AE237" s="8">
        <v>0.37955854126679461</v>
      </c>
      <c r="AF237" s="9" t="str" cm="1">
        <f t="array" ref="AF237">_xlfn.IFS(AE237&gt;=0.4, "Top Performer",AE237&gt;=0.2,"Medium Performer",AE237&lt;0.2, "Least Performer")</f>
        <v>Medium Performer</v>
      </c>
    </row>
    <row r="238" spans="4:32" x14ac:dyDescent="0.25">
      <c r="D238" s="9" t="str">
        <v>P232</v>
      </c>
      <c r="E238" s="9">
        <v>0.7168674698795181</v>
      </c>
      <c r="G238" s="9" t="str">
        <v>P232</v>
      </c>
      <c r="H238" s="9" t="str">
        <v>Twitter</v>
      </c>
      <c r="I238" s="9">
        <v>45776</v>
      </c>
      <c r="J238" s="9" t="str">
        <v>Story</v>
      </c>
      <c r="K238" s="9" t="str">
        <v>Check out our latest story on twitter!</v>
      </c>
      <c r="L238" s="9">
        <v>249</v>
      </c>
      <c r="M238" s="9">
        <v>592</v>
      </c>
      <c r="N238" s="9">
        <v>230</v>
      </c>
      <c r="O238" s="9">
        <v>1494</v>
      </c>
      <c r="P238" s="9">
        <v>1044</v>
      </c>
      <c r="Q238" s="9">
        <v>201</v>
      </c>
      <c r="X238" s="20" t="s">
        <v>262</v>
      </c>
      <c r="Y238" s="21" t="s">
        <v>32</v>
      </c>
      <c r="Z238" s="21">
        <v>248</v>
      </c>
      <c r="AD238" s="8" t="s">
        <v>32</v>
      </c>
      <c r="AE238" s="8">
        <v>7.2116777745580993E-2</v>
      </c>
      <c r="AF238" s="9" t="str" cm="1">
        <f t="array" ref="AF238">_xlfn.IFS(AE238&gt;=0.4, "Top Performer",AE238&gt;=0.2,"Medium Performer",AE238&lt;0.2, "Least Performer")</f>
        <v>Least Performer</v>
      </c>
    </row>
    <row r="239" spans="4:32" x14ac:dyDescent="0.25">
      <c r="D239" s="9" t="str">
        <v>P233</v>
      </c>
      <c r="E239" s="9">
        <v>7.2969143576826198E-2</v>
      </c>
      <c r="G239" s="9" t="str">
        <v>P233</v>
      </c>
      <c r="H239" s="9" t="str">
        <v>Facebook</v>
      </c>
      <c r="I239" s="9">
        <v>45724</v>
      </c>
      <c r="J239" s="9" t="str">
        <v>Image</v>
      </c>
      <c r="K239" s="9" t="str">
        <v>Check out our latest image on facebook!</v>
      </c>
      <c r="L239" s="9">
        <v>2382</v>
      </c>
      <c r="M239" s="9">
        <v>265</v>
      </c>
      <c r="N239" s="9">
        <v>134</v>
      </c>
      <c r="O239" s="9">
        <v>38112</v>
      </c>
      <c r="P239" s="9">
        <v>37437</v>
      </c>
      <c r="Q239" s="9">
        <v>249</v>
      </c>
      <c r="X239" s="25" t="s">
        <v>263</v>
      </c>
      <c r="Y239" s="26" t="s">
        <v>6</v>
      </c>
      <c r="Z239" s="26">
        <v>282</v>
      </c>
      <c r="AD239" s="8" t="s">
        <v>32</v>
      </c>
      <c r="AE239" s="8">
        <v>5.8316766070245198E-2</v>
      </c>
      <c r="AF239" s="9" t="str" cm="1">
        <f t="array" ref="AF239">_xlfn.IFS(AE239&gt;=0.4, "Top Performer",AE239&gt;=0.2,"Medium Performer",AE239&lt;0.2, "Least Performer")</f>
        <v>Least Performer</v>
      </c>
    </row>
    <row r="240" spans="4:32" x14ac:dyDescent="0.25">
      <c r="D240" s="9" t="str">
        <v>P234</v>
      </c>
      <c r="E240" s="9">
        <v>7.5968222442899705E-2</v>
      </c>
      <c r="G240" s="9" t="str">
        <v>P234</v>
      </c>
      <c r="H240" s="9" t="str">
        <v>Facebook</v>
      </c>
      <c r="I240" s="9">
        <v>45444</v>
      </c>
      <c r="J240" s="9" t="str">
        <v>Text</v>
      </c>
      <c r="K240" s="9" t="str">
        <v>Check out our latest text on facebook!</v>
      </c>
      <c r="L240" s="9">
        <v>1272</v>
      </c>
      <c r="M240" s="9">
        <v>465</v>
      </c>
      <c r="N240" s="9">
        <v>99</v>
      </c>
      <c r="O240" s="9">
        <v>24168</v>
      </c>
      <c r="P240" s="9">
        <v>23719</v>
      </c>
      <c r="Q240" s="9">
        <v>42</v>
      </c>
      <c r="X240" s="20" t="s">
        <v>264</v>
      </c>
      <c r="Y240" s="21" t="s">
        <v>32</v>
      </c>
      <c r="Z240" s="21">
        <v>89</v>
      </c>
      <c r="AD240" s="8" t="s">
        <v>21</v>
      </c>
      <c r="AE240" s="8">
        <v>6.2603126356925748E-2</v>
      </c>
      <c r="AF240" s="9" t="str" cm="1">
        <f t="array" ref="AF240">_xlfn.IFS(AE240&gt;=0.4, "Top Performer",AE240&gt;=0.2,"Medium Performer",AE240&lt;0.2, "Least Performer")</f>
        <v>Least Performer</v>
      </c>
    </row>
    <row r="241" spans="4:32" x14ac:dyDescent="0.25">
      <c r="D241" s="9" t="str">
        <v>P235</v>
      </c>
      <c r="E241" s="9">
        <v>0.1283706906360223</v>
      </c>
      <c r="G241" s="9" t="str">
        <v>P235</v>
      </c>
      <c r="H241" s="9" t="str">
        <v>Facebook</v>
      </c>
      <c r="I241" s="9">
        <v>45648</v>
      </c>
      <c r="J241" s="9" t="str">
        <v>Image</v>
      </c>
      <c r="K241" s="9" t="str">
        <v>Check out our latest image on facebook!</v>
      </c>
      <c r="L241" s="9">
        <v>3196</v>
      </c>
      <c r="M241" s="9">
        <v>941</v>
      </c>
      <c r="N241" s="9">
        <v>376</v>
      </c>
      <c r="O241" s="9">
        <v>35156</v>
      </c>
      <c r="P241" s="9">
        <v>34444</v>
      </c>
      <c r="Q241" s="9">
        <v>241</v>
      </c>
      <c r="X241" s="25" t="s">
        <v>265</v>
      </c>
      <c r="Y241" s="26" t="s">
        <v>32</v>
      </c>
      <c r="Z241" s="26">
        <v>119</v>
      </c>
      <c r="AD241" s="8" t="s">
        <v>21</v>
      </c>
      <c r="AE241" s="8">
        <v>0.18806848582129482</v>
      </c>
      <c r="AF241" s="9" t="str" cm="1">
        <f t="array" ref="AF241">_xlfn.IFS(AE241&gt;=0.4, "Top Performer",AE241&gt;=0.2,"Medium Performer",AE241&lt;0.2, "Least Performer")</f>
        <v>Least Performer</v>
      </c>
    </row>
    <row r="242" spans="4:32" x14ac:dyDescent="0.25">
      <c r="D242" s="9" t="str">
        <v>P236</v>
      </c>
      <c r="E242" s="9">
        <v>0.12943516308671441</v>
      </c>
      <c r="G242" s="9" t="str">
        <v>P236</v>
      </c>
      <c r="H242" s="9" t="str">
        <v>Facebook</v>
      </c>
      <c r="I242" s="9">
        <v>45523</v>
      </c>
      <c r="J242" s="9" t="str">
        <v>Text</v>
      </c>
      <c r="K242" s="9" t="str">
        <v>Check out our latest text on facebook!</v>
      </c>
      <c r="L242" s="9">
        <v>1257</v>
      </c>
      <c r="M242" s="9">
        <v>19</v>
      </c>
      <c r="N242" s="9">
        <v>351</v>
      </c>
      <c r="O242" s="9">
        <v>12570</v>
      </c>
      <c r="P242" s="9">
        <v>11660</v>
      </c>
      <c r="Q242" s="9">
        <v>194</v>
      </c>
      <c r="X242" s="20" t="s">
        <v>266</v>
      </c>
      <c r="Y242" s="21" t="s">
        <v>21</v>
      </c>
      <c r="Z242" s="21">
        <v>56</v>
      </c>
      <c r="AD242" s="8" t="s">
        <v>21</v>
      </c>
      <c r="AE242" s="8">
        <v>0.25701459034792368</v>
      </c>
      <c r="AF242" s="9" t="str" cm="1">
        <f t="array" ref="AF242">_xlfn.IFS(AE242&gt;=0.4, "Top Performer",AE242&gt;=0.2,"Medium Performer",AE242&lt;0.2, "Least Performer")</f>
        <v>Medium Performer</v>
      </c>
    </row>
    <row r="243" spans="4:32" x14ac:dyDescent="0.25">
      <c r="D243" s="9" t="str">
        <v>P237</v>
      </c>
      <c r="E243" s="9">
        <v>6.7234398994834563E-2</v>
      </c>
      <c r="G243" s="9" t="str">
        <v>P237</v>
      </c>
      <c r="H243" s="9" t="str">
        <v>Instagram</v>
      </c>
      <c r="I243" s="9">
        <v>45587</v>
      </c>
      <c r="J243" s="9" t="str">
        <v>Story</v>
      </c>
      <c r="K243" s="9" t="str">
        <v>Check out our latest story on instagram!</v>
      </c>
      <c r="L243" s="9">
        <v>3770</v>
      </c>
      <c r="M243" s="9">
        <v>917</v>
      </c>
      <c r="N243" s="9">
        <v>129</v>
      </c>
      <c r="O243" s="9">
        <v>71630</v>
      </c>
      <c r="P243" s="9">
        <v>71322</v>
      </c>
      <c r="Q243" s="9">
        <v>76</v>
      </c>
      <c r="X243" s="25" t="s">
        <v>267</v>
      </c>
      <c r="Y243" s="26" t="s">
        <v>21</v>
      </c>
      <c r="Z243" s="26">
        <v>275</v>
      </c>
      <c r="AD243" s="8" t="s">
        <v>32</v>
      </c>
      <c r="AE243" s="8">
        <v>1.8129251700680271</v>
      </c>
      <c r="AF243" s="9" t="str" cm="1">
        <f t="array" ref="AF243">_xlfn.IFS(AE243&gt;=0.4, "Top Performer",AE243&gt;=0.2,"Medium Performer",AE243&lt;0.2, "Least Performer")</f>
        <v>Top Performer</v>
      </c>
    </row>
    <row r="244" spans="4:32" x14ac:dyDescent="0.25">
      <c r="D244" s="9" t="str">
        <v>P238</v>
      </c>
      <c r="E244" s="9">
        <v>7.2579365079365077E-2</v>
      </c>
      <c r="G244" s="9" t="str">
        <v>P238</v>
      </c>
      <c r="H244" s="9" t="str">
        <v>Twitter</v>
      </c>
      <c r="I244" s="9">
        <v>45489</v>
      </c>
      <c r="J244" s="9" t="str">
        <v>Text</v>
      </c>
      <c r="K244" s="9" t="str">
        <v>Check out our latest text on twitter!</v>
      </c>
      <c r="L244" s="9">
        <v>4725</v>
      </c>
      <c r="M244" s="9">
        <v>400</v>
      </c>
      <c r="N244" s="9">
        <v>362</v>
      </c>
      <c r="O244" s="9">
        <v>75600</v>
      </c>
      <c r="P244" s="9">
        <v>74927</v>
      </c>
      <c r="Q244" s="9">
        <v>43</v>
      </c>
      <c r="X244" s="20" t="s">
        <v>268</v>
      </c>
      <c r="Y244" s="21" t="s">
        <v>21</v>
      </c>
      <c r="Z244" s="21">
        <v>270</v>
      </c>
      <c r="AD244" s="8" t="s">
        <v>21</v>
      </c>
      <c r="AE244" s="8">
        <v>0.15989220750056141</v>
      </c>
      <c r="AF244" s="9" t="str" cm="1">
        <f t="array" ref="AF244">_xlfn.IFS(AE244&gt;=0.4, "Top Performer",AE244&gt;=0.2,"Medium Performer",AE244&lt;0.2, "Least Performer")</f>
        <v>Least Performer</v>
      </c>
    </row>
    <row r="245" spans="4:32" x14ac:dyDescent="0.25">
      <c r="D245" s="9" t="str">
        <v>P239</v>
      </c>
      <c r="E245" s="9">
        <v>0.25062082139446035</v>
      </c>
      <c r="G245" s="9" t="str">
        <v>P239</v>
      </c>
      <c r="H245" s="9" t="str">
        <v>YouTube</v>
      </c>
      <c r="I245" s="9">
        <v>45712</v>
      </c>
      <c r="J245" s="9" t="str">
        <v>Text</v>
      </c>
      <c r="K245" s="9" t="str">
        <v>Check out our latest text on youtube!</v>
      </c>
      <c r="L245" s="9">
        <v>4188</v>
      </c>
      <c r="M245" s="9">
        <v>942</v>
      </c>
      <c r="N245" s="9">
        <v>118</v>
      </c>
      <c r="O245" s="9">
        <v>20940</v>
      </c>
      <c r="P245" s="9">
        <v>20471</v>
      </c>
      <c r="Q245" s="9">
        <v>102</v>
      </c>
      <c r="X245" s="25" t="s">
        <v>269</v>
      </c>
      <c r="Y245" s="26" t="s">
        <v>32</v>
      </c>
      <c r="Z245" s="26">
        <v>12</v>
      </c>
      <c r="AD245" s="8" t="s">
        <v>6</v>
      </c>
      <c r="AE245" s="8">
        <v>0.11143487163332809</v>
      </c>
      <c r="AF245" s="9" t="str" cm="1">
        <f t="array" ref="AF245">_xlfn.IFS(AE245&gt;=0.4, "Top Performer",AE245&gt;=0.2,"Medium Performer",AE245&lt;0.2, "Least Performer")</f>
        <v>Least Performer</v>
      </c>
    </row>
    <row r="246" spans="4:32" x14ac:dyDescent="0.25">
      <c r="D246" s="9" t="str">
        <v>P240</v>
      </c>
      <c r="E246" s="9">
        <v>8.6293505561535699E-2</v>
      </c>
      <c r="G246" s="9" t="str">
        <v>P240</v>
      </c>
      <c r="H246" s="9" t="str">
        <v>Twitter</v>
      </c>
      <c r="I246" s="9">
        <v>45530</v>
      </c>
      <c r="J246" s="9" t="str">
        <v>Carousel</v>
      </c>
      <c r="K246" s="9" t="str">
        <v>Check out our latest carousel on twitter!</v>
      </c>
      <c r="L246" s="9">
        <v>929</v>
      </c>
      <c r="M246" s="9">
        <v>192</v>
      </c>
      <c r="N246" s="9">
        <v>322</v>
      </c>
      <c r="O246" s="9">
        <v>16722</v>
      </c>
      <c r="P246" s="9">
        <v>15996</v>
      </c>
      <c r="Q246" s="9">
        <v>145</v>
      </c>
      <c r="X246" s="20" t="s">
        <v>270</v>
      </c>
      <c r="Y246" s="21" t="s">
        <v>21</v>
      </c>
      <c r="Z246" s="21">
        <v>23</v>
      </c>
      <c r="AD246" s="8" t="s">
        <v>39</v>
      </c>
      <c r="AE246" s="8">
        <v>0.11143487163332809</v>
      </c>
      <c r="AF246" s="9" t="str" cm="1">
        <f t="array" ref="AF246">_xlfn.IFS(AE246&gt;=0.4, "Top Performer",AE246&gt;=0.2,"Medium Performer",AE246&lt;0.2, "Least Performer")</f>
        <v>Least Performer</v>
      </c>
    </row>
    <row r="247" spans="4:32" x14ac:dyDescent="0.25">
      <c r="D247" s="9" t="str">
        <v>P241</v>
      </c>
      <c r="E247" s="9">
        <v>0.17743908486792079</v>
      </c>
      <c r="G247" s="9" t="str">
        <v>P241</v>
      </c>
      <c r="H247" s="9" t="str">
        <v>Facebook</v>
      </c>
      <c r="I247" s="9">
        <v>45675</v>
      </c>
      <c r="J247" s="9" t="str">
        <v>Story</v>
      </c>
      <c r="K247" s="9" t="str">
        <v>Check out our latest story on facebook!</v>
      </c>
      <c r="L247" s="9">
        <v>4321</v>
      </c>
      <c r="M247" s="9">
        <v>874</v>
      </c>
      <c r="N247" s="9">
        <v>172</v>
      </c>
      <c r="O247" s="9">
        <v>30247</v>
      </c>
      <c r="P247" s="9">
        <v>29254</v>
      </c>
      <c r="Q247" s="9">
        <v>122</v>
      </c>
      <c r="X247" s="25" t="s">
        <v>271</v>
      </c>
      <c r="Y247" s="26" t="s">
        <v>6</v>
      </c>
      <c r="Z247" s="26">
        <v>39</v>
      </c>
      <c r="AD247" s="8" t="s">
        <v>21</v>
      </c>
      <c r="AE247" s="8">
        <v>6.2129685107516146E-2</v>
      </c>
      <c r="AF247" s="9" t="str" cm="1">
        <f t="array" ref="AF247">_xlfn.IFS(AE247&gt;=0.4, "Top Performer",AE247&gt;=0.2,"Medium Performer",AE247&lt;0.2, "Least Performer")</f>
        <v>Least Performer</v>
      </c>
    </row>
    <row r="248" spans="4:32" x14ac:dyDescent="0.25">
      <c r="D248" s="9" t="str">
        <v>P242</v>
      </c>
      <c r="E248" s="9">
        <v>0.18519683938186141</v>
      </c>
      <c r="G248" s="9" t="str">
        <v>P242</v>
      </c>
      <c r="H248" s="9" t="str">
        <v>Facebook</v>
      </c>
      <c r="I248" s="9">
        <v>45480</v>
      </c>
      <c r="J248" s="9" t="str">
        <v>Reel</v>
      </c>
      <c r="K248" s="9" t="str">
        <v>Check out our latest reel on facebook!</v>
      </c>
      <c r="L248" s="9">
        <v>4767</v>
      </c>
      <c r="M248" s="9">
        <v>190</v>
      </c>
      <c r="N248" s="9">
        <v>340</v>
      </c>
      <c r="O248" s="9">
        <v>28602</v>
      </c>
      <c r="P248" s="9">
        <v>28044</v>
      </c>
      <c r="Q248" s="9">
        <v>210</v>
      </c>
      <c r="X248" s="20" t="s">
        <v>271</v>
      </c>
      <c r="Y248" s="21" t="s">
        <v>39</v>
      </c>
      <c r="Z248" s="21">
        <v>39</v>
      </c>
      <c r="AD248" s="8" t="s">
        <v>21</v>
      </c>
      <c r="AE248" s="8">
        <v>0.32083531086853345</v>
      </c>
      <c r="AF248" s="9" t="str" cm="1">
        <f t="array" ref="AF248">_xlfn.IFS(AE248&gt;=0.4, "Top Performer",AE248&gt;=0.2,"Medium Performer",AE248&lt;0.2, "Least Performer")</f>
        <v>Medium Performer</v>
      </c>
    </row>
    <row r="249" spans="4:32" x14ac:dyDescent="0.25">
      <c r="D249" s="9" t="str">
        <v>P243</v>
      </c>
      <c r="E249" s="9">
        <v>9.7001272669424113E-2</v>
      </c>
      <c r="G249" s="9" t="str">
        <v>P243</v>
      </c>
      <c r="H249" s="9" t="str">
        <v>Twitter</v>
      </c>
      <c r="I249" s="9">
        <v>45722</v>
      </c>
      <c r="J249" s="9" t="str">
        <v>Image</v>
      </c>
      <c r="K249" s="9" t="str">
        <v>Check out our latest image on twitter!</v>
      </c>
      <c r="L249" s="9">
        <v>3592</v>
      </c>
      <c r="M249" s="9">
        <v>911</v>
      </c>
      <c r="N249" s="9">
        <v>375</v>
      </c>
      <c r="O249" s="9">
        <v>50288</v>
      </c>
      <c r="P249" s="9">
        <v>49490</v>
      </c>
      <c r="Q249" s="9">
        <v>32</v>
      </c>
      <c r="X249" s="25" t="s">
        <v>272</v>
      </c>
      <c r="Y249" s="26" t="s">
        <v>21</v>
      </c>
      <c r="Z249" s="26">
        <v>252</v>
      </c>
      <c r="AD249" s="8" t="s">
        <v>32</v>
      </c>
      <c r="AE249" s="8">
        <v>5.6653298485940883E-2</v>
      </c>
      <c r="AF249" s="9" t="str" cm="1">
        <f t="array" ref="AF249">_xlfn.IFS(AE249&gt;=0.4, "Top Performer",AE249&gt;=0.2,"Medium Performer",AE249&lt;0.2, "Least Performer")</f>
        <v>Least Performer</v>
      </c>
    </row>
    <row r="250" spans="4:32" x14ac:dyDescent="0.25">
      <c r="D250" s="9" t="str">
        <v>P244</v>
      </c>
      <c r="E250" s="9">
        <v>0.25869984981763572</v>
      </c>
      <c r="G250" s="9" t="str">
        <v>P244</v>
      </c>
      <c r="H250" s="9" t="str">
        <v>YouTube</v>
      </c>
      <c r="I250" s="9">
        <v>45590</v>
      </c>
      <c r="J250" s="9" t="str">
        <v>Video</v>
      </c>
      <c r="K250" s="9" t="str">
        <v>Check out our latest video on youtube!</v>
      </c>
      <c r="L250" s="9">
        <v>4661</v>
      </c>
      <c r="M250" s="9">
        <v>935</v>
      </c>
      <c r="N250" s="9">
        <v>433</v>
      </c>
      <c r="O250" s="9">
        <v>23305</v>
      </c>
      <c r="P250" s="9">
        <v>22583</v>
      </c>
      <c r="Q250" s="9">
        <v>63</v>
      </c>
      <c r="X250" s="20" t="s">
        <v>273</v>
      </c>
      <c r="Y250" s="21" t="s">
        <v>21</v>
      </c>
      <c r="Z250" s="21">
        <v>164</v>
      </c>
      <c r="AD250" s="8" t="s">
        <v>21</v>
      </c>
      <c r="AE250" s="8">
        <v>0.25537047673750718</v>
      </c>
      <c r="AF250" s="9" t="str" cm="1">
        <f t="array" ref="AF250">_xlfn.IFS(AE250&gt;=0.4, "Top Performer",AE250&gt;=0.2,"Medium Performer",AE250&lt;0.2, "Least Performer")</f>
        <v>Medium Performer</v>
      </c>
    </row>
    <row r="251" spans="4:32" x14ac:dyDescent="0.25">
      <c r="D251" s="9" t="str">
        <v>P245</v>
      </c>
      <c r="E251" s="9">
        <v>0.12232704402515723</v>
      </c>
      <c r="G251" s="9" t="str">
        <v>P245</v>
      </c>
      <c r="H251" s="9" t="str">
        <v>Facebook</v>
      </c>
      <c r="I251" s="9">
        <v>45669</v>
      </c>
      <c r="J251" s="9" t="str">
        <v>Reel</v>
      </c>
      <c r="K251" s="9" t="str">
        <v>Check out our latest reel on facebook!</v>
      </c>
      <c r="L251" s="9">
        <v>4134</v>
      </c>
      <c r="M251" s="9">
        <v>824</v>
      </c>
      <c r="N251" s="9">
        <v>99</v>
      </c>
      <c r="O251" s="9">
        <v>41340</v>
      </c>
      <c r="P251" s="9">
        <v>41050</v>
      </c>
      <c r="Q251" s="9">
        <v>177</v>
      </c>
      <c r="X251" s="25" t="s">
        <v>274</v>
      </c>
      <c r="Y251" s="26" t="s">
        <v>32</v>
      </c>
      <c r="Z251" s="26">
        <v>118</v>
      </c>
      <c r="AD251" s="8" t="s">
        <v>6</v>
      </c>
      <c r="AE251" s="8">
        <v>0.11232349165596919</v>
      </c>
      <c r="AF251" s="9" t="str" cm="1">
        <f t="array" ref="AF251">_xlfn.IFS(AE251&gt;=0.4, "Top Performer",AE251&gt;=0.2,"Medium Performer",AE251&lt;0.2, "Least Performer")</f>
        <v>Least Performer</v>
      </c>
    </row>
    <row r="252" spans="4:32" x14ac:dyDescent="0.25">
      <c r="D252" s="9" t="str">
        <v>P246</v>
      </c>
      <c r="E252" s="9">
        <v>0.23656250000000001</v>
      </c>
      <c r="G252" s="9" t="str">
        <v>P246</v>
      </c>
      <c r="H252" s="9" t="str">
        <v>Facebook</v>
      </c>
      <c r="I252" s="9">
        <v>45576</v>
      </c>
      <c r="J252" s="9" t="str">
        <v>Image</v>
      </c>
      <c r="K252" s="9" t="str">
        <v>Check out our latest image on facebook!</v>
      </c>
      <c r="L252" s="9">
        <v>400</v>
      </c>
      <c r="M252" s="9">
        <v>680</v>
      </c>
      <c r="N252" s="9">
        <v>434</v>
      </c>
      <c r="O252" s="9">
        <v>6400</v>
      </c>
      <c r="P252" s="9">
        <v>5472</v>
      </c>
      <c r="Q252" s="9">
        <v>160</v>
      </c>
      <c r="X252" s="20" t="s">
        <v>275</v>
      </c>
      <c r="Y252" s="21" t="s">
        <v>21</v>
      </c>
      <c r="Z252" s="21">
        <v>121</v>
      </c>
      <c r="AD252" s="8" t="s">
        <v>32</v>
      </c>
      <c r="AE252" s="8">
        <v>8.1808097615085965E-2</v>
      </c>
      <c r="AF252" s="9" t="str" cm="1">
        <f t="array" ref="AF252">_xlfn.IFS(AE252&gt;=0.4, "Top Performer",AE252&gt;=0.2,"Medium Performer",AE252&lt;0.2, "Least Performer")</f>
        <v>Least Performer</v>
      </c>
    </row>
    <row r="253" spans="4:32" x14ac:dyDescent="0.25">
      <c r="D253" s="9" t="str">
        <v>P247</v>
      </c>
      <c r="E253" s="9">
        <v>0.11879910213243547</v>
      </c>
      <c r="G253" s="9" t="str">
        <v>P247</v>
      </c>
      <c r="H253" s="9" t="str">
        <v>Facebook</v>
      </c>
      <c r="I253" s="9">
        <v>45531</v>
      </c>
      <c r="J253" s="9" t="str">
        <v>Reel</v>
      </c>
      <c r="K253" s="9" t="str">
        <v>Check out our latest reel on facebook!</v>
      </c>
      <c r="L253" s="9">
        <v>3960</v>
      </c>
      <c r="M253" s="9">
        <v>266</v>
      </c>
      <c r="N253" s="9">
        <v>8</v>
      </c>
      <c r="O253" s="9">
        <v>35640</v>
      </c>
      <c r="P253" s="9">
        <v>34850</v>
      </c>
      <c r="Q253" s="9">
        <v>208</v>
      </c>
      <c r="X253" s="25" t="s">
        <v>276</v>
      </c>
      <c r="Y253" s="26" t="s">
        <v>6</v>
      </c>
      <c r="Z253" s="26">
        <v>217</v>
      </c>
      <c r="AD253" s="8" t="s">
        <v>21</v>
      </c>
      <c r="AE253" s="8">
        <v>0.13387048227640017</v>
      </c>
      <c r="AF253" s="9" t="str" cm="1">
        <f t="array" ref="AF253">_xlfn.IFS(AE253&gt;=0.4, "Top Performer",AE253&gt;=0.2,"Medium Performer",AE253&lt;0.2, "Least Performer")</f>
        <v>Least Performer</v>
      </c>
    </row>
    <row r="254" spans="4:32" x14ac:dyDescent="0.25">
      <c r="D254" s="9" t="str">
        <v>P248</v>
      </c>
      <c r="E254" s="9">
        <v>0.26297968397291194</v>
      </c>
      <c r="G254" s="9" t="str">
        <v>P248</v>
      </c>
      <c r="H254" s="9" t="str">
        <v>Facebook</v>
      </c>
      <c r="I254" s="9">
        <v>45690</v>
      </c>
      <c r="J254" s="9" t="str">
        <v>Story</v>
      </c>
      <c r="K254" s="9" t="str">
        <v>Check out our latest story on facebook!</v>
      </c>
      <c r="L254" s="9">
        <v>886</v>
      </c>
      <c r="M254" s="9">
        <v>126</v>
      </c>
      <c r="N254" s="9">
        <v>153</v>
      </c>
      <c r="O254" s="9">
        <v>4430</v>
      </c>
      <c r="P254" s="9">
        <v>4037</v>
      </c>
      <c r="Q254" s="9">
        <v>212</v>
      </c>
      <c r="X254" s="20" t="s">
        <v>277</v>
      </c>
      <c r="Y254" s="21" t="s">
        <v>32</v>
      </c>
      <c r="Z254" s="21">
        <v>195</v>
      </c>
      <c r="AD254" s="8" t="s">
        <v>32</v>
      </c>
      <c r="AE254" s="8">
        <v>7.7512577512577507E-2</v>
      </c>
      <c r="AF254" s="9" t="str" cm="1">
        <f t="array" ref="AF254">_xlfn.IFS(AE254&gt;=0.4, "Top Performer",AE254&gt;=0.2,"Medium Performer",AE254&lt;0.2, "Least Performer")</f>
        <v>Least Performer</v>
      </c>
    </row>
    <row r="255" spans="4:32" x14ac:dyDescent="0.25">
      <c r="D255" s="9" t="str">
        <v>P249</v>
      </c>
      <c r="E255" s="9">
        <v>8.7733440816874911E-2</v>
      </c>
      <c r="G255" s="9" t="str">
        <v>P249</v>
      </c>
      <c r="H255" s="9" t="str">
        <v>Twitter</v>
      </c>
      <c r="I255" s="9">
        <v>45491</v>
      </c>
      <c r="J255" s="9" t="str">
        <v>Image</v>
      </c>
      <c r="K255" s="9" t="str">
        <v>Check out our latest image on twitter!</v>
      </c>
      <c r="L255" s="9">
        <v>827</v>
      </c>
      <c r="M255" s="9">
        <v>77</v>
      </c>
      <c r="N255" s="9">
        <v>402</v>
      </c>
      <c r="O255" s="9">
        <v>14886</v>
      </c>
      <c r="P255" s="9">
        <v>14129</v>
      </c>
      <c r="Q255" s="9">
        <v>254</v>
      </c>
      <c r="X255" s="25" t="s">
        <v>278</v>
      </c>
      <c r="Y255" s="26" t="s">
        <v>21</v>
      </c>
      <c r="Z255" s="26">
        <v>118</v>
      </c>
      <c r="AD255" s="8" t="s">
        <v>6</v>
      </c>
      <c r="AE255" s="8">
        <v>8.5734265734265735E-2</v>
      </c>
      <c r="AF255" s="9" t="str" cm="1">
        <f t="array" ref="AF255">_xlfn.IFS(AE255&gt;=0.4, "Top Performer",AE255&gt;=0.2,"Medium Performer",AE255&lt;0.2, "Least Performer")</f>
        <v>Least Performer</v>
      </c>
    </row>
    <row r="256" spans="4:32" x14ac:dyDescent="0.25">
      <c r="D256" s="9" t="str">
        <v>P250</v>
      </c>
      <c r="E256" s="9">
        <v>7.3170731707317069E-2</v>
      </c>
      <c r="G256" s="9" t="str">
        <v>P250</v>
      </c>
      <c r="H256" s="9" t="str">
        <v>Facebook</v>
      </c>
      <c r="I256" s="9">
        <v>45465</v>
      </c>
      <c r="J256" s="9" t="str">
        <v>Reel</v>
      </c>
      <c r="K256" s="9" t="str">
        <v>Check out our latest reel on facebook!</v>
      </c>
      <c r="L256" s="9">
        <v>3813</v>
      </c>
      <c r="M256" s="9">
        <v>935</v>
      </c>
      <c r="N256" s="9">
        <v>274</v>
      </c>
      <c r="O256" s="9">
        <v>68634</v>
      </c>
      <c r="P256" s="9">
        <v>68488</v>
      </c>
      <c r="Q256" s="9">
        <v>251</v>
      </c>
      <c r="X256" s="20" t="s">
        <v>279</v>
      </c>
      <c r="Y256" s="21" t="s">
        <v>32</v>
      </c>
      <c r="Z256" s="21">
        <v>84</v>
      </c>
      <c r="AD256" s="8" t="s">
        <v>32</v>
      </c>
      <c r="AE256" s="8">
        <v>0.7168674698795181</v>
      </c>
      <c r="AF256" s="9" t="str" cm="1">
        <f t="array" ref="AF256">_xlfn.IFS(AE256&gt;=0.4, "Top Performer",AE256&gt;=0.2,"Medium Performer",AE256&lt;0.2, "Least Performer")</f>
        <v>Top Performer</v>
      </c>
    </row>
    <row r="257" spans="4:32" x14ac:dyDescent="0.25">
      <c r="D257" s="9" t="str">
        <v>P251</v>
      </c>
      <c r="E257" s="9">
        <v>0.11619462599854757</v>
      </c>
      <c r="G257" s="9" t="str">
        <v>P251</v>
      </c>
      <c r="H257" s="9" t="str">
        <v>Instagram</v>
      </c>
      <c r="I257" s="9">
        <v>45743</v>
      </c>
      <c r="J257" s="9" t="str">
        <v>Carousel</v>
      </c>
      <c r="K257" s="9" t="str">
        <v>Check out our latest carousel on instagram!</v>
      </c>
      <c r="L257" s="9">
        <v>1377</v>
      </c>
      <c r="M257" s="9">
        <v>796</v>
      </c>
      <c r="N257" s="9">
        <v>387</v>
      </c>
      <c r="O257" s="9">
        <v>22032</v>
      </c>
      <c r="P257" s="9">
        <v>21869</v>
      </c>
      <c r="Q257" s="9">
        <v>189</v>
      </c>
      <c r="X257" s="25" t="s">
        <v>280</v>
      </c>
      <c r="Y257" s="26" t="s">
        <v>6</v>
      </c>
      <c r="Z257" s="26">
        <v>251</v>
      </c>
      <c r="AD257" s="8" t="s">
        <v>6</v>
      </c>
      <c r="AE257" s="8">
        <v>7.2969143576826198E-2</v>
      </c>
      <c r="AF257" s="9" t="str" cm="1">
        <f t="array" ref="AF257">_xlfn.IFS(AE257&gt;=0.4, "Top Performer",AE257&gt;=0.2,"Medium Performer",AE257&lt;0.2, "Least Performer")</f>
        <v>Least Performer</v>
      </c>
    </row>
    <row r="258" spans="4:32" x14ac:dyDescent="0.25">
      <c r="D258" s="9" t="str">
        <v>P252</v>
      </c>
      <c r="E258" s="9">
        <v>0.15761129727142173</v>
      </c>
      <c r="G258" s="9" t="str">
        <v>P252</v>
      </c>
      <c r="H258" s="9" t="str">
        <v>Facebook</v>
      </c>
      <c r="I258" s="9">
        <v>45775</v>
      </c>
      <c r="J258" s="9" t="str">
        <v>Carousel</v>
      </c>
      <c r="K258" s="9" t="str">
        <v>Check out our latest carousel on facebook!</v>
      </c>
      <c r="L258" s="9">
        <v>2089</v>
      </c>
      <c r="M258" s="9">
        <v>476</v>
      </c>
      <c r="N258" s="9">
        <v>69</v>
      </c>
      <c r="O258" s="9">
        <v>16712</v>
      </c>
      <c r="P258" s="9">
        <v>16309</v>
      </c>
      <c r="Q258" s="9">
        <v>64</v>
      </c>
      <c r="X258" s="20" t="s">
        <v>281</v>
      </c>
      <c r="Y258" s="21" t="s">
        <v>32</v>
      </c>
      <c r="Z258" s="21">
        <v>201</v>
      </c>
      <c r="AD258" s="8" t="s">
        <v>21</v>
      </c>
      <c r="AE258" s="8">
        <v>7.5968222442899705E-2</v>
      </c>
      <c r="AF258" s="9" t="str" cm="1">
        <f t="array" ref="AF258">_xlfn.IFS(AE258&gt;=0.4, "Top Performer",AE258&gt;=0.2,"Medium Performer",AE258&lt;0.2, "Least Performer")</f>
        <v>Least Performer</v>
      </c>
    </row>
    <row r="259" spans="4:32" x14ac:dyDescent="0.25">
      <c r="D259" s="9" t="str">
        <v>P253</v>
      </c>
      <c r="E259" s="9">
        <v>8.6897539284772202E-2</v>
      </c>
      <c r="G259" s="9" t="str">
        <v>P253</v>
      </c>
      <c r="H259" s="9" t="str">
        <v>Twitter</v>
      </c>
      <c r="I259" s="9">
        <v>45507</v>
      </c>
      <c r="J259" s="9" t="str">
        <v>Reel</v>
      </c>
      <c r="K259" s="9" t="str">
        <v>Check out our latest reel on twitter!</v>
      </c>
      <c r="L259" s="9">
        <v>3791</v>
      </c>
      <c r="M259" s="9">
        <v>593</v>
      </c>
      <c r="N259" s="9">
        <v>228</v>
      </c>
      <c r="O259" s="9">
        <v>53074</v>
      </c>
      <c r="P259" s="9">
        <v>52613</v>
      </c>
      <c r="Q259" s="9">
        <v>205</v>
      </c>
      <c r="X259" s="25" t="s">
        <v>282</v>
      </c>
      <c r="Y259" s="26" t="s">
        <v>6</v>
      </c>
      <c r="Z259" s="26">
        <v>249</v>
      </c>
      <c r="AD259" s="8" t="s">
        <v>21</v>
      </c>
      <c r="AE259" s="8">
        <v>0.1283706906360223</v>
      </c>
      <c r="AF259" s="9" t="str" cm="1">
        <f t="array" ref="AF259">_xlfn.IFS(AE259&gt;=0.4, "Top Performer",AE259&gt;=0.2,"Medium Performer",AE259&lt;0.2, "Least Performer")</f>
        <v>Least Performer</v>
      </c>
    </row>
    <row r="260" spans="4:32" x14ac:dyDescent="0.25">
      <c r="D260" s="9" t="str">
        <v>P254</v>
      </c>
      <c r="E260" s="9">
        <v>0.13331166419019316</v>
      </c>
      <c r="G260" s="9" t="str">
        <v>P254</v>
      </c>
      <c r="H260" s="9" t="str">
        <v>Twitter</v>
      </c>
      <c r="I260" s="9">
        <v>45671</v>
      </c>
      <c r="J260" s="9" t="str">
        <v>Image</v>
      </c>
      <c r="K260" s="9" t="str">
        <v>Check out our latest image on twitter!</v>
      </c>
      <c r="L260" s="9">
        <v>2692</v>
      </c>
      <c r="M260" s="9">
        <v>115</v>
      </c>
      <c r="N260" s="9">
        <v>64</v>
      </c>
      <c r="O260" s="9">
        <v>21536</v>
      </c>
      <c r="P260" s="9">
        <v>21120</v>
      </c>
      <c r="Q260" s="9">
        <v>224</v>
      </c>
      <c r="X260" s="20" t="s">
        <v>283</v>
      </c>
      <c r="Y260" s="21" t="s">
        <v>21</v>
      </c>
      <c r="Z260" s="21">
        <v>42</v>
      </c>
      <c r="AD260" s="8" t="s">
        <v>6</v>
      </c>
      <c r="AE260" s="8">
        <v>0.12943516308671441</v>
      </c>
      <c r="AF260" s="9" t="str" cm="1">
        <f t="array" ref="AF260">_xlfn.IFS(AE260&gt;=0.4, "Top Performer",AE260&gt;=0.2,"Medium Performer",AE260&lt;0.2, "Least Performer")</f>
        <v>Least Performer</v>
      </c>
    </row>
    <row r="261" spans="4:32" x14ac:dyDescent="0.25">
      <c r="D261" s="9" t="str">
        <v>P255</v>
      </c>
      <c r="E261" s="9">
        <v>0.11996283514733209</v>
      </c>
      <c r="G261" s="9" t="str">
        <v>P255</v>
      </c>
      <c r="H261" s="9" t="str">
        <v>Facebook</v>
      </c>
      <c r="I261" s="9">
        <v>45750</v>
      </c>
      <c r="J261" s="9" t="str">
        <v>Story</v>
      </c>
      <c r="K261" s="9" t="str">
        <v>Check out our latest story on facebook!</v>
      </c>
      <c r="L261" s="9">
        <v>3767</v>
      </c>
      <c r="M261" s="9">
        <v>514</v>
      </c>
      <c r="N261" s="9">
        <v>238</v>
      </c>
      <c r="O261" s="9">
        <v>37670</v>
      </c>
      <c r="P261" s="9">
        <v>36807</v>
      </c>
      <c r="Q261" s="9">
        <v>226</v>
      </c>
      <c r="X261" s="25" t="s">
        <v>284</v>
      </c>
      <c r="Y261" s="26" t="s">
        <v>21</v>
      </c>
      <c r="Z261" s="26">
        <v>241</v>
      </c>
      <c r="AD261" s="8" t="s">
        <v>5</v>
      </c>
      <c r="AE261" s="8">
        <v>0.12943516308671441</v>
      </c>
      <c r="AF261" s="9" t="str" cm="1">
        <f t="array" ref="AF261">_xlfn.IFS(AE261&gt;=0.4, "Top Performer",AE261&gt;=0.2,"Medium Performer",AE261&lt;0.2, "Least Performer")</f>
        <v>Least Performer</v>
      </c>
    </row>
    <row r="262" spans="4:32" x14ac:dyDescent="0.25">
      <c r="D262" s="9" t="str">
        <v>P256</v>
      </c>
      <c r="E262" s="9">
        <v>5.7936488444630008E-2</v>
      </c>
      <c r="G262" s="9" t="str">
        <v>P256</v>
      </c>
      <c r="H262" s="9" t="str">
        <v>YouTube</v>
      </c>
      <c r="I262" s="9">
        <v>45553</v>
      </c>
      <c r="J262" s="9" t="str">
        <v>Carousel</v>
      </c>
      <c r="K262" s="9" t="str">
        <v>Check out our latest carousel on youtube!</v>
      </c>
      <c r="L262" s="9">
        <v>2143</v>
      </c>
      <c r="M262" s="9">
        <v>12</v>
      </c>
      <c r="N262" s="9">
        <v>204</v>
      </c>
      <c r="O262" s="9">
        <v>40717</v>
      </c>
      <c r="P262" s="9">
        <v>40125</v>
      </c>
      <c r="Q262" s="9">
        <v>248</v>
      </c>
      <c r="X262" s="20" t="s">
        <v>57</v>
      </c>
      <c r="Y262" s="21" t="s">
        <v>6</v>
      </c>
      <c r="Z262" s="21">
        <v>194</v>
      </c>
      <c r="AD262" s="8" t="s">
        <v>32</v>
      </c>
      <c r="AE262" s="8">
        <v>0.12943516308671441</v>
      </c>
      <c r="AF262" s="9" t="str" cm="1">
        <f t="array" ref="AF262">_xlfn.IFS(AE262&gt;=0.4, "Top Performer",AE262&gt;=0.2,"Medium Performer",AE262&lt;0.2, "Least Performer")</f>
        <v>Least Performer</v>
      </c>
    </row>
    <row r="263" spans="4:32" x14ac:dyDescent="0.25">
      <c r="D263" s="9" t="str">
        <v>P257</v>
      </c>
      <c r="E263" s="9">
        <v>7.9915048543689318E-2</v>
      </c>
      <c r="G263" s="9" t="str">
        <v>P257</v>
      </c>
      <c r="H263" s="9" t="str">
        <v>Facebook</v>
      </c>
      <c r="I263" s="9">
        <v>45753</v>
      </c>
      <c r="J263" s="9" t="str">
        <v>Image</v>
      </c>
      <c r="K263" s="9" t="str">
        <v>Check out our latest image on facebook!</v>
      </c>
      <c r="L263" s="9">
        <v>3090</v>
      </c>
      <c r="M263" s="9">
        <v>697</v>
      </c>
      <c r="N263" s="9">
        <v>164</v>
      </c>
      <c r="O263" s="9">
        <v>49440</v>
      </c>
      <c r="P263" s="9">
        <v>48524</v>
      </c>
      <c r="Q263" s="9">
        <v>25</v>
      </c>
      <c r="X263" s="25" t="s">
        <v>57</v>
      </c>
      <c r="Y263" s="26" t="s">
        <v>5</v>
      </c>
      <c r="Z263" s="26">
        <v>194</v>
      </c>
      <c r="AD263" s="8" t="s">
        <v>6</v>
      </c>
      <c r="AE263" s="8">
        <v>6.7234398994834563E-2</v>
      </c>
      <c r="AF263" s="9" t="str" cm="1">
        <f t="array" ref="AF263">_xlfn.IFS(AE263&gt;=0.4, "Top Performer",AE263&gt;=0.2,"Medium Performer",AE263&lt;0.2, "Least Performer")</f>
        <v>Least Performer</v>
      </c>
    </row>
    <row r="264" spans="4:32" x14ac:dyDescent="0.25">
      <c r="D264" s="9" t="str">
        <v>P258</v>
      </c>
      <c r="E264" s="9">
        <v>0.2023049153013052</v>
      </c>
      <c r="G264" s="9" t="str">
        <v>P258</v>
      </c>
      <c r="H264" s="9" t="str">
        <v>Instagram</v>
      </c>
      <c r="I264" s="9">
        <v>45509</v>
      </c>
      <c r="J264" s="9" t="str">
        <v>Story</v>
      </c>
      <c r="K264" s="9" t="str">
        <v>Check out our latest story on instagram!</v>
      </c>
      <c r="L264" s="9">
        <v>3601</v>
      </c>
      <c r="M264" s="9">
        <v>695</v>
      </c>
      <c r="N264" s="9">
        <v>75</v>
      </c>
      <c r="O264" s="9">
        <v>21606</v>
      </c>
      <c r="P264" s="9">
        <v>21454</v>
      </c>
      <c r="Q264" s="9">
        <v>172</v>
      </c>
      <c r="X264" s="20" t="s">
        <v>57</v>
      </c>
      <c r="Y264" s="21" t="s">
        <v>32</v>
      </c>
      <c r="Z264" s="21">
        <v>194</v>
      </c>
      <c r="AD264" s="8" t="s">
        <v>6</v>
      </c>
      <c r="AE264" s="8">
        <v>7.2579365079365077E-2</v>
      </c>
      <c r="AF264" s="9" t="str" cm="1">
        <f t="array" ref="AF264">_xlfn.IFS(AE264&gt;=0.4, "Top Performer",AE264&gt;=0.2,"Medium Performer",AE264&lt;0.2, "Least Performer")</f>
        <v>Least Performer</v>
      </c>
    </row>
    <row r="265" spans="4:32" x14ac:dyDescent="0.25">
      <c r="D265" s="9" t="str">
        <v>P259</v>
      </c>
      <c r="E265" s="9">
        <v>0.25771055753262156</v>
      </c>
      <c r="G265" s="9" t="str">
        <v>P259</v>
      </c>
      <c r="H265" s="9" t="str">
        <v>Facebook</v>
      </c>
      <c r="I265" s="9">
        <v>45698</v>
      </c>
      <c r="J265" s="9" t="str">
        <v>Text</v>
      </c>
      <c r="K265" s="9" t="str">
        <v>Check out our latest text on facebook!</v>
      </c>
      <c r="L265" s="9">
        <v>562</v>
      </c>
      <c r="M265" s="9">
        <v>158</v>
      </c>
      <c r="N265" s="9">
        <v>149</v>
      </c>
      <c r="O265" s="9">
        <v>3372</v>
      </c>
      <c r="P265" s="9">
        <v>2940</v>
      </c>
      <c r="Q265" s="9">
        <v>93</v>
      </c>
      <c r="X265" s="25" t="s">
        <v>285</v>
      </c>
      <c r="Y265" s="26" t="s">
        <v>6</v>
      </c>
      <c r="Z265" s="26">
        <v>76</v>
      </c>
      <c r="AD265" s="8" t="s">
        <v>6</v>
      </c>
      <c r="AE265" s="8">
        <v>0.25062082139446035</v>
      </c>
      <c r="AF265" s="9" t="str" cm="1">
        <f t="array" ref="AF265">_xlfn.IFS(AE265&gt;=0.4, "Top Performer",AE265&gt;=0.2,"Medium Performer",AE265&lt;0.2, "Least Performer")</f>
        <v>Medium Performer</v>
      </c>
    </row>
    <row r="266" spans="4:32" x14ac:dyDescent="0.25">
      <c r="D266" s="9" t="str">
        <v>P260</v>
      </c>
      <c r="E266" s="9">
        <v>8.7752275425405618E-2</v>
      </c>
      <c r="G266" s="9" t="str">
        <v>P260</v>
      </c>
      <c r="H266" s="9" t="str">
        <v>Instagram</v>
      </c>
      <c r="I266" s="9">
        <v>45700</v>
      </c>
      <c r="J266" s="9" t="str">
        <v>Story</v>
      </c>
      <c r="K266" s="9" t="str">
        <v>Check out our latest story on instagram!</v>
      </c>
      <c r="L266" s="9">
        <v>4332</v>
      </c>
      <c r="M266" s="9">
        <v>771</v>
      </c>
      <c r="N266" s="9">
        <v>219</v>
      </c>
      <c r="O266" s="9">
        <v>60648</v>
      </c>
      <c r="P266" s="9">
        <v>60397</v>
      </c>
      <c r="Q266" s="9">
        <v>10</v>
      </c>
      <c r="X266" s="20" t="s">
        <v>286</v>
      </c>
      <c r="Y266" s="21" t="s">
        <v>6</v>
      </c>
      <c r="Z266" s="21">
        <v>43</v>
      </c>
      <c r="AD266" s="8" t="s">
        <v>32</v>
      </c>
      <c r="AE266" s="8">
        <v>8.6293505561535699E-2</v>
      </c>
      <c r="AF266" s="9" t="str" cm="1">
        <f t="array" ref="AF266">_xlfn.IFS(AE266&gt;=0.4, "Top Performer",AE266&gt;=0.2,"Medium Performer",AE266&lt;0.2, "Least Performer")</f>
        <v>Least Performer</v>
      </c>
    </row>
    <row r="267" spans="4:32" x14ac:dyDescent="0.25">
      <c r="D267" s="9" t="str">
        <v>P261</v>
      </c>
      <c r="E267" s="9">
        <v>8.2835359571399134E-2</v>
      </c>
      <c r="G267" s="9" t="str">
        <v>P261</v>
      </c>
      <c r="H267" s="9" t="str">
        <v>Instagram</v>
      </c>
      <c r="I267" s="9">
        <v>45592</v>
      </c>
      <c r="J267" s="9" t="str">
        <v>Image</v>
      </c>
      <c r="K267" s="9" t="str">
        <v>Check out our latest image on instagram!</v>
      </c>
      <c r="L267" s="9">
        <v>4853</v>
      </c>
      <c r="M267" s="9">
        <v>837</v>
      </c>
      <c r="N267" s="9">
        <v>340</v>
      </c>
      <c r="O267" s="9">
        <v>72795</v>
      </c>
      <c r="P267" s="9">
        <v>72237</v>
      </c>
      <c r="Q267" s="9">
        <v>170</v>
      </c>
      <c r="X267" s="25" t="s">
        <v>287</v>
      </c>
      <c r="Y267" s="26" t="s">
        <v>6</v>
      </c>
      <c r="Z267" s="26">
        <v>102</v>
      </c>
      <c r="AD267" s="8" t="s">
        <v>21</v>
      </c>
      <c r="AE267" s="8">
        <v>8.6293505561535699E-2</v>
      </c>
      <c r="AF267" s="9" t="str" cm="1">
        <f t="array" ref="AF267">_xlfn.IFS(AE267&gt;=0.4, "Top Performer",AE267&gt;=0.2,"Medium Performer",AE267&lt;0.2, "Least Performer")</f>
        <v>Least Performer</v>
      </c>
    </row>
    <row r="268" spans="4:32" x14ac:dyDescent="0.25">
      <c r="D268" s="9" t="str">
        <v>P262</v>
      </c>
      <c r="E268" s="9">
        <v>0.15339966832504145</v>
      </c>
      <c r="G268" s="9" t="str">
        <v>P262</v>
      </c>
      <c r="H268" s="9" t="str">
        <v>YouTube</v>
      </c>
      <c r="I268" s="9">
        <v>45675</v>
      </c>
      <c r="J268" s="9" t="str">
        <v>Image</v>
      </c>
      <c r="K268" s="9" t="str">
        <v>Check out our latest image on youtube!</v>
      </c>
      <c r="L268" s="9">
        <v>1206</v>
      </c>
      <c r="M268" s="9">
        <v>238</v>
      </c>
      <c r="N268" s="9">
        <v>36</v>
      </c>
      <c r="O268" s="9">
        <v>9648</v>
      </c>
      <c r="P268" s="9">
        <v>9417</v>
      </c>
      <c r="Q268" s="9">
        <v>237</v>
      </c>
      <c r="X268" s="20" t="s">
        <v>59</v>
      </c>
      <c r="Y268" s="21" t="s">
        <v>32</v>
      </c>
      <c r="Z268" s="21">
        <v>145</v>
      </c>
      <c r="AD268" s="8" t="s">
        <v>5</v>
      </c>
      <c r="AE268" s="8">
        <v>8.6293505561535699E-2</v>
      </c>
      <c r="AF268" s="9" t="str" cm="1">
        <f t="array" ref="AF268">_xlfn.IFS(AE268&gt;=0.4, "Top Performer",AE268&gt;=0.2,"Medium Performer",AE268&lt;0.2, "Least Performer")</f>
        <v>Least Performer</v>
      </c>
    </row>
    <row r="269" spans="4:32" x14ac:dyDescent="0.25">
      <c r="D269" s="9" t="str">
        <v>P263</v>
      </c>
      <c r="E269" s="9">
        <v>0.26876680752977333</v>
      </c>
      <c r="G269" s="9" t="str">
        <v>P263</v>
      </c>
      <c r="H269" s="9" t="str">
        <v>Instagram</v>
      </c>
      <c r="I269" s="9">
        <v>45524</v>
      </c>
      <c r="J269" s="9" t="str">
        <v>Reel</v>
      </c>
      <c r="K269" s="9" t="str">
        <v>Check out our latest reel on instagram!</v>
      </c>
      <c r="L269" s="9">
        <v>2603</v>
      </c>
      <c r="M269" s="9">
        <v>690</v>
      </c>
      <c r="N269" s="9">
        <v>205</v>
      </c>
      <c r="O269" s="9">
        <v>13015</v>
      </c>
      <c r="P269" s="9">
        <v>12130</v>
      </c>
      <c r="Q269" s="9">
        <v>20</v>
      </c>
      <c r="X269" s="25" t="s">
        <v>59</v>
      </c>
      <c r="Y269" s="26" t="s">
        <v>21</v>
      </c>
      <c r="Z269" s="26">
        <v>145</v>
      </c>
      <c r="AD269" s="8" t="s">
        <v>21</v>
      </c>
      <c r="AE269" s="8">
        <v>0.17743908486792079</v>
      </c>
      <c r="AF269" s="9" t="str" cm="1">
        <f t="array" ref="AF269">_xlfn.IFS(AE269&gt;=0.4, "Top Performer",AE269&gt;=0.2,"Medium Performer",AE269&lt;0.2, "Least Performer")</f>
        <v>Least Performer</v>
      </c>
    </row>
    <row r="270" spans="4:32" x14ac:dyDescent="0.25">
      <c r="D270" s="9" t="str">
        <v>P264</v>
      </c>
      <c r="E270" s="9">
        <v>0.53389830508474578</v>
      </c>
      <c r="G270" s="9" t="str">
        <v>P264</v>
      </c>
      <c r="H270" s="9" t="str">
        <v>Twitter</v>
      </c>
      <c r="I270" s="9">
        <v>45687</v>
      </c>
      <c r="J270" s="9" t="str">
        <v>Image</v>
      </c>
      <c r="K270" s="9" t="str">
        <v>Check out our latest image on twitter!</v>
      </c>
      <c r="L270" s="9">
        <v>59</v>
      </c>
      <c r="M270" s="9">
        <v>163</v>
      </c>
      <c r="N270" s="9">
        <v>93</v>
      </c>
      <c r="O270" s="9">
        <v>590</v>
      </c>
      <c r="P270" s="9">
        <v>475</v>
      </c>
      <c r="Q270" s="9">
        <v>293</v>
      </c>
      <c r="X270" s="20" t="s">
        <v>59</v>
      </c>
      <c r="Y270" s="21" t="s">
        <v>5</v>
      </c>
      <c r="Z270" s="21">
        <v>145</v>
      </c>
      <c r="AD270" s="8" t="s">
        <v>32</v>
      </c>
      <c r="AE270" s="8">
        <v>0.18519683938186141</v>
      </c>
      <c r="AF270" s="9" t="str" cm="1">
        <f t="array" ref="AF270">_xlfn.IFS(AE270&gt;=0.4, "Top Performer",AE270&gt;=0.2,"Medium Performer",AE270&lt;0.2, "Least Performer")</f>
        <v>Least Performer</v>
      </c>
    </row>
    <row r="271" spans="4:32" x14ac:dyDescent="0.25">
      <c r="D271" s="9" t="str">
        <v>P265</v>
      </c>
      <c r="E271" s="9">
        <v>0.25279701651571657</v>
      </c>
      <c r="G271" s="9" t="str">
        <v>P265</v>
      </c>
      <c r="H271" s="9" t="str">
        <v>Twitter</v>
      </c>
      <c r="I271" s="9">
        <v>45708</v>
      </c>
      <c r="J271" s="9" t="str">
        <v>Carousel</v>
      </c>
      <c r="K271" s="9" t="str">
        <v>Check out our latest carousel on twitter!</v>
      </c>
      <c r="L271" s="9">
        <v>1877</v>
      </c>
      <c r="M271" s="9">
        <v>745</v>
      </c>
      <c r="N271" s="9">
        <v>225</v>
      </c>
      <c r="O271" s="9">
        <v>11262</v>
      </c>
      <c r="P271" s="9">
        <v>10967</v>
      </c>
      <c r="Q271" s="9">
        <v>41</v>
      </c>
      <c r="X271" s="25" t="s">
        <v>288</v>
      </c>
      <c r="Y271" s="26" t="s">
        <v>21</v>
      </c>
      <c r="Z271" s="26">
        <v>122</v>
      </c>
      <c r="AD271" s="8" t="s">
        <v>6</v>
      </c>
      <c r="AE271" s="8">
        <v>9.7001272669424113E-2</v>
      </c>
      <c r="AF271" s="9" t="str" cm="1">
        <f t="array" ref="AF271">_xlfn.IFS(AE271&gt;=0.4, "Top Performer",AE271&gt;=0.2,"Medium Performer",AE271&lt;0.2, "Least Performer")</f>
        <v>Least Performer</v>
      </c>
    </row>
    <row r="272" spans="4:32" x14ac:dyDescent="0.25">
      <c r="D272" s="9" t="str">
        <v>P266</v>
      </c>
      <c r="E272" s="9">
        <v>0.10086880280567512</v>
      </c>
      <c r="G272" s="9" t="str">
        <v>P266</v>
      </c>
      <c r="H272" s="9" t="str">
        <v>Facebook</v>
      </c>
      <c r="I272" s="9">
        <v>45621</v>
      </c>
      <c r="J272" s="9" t="str">
        <v>Story</v>
      </c>
      <c r="K272" s="9" t="str">
        <v>Check out our latest story on facebook!</v>
      </c>
      <c r="L272" s="9">
        <v>4182</v>
      </c>
      <c r="M272" s="9">
        <v>640</v>
      </c>
      <c r="N272" s="9">
        <v>240</v>
      </c>
      <c r="O272" s="9">
        <v>50184</v>
      </c>
      <c r="P272" s="9">
        <v>49351</v>
      </c>
      <c r="Q272" s="9">
        <v>10</v>
      </c>
      <c r="X272" s="20" t="s">
        <v>289</v>
      </c>
      <c r="Y272" s="21" t="s">
        <v>32</v>
      </c>
      <c r="Z272" s="21">
        <v>210</v>
      </c>
      <c r="AD272" s="8" t="s">
        <v>6</v>
      </c>
      <c r="AE272" s="8">
        <v>0.25869984981763572</v>
      </c>
      <c r="AF272" s="9" t="str" cm="1">
        <f t="array" ref="AF272">_xlfn.IFS(AE272&gt;=0.4, "Top Performer",AE272&gt;=0.2,"Medium Performer",AE272&lt;0.2, "Least Performer")</f>
        <v>Medium Performer</v>
      </c>
    </row>
    <row r="273" spans="4:32" x14ac:dyDescent="0.25">
      <c r="D273" s="9" t="str">
        <v>P267</v>
      </c>
      <c r="E273" s="9">
        <v>6.3947934081681396E-2</v>
      </c>
      <c r="G273" s="9" t="str">
        <v>P267</v>
      </c>
      <c r="H273" s="9" t="str">
        <v>Twitter</v>
      </c>
      <c r="I273" s="9">
        <v>45569</v>
      </c>
      <c r="J273" s="9" t="str">
        <v>Reel</v>
      </c>
      <c r="K273" s="9" t="str">
        <v>Check out our latest reel on twitter!</v>
      </c>
      <c r="L273" s="9">
        <v>4187</v>
      </c>
      <c r="M273" s="9">
        <v>66</v>
      </c>
      <c r="N273" s="9">
        <v>31</v>
      </c>
      <c r="O273" s="9">
        <v>66992</v>
      </c>
      <c r="P273" s="9">
        <v>66614</v>
      </c>
      <c r="Q273" s="9">
        <v>62</v>
      </c>
      <c r="X273" s="25" t="s">
        <v>290</v>
      </c>
      <c r="Y273" s="26" t="s">
        <v>6</v>
      </c>
      <c r="Z273" s="26">
        <v>32</v>
      </c>
      <c r="AD273" s="8" t="s">
        <v>32</v>
      </c>
      <c r="AE273" s="8">
        <v>0.12232704402515723</v>
      </c>
      <c r="AF273" s="9" t="str" cm="1">
        <f t="array" ref="AF273">_xlfn.IFS(AE273&gt;=0.4, "Top Performer",AE273&gt;=0.2,"Medium Performer",AE273&lt;0.2, "Least Performer")</f>
        <v>Least Performer</v>
      </c>
    </row>
    <row r="274" spans="4:32" x14ac:dyDescent="0.25">
      <c r="D274" s="9" t="str">
        <v>P268</v>
      </c>
      <c r="E274" s="9">
        <v>8.4062694239588759E-2</v>
      </c>
      <c r="G274" s="9" t="str">
        <v>P268</v>
      </c>
      <c r="H274" s="9" t="str">
        <v>Instagram</v>
      </c>
      <c r="I274" s="9">
        <v>45760</v>
      </c>
      <c r="J274" s="9" t="str">
        <v>Reel</v>
      </c>
      <c r="K274" s="9" t="str">
        <v>Check out our latest reel on instagram!</v>
      </c>
      <c r="L274" s="9">
        <v>4579</v>
      </c>
      <c r="M274" s="9">
        <v>125</v>
      </c>
      <c r="N274" s="9">
        <v>300</v>
      </c>
      <c r="O274" s="9">
        <v>59527</v>
      </c>
      <c r="P274" s="9">
        <v>59400</v>
      </c>
      <c r="Q274" s="9">
        <v>269</v>
      </c>
      <c r="X274" s="20" t="s">
        <v>291</v>
      </c>
      <c r="Y274" s="21" t="s">
        <v>6</v>
      </c>
      <c r="Z274" s="21">
        <v>63</v>
      </c>
      <c r="AD274" s="8" t="s">
        <v>6</v>
      </c>
      <c r="AE274" s="8">
        <v>0.23656250000000001</v>
      </c>
      <c r="AF274" s="9" t="str" cm="1">
        <f t="array" ref="AF274">_xlfn.IFS(AE274&gt;=0.4, "Top Performer",AE274&gt;=0.2,"Medium Performer",AE274&lt;0.2, "Least Performer")</f>
        <v>Medium Performer</v>
      </c>
    </row>
    <row r="275" spans="4:32" x14ac:dyDescent="0.25">
      <c r="D275" s="9" t="str">
        <v>P269</v>
      </c>
      <c r="E275" s="9">
        <v>0.22157421618066214</v>
      </c>
      <c r="G275" s="9" t="str">
        <v>P269</v>
      </c>
      <c r="H275" s="9" t="str">
        <v>Instagram</v>
      </c>
      <c r="I275" s="9">
        <v>45601</v>
      </c>
      <c r="J275" s="9" t="str">
        <v>Video</v>
      </c>
      <c r="K275" s="9" t="str">
        <v>Check out our latest video on instagram!</v>
      </c>
      <c r="L275" s="9">
        <v>4561</v>
      </c>
      <c r="M275" s="9">
        <v>51</v>
      </c>
      <c r="N275" s="9">
        <v>441</v>
      </c>
      <c r="O275" s="9">
        <v>22805</v>
      </c>
      <c r="P275" s="9">
        <v>21890</v>
      </c>
      <c r="Q275" s="9">
        <v>45</v>
      </c>
      <c r="X275" s="25" t="s">
        <v>292</v>
      </c>
      <c r="Y275" s="26" t="s">
        <v>32</v>
      </c>
      <c r="Z275" s="26">
        <v>177</v>
      </c>
      <c r="AD275" s="8" t="s">
        <v>6</v>
      </c>
      <c r="AE275" s="8">
        <v>0.11879910213243547</v>
      </c>
      <c r="AF275" s="9" t="str" cm="1">
        <f t="array" ref="AF275">_xlfn.IFS(AE275&gt;=0.4, "Top Performer",AE275&gt;=0.2,"Medium Performer",AE275&lt;0.2, "Least Performer")</f>
        <v>Least Performer</v>
      </c>
    </row>
    <row r="276" spans="4:32" x14ac:dyDescent="0.25">
      <c r="D276" s="9" t="str">
        <v>P270</v>
      </c>
      <c r="E276" s="9">
        <v>6.7103868574456813E-2</v>
      </c>
      <c r="G276" s="9" t="str">
        <v>P270</v>
      </c>
      <c r="H276" s="9" t="str">
        <v>YouTube</v>
      </c>
      <c r="I276" s="9">
        <v>45672</v>
      </c>
      <c r="J276" s="9" t="str">
        <v>Reel</v>
      </c>
      <c r="K276" s="9" t="str">
        <v>Check out our latest reel on youtube!</v>
      </c>
      <c r="L276" s="9">
        <v>3774</v>
      </c>
      <c r="M276" s="9">
        <v>239</v>
      </c>
      <c r="N276" s="9">
        <v>39</v>
      </c>
      <c r="O276" s="9">
        <v>60384</v>
      </c>
      <c r="P276" s="9">
        <v>59490</v>
      </c>
      <c r="Q276" s="9">
        <v>241</v>
      </c>
      <c r="X276" s="20" t="s">
        <v>293</v>
      </c>
      <c r="Y276" s="21" t="s">
        <v>6</v>
      </c>
      <c r="Z276" s="21">
        <v>160</v>
      </c>
      <c r="AD276" s="8" t="s">
        <v>32</v>
      </c>
      <c r="AE276" s="8">
        <v>0.11879910213243547</v>
      </c>
      <c r="AF276" s="9" t="str" cm="1">
        <f t="array" ref="AF276">_xlfn.IFS(AE276&gt;=0.4, "Top Performer",AE276&gt;=0.2,"Medium Performer",AE276&lt;0.2, "Least Performer")</f>
        <v>Least Performer</v>
      </c>
    </row>
    <row r="277" spans="4:32" x14ac:dyDescent="0.25">
      <c r="D277" s="9" t="str">
        <v>P271</v>
      </c>
      <c r="E277" s="9">
        <v>0.20675990675990677</v>
      </c>
      <c r="G277" s="9" t="str">
        <v>P271</v>
      </c>
      <c r="H277" s="9" t="str">
        <v>Instagram</v>
      </c>
      <c r="I277" s="9">
        <v>45582</v>
      </c>
      <c r="J277" s="9" t="str">
        <v>Video</v>
      </c>
      <c r="K277" s="9" t="str">
        <v>Check out our latest video on instagram!</v>
      </c>
      <c r="L277" s="9">
        <v>3575</v>
      </c>
      <c r="M277" s="9">
        <v>749</v>
      </c>
      <c r="N277" s="9">
        <v>111</v>
      </c>
      <c r="O277" s="9">
        <v>21450</v>
      </c>
      <c r="P277" s="9">
        <v>20785</v>
      </c>
      <c r="Q277" s="9">
        <v>195</v>
      </c>
      <c r="X277" s="25" t="s">
        <v>294</v>
      </c>
      <c r="Y277" s="26" t="s">
        <v>6</v>
      </c>
      <c r="Z277" s="26">
        <v>208</v>
      </c>
      <c r="AD277" s="8" t="s">
        <v>25</v>
      </c>
      <c r="AE277" s="8">
        <v>0.11879910213243547</v>
      </c>
      <c r="AF277" s="9" t="str" cm="1">
        <f t="array" ref="AF277">_xlfn.IFS(AE277&gt;=0.4, "Top Performer",AE277&gt;=0.2,"Medium Performer",AE277&lt;0.2, "Least Performer")</f>
        <v>Least Performer</v>
      </c>
    </row>
    <row r="278" spans="4:32" x14ac:dyDescent="0.25">
      <c r="D278" s="9" t="str">
        <v>P272</v>
      </c>
      <c r="E278" s="9">
        <v>0.14220299534507186</v>
      </c>
      <c r="G278" s="9" t="str">
        <v>P272</v>
      </c>
      <c r="H278" s="9" t="str">
        <v>Instagram</v>
      </c>
      <c r="I278" s="9">
        <v>45743</v>
      </c>
      <c r="J278" s="9" t="str">
        <v>Text</v>
      </c>
      <c r="K278" s="9" t="str">
        <v>Check out our latest text on instagram!</v>
      </c>
      <c r="L278" s="9">
        <v>4941</v>
      </c>
      <c r="M278" s="9">
        <v>414</v>
      </c>
      <c r="N278" s="9">
        <v>266</v>
      </c>
      <c r="O278" s="9">
        <v>39528</v>
      </c>
      <c r="P278" s="9">
        <v>39154</v>
      </c>
      <c r="Q278" s="9">
        <v>217</v>
      </c>
      <c r="X278" s="20" t="s">
        <v>294</v>
      </c>
      <c r="Y278" s="21" t="s">
        <v>32</v>
      </c>
      <c r="Z278" s="21">
        <v>208</v>
      </c>
      <c r="AD278" s="8" t="s">
        <v>32</v>
      </c>
      <c r="AE278" s="8">
        <v>0.26297968397291194</v>
      </c>
      <c r="AF278" s="9" t="str" cm="1">
        <f t="array" ref="AF278">_xlfn.IFS(AE278&gt;=0.4, "Top Performer",AE278&gt;=0.2,"Medium Performer",AE278&lt;0.2, "Least Performer")</f>
        <v>Medium Performer</v>
      </c>
    </row>
    <row r="279" spans="4:32" x14ac:dyDescent="0.25">
      <c r="D279" s="9" t="str">
        <v>P273</v>
      </c>
      <c r="E279" s="9">
        <v>9.7700431949264685E-2</v>
      </c>
      <c r="G279" s="9" t="str">
        <v>P273</v>
      </c>
      <c r="H279" s="9" t="str">
        <v>YouTube</v>
      </c>
      <c r="I279" s="9">
        <v>45577</v>
      </c>
      <c r="J279" s="9" t="str">
        <v>Story</v>
      </c>
      <c r="K279" s="9" t="str">
        <v>Check out our latest story on youtube!</v>
      </c>
      <c r="L279" s="9">
        <v>3641</v>
      </c>
      <c r="M279" s="9">
        <v>226</v>
      </c>
      <c r="N279" s="9">
        <v>46</v>
      </c>
      <c r="O279" s="9">
        <v>40051</v>
      </c>
      <c r="P279" s="9">
        <v>39319</v>
      </c>
      <c r="Q279" s="9">
        <v>296</v>
      </c>
      <c r="X279" s="25" t="s">
        <v>294</v>
      </c>
      <c r="Y279" s="26" t="s">
        <v>25</v>
      </c>
      <c r="Z279" s="26">
        <v>208</v>
      </c>
      <c r="AD279" s="8" t="s">
        <v>32</v>
      </c>
      <c r="AE279" s="8">
        <v>8.7733440816874911E-2</v>
      </c>
      <c r="AF279" s="9" t="str" cm="1">
        <f t="array" ref="AF279">_xlfn.IFS(AE279&gt;=0.4, "Top Performer",AE279&gt;=0.2,"Medium Performer",AE279&lt;0.2, "Least Performer")</f>
        <v>Least Performer</v>
      </c>
    </row>
    <row r="280" spans="4:32" x14ac:dyDescent="0.25">
      <c r="D280" s="9" t="str">
        <v>P274</v>
      </c>
      <c r="E280" s="9">
        <v>7.8849599245638849E-2</v>
      </c>
      <c r="G280" s="9" t="str">
        <v>P274</v>
      </c>
      <c r="H280" s="9" t="str">
        <v>Twitter</v>
      </c>
      <c r="I280" s="9">
        <v>45658</v>
      </c>
      <c r="J280" s="9" t="str">
        <v>Carousel</v>
      </c>
      <c r="K280" s="9" t="str">
        <v>Check out our latest carousel on twitter!</v>
      </c>
      <c r="L280" s="9">
        <v>3535</v>
      </c>
      <c r="M280" s="9">
        <v>494</v>
      </c>
      <c r="N280" s="9">
        <v>152</v>
      </c>
      <c r="O280" s="9">
        <v>53025</v>
      </c>
      <c r="P280" s="9">
        <v>52791</v>
      </c>
      <c r="Q280" s="9">
        <v>44</v>
      </c>
      <c r="X280" s="20" t="s">
        <v>295</v>
      </c>
      <c r="Y280" s="21" t="s">
        <v>32</v>
      </c>
      <c r="Z280" s="21">
        <v>212</v>
      </c>
      <c r="AD280" s="8" t="s">
        <v>6</v>
      </c>
      <c r="AE280" s="8">
        <v>7.3170731707317069E-2</v>
      </c>
      <c r="AF280" s="9" t="str" cm="1">
        <f t="array" ref="AF280">_xlfn.IFS(AE280&gt;=0.4, "Top Performer",AE280&gt;=0.2,"Medium Performer",AE280&lt;0.2, "Least Performer")</f>
        <v>Least Performer</v>
      </c>
    </row>
    <row r="281" spans="4:32" x14ac:dyDescent="0.25">
      <c r="D281" s="9" t="str">
        <v>P275</v>
      </c>
      <c r="E281" s="9">
        <v>0.16754738655944859</v>
      </c>
      <c r="G281" s="9" t="str">
        <v>P275</v>
      </c>
      <c r="H281" s="9" t="str">
        <v>Facebook</v>
      </c>
      <c r="I281" s="9">
        <v>45509</v>
      </c>
      <c r="J281" s="9" t="str">
        <v>Reel</v>
      </c>
      <c r="K281" s="9" t="str">
        <v>Check out our latest reel on facebook!</v>
      </c>
      <c r="L281" s="9">
        <v>1741</v>
      </c>
      <c r="M281" s="9">
        <v>831</v>
      </c>
      <c r="N281" s="9">
        <v>345</v>
      </c>
      <c r="O281" s="9">
        <v>17410</v>
      </c>
      <c r="P281" s="9">
        <v>16844</v>
      </c>
      <c r="Q281" s="9">
        <v>58</v>
      </c>
      <c r="X281" s="25" t="s">
        <v>296</v>
      </c>
      <c r="Y281" s="26" t="s">
        <v>32</v>
      </c>
      <c r="Z281" s="26">
        <v>254</v>
      </c>
      <c r="AD281" s="8" t="s">
        <v>6</v>
      </c>
      <c r="AE281" s="8">
        <v>0.11619462599854757</v>
      </c>
      <c r="AF281" s="9" t="str" cm="1">
        <f t="array" ref="AF281">_xlfn.IFS(AE281&gt;=0.4, "Top Performer",AE281&gt;=0.2,"Medium Performer",AE281&lt;0.2, "Least Performer")</f>
        <v>Least Performer</v>
      </c>
    </row>
    <row r="282" spans="4:32" x14ac:dyDescent="0.25">
      <c r="D282" s="9" t="str">
        <v>P276</v>
      </c>
      <c r="E282" s="9">
        <v>0.2015852613538989</v>
      </c>
      <c r="G282" s="9" t="str">
        <v>P276</v>
      </c>
      <c r="H282" s="9" t="str">
        <v>Twitter</v>
      </c>
      <c r="I282" s="9">
        <v>45450</v>
      </c>
      <c r="J282" s="9" t="str">
        <v>Carousel</v>
      </c>
      <c r="K282" s="9" t="str">
        <v>Check out our latest carousel on twitter!</v>
      </c>
      <c r="L282" s="9">
        <v>1556</v>
      </c>
      <c r="M282" s="9">
        <v>195</v>
      </c>
      <c r="N282" s="9">
        <v>131</v>
      </c>
      <c r="O282" s="9">
        <v>9336</v>
      </c>
      <c r="P282" s="9">
        <v>8875</v>
      </c>
      <c r="Q282" s="9">
        <v>137</v>
      </c>
      <c r="X282" s="20" t="s">
        <v>297</v>
      </c>
      <c r="Y282" s="21" t="s">
        <v>6</v>
      </c>
      <c r="Z282" s="21">
        <v>251</v>
      </c>
      <c r="AD282" s="8" t="s">
        <v>6</v>
      </c>
      <c r="AE282" s="8">
        <v>0.15761129727142173</v>
      </c>
      <c r="AF282" s="9" t="str" cm="1">
        <f t="array" ref="AF282">_xlfn.IFS(AE282&gt;=0.4, "Top Performer",AE282&gt;=0.2,"Medium Performer",AE282&lt;0.2, "Least Performer")</f>
        <v>Least Performer</v>
      </c>
    </row>
    <row r="283" spans="4:32" x14ac:dyDescent="0.25">
      <c r="D283" s="9" t="str">
        <v>P277</v>
      </c>
      <c r="E283" s="9">
        <v>0.24763928234183191</v>
      </c>
      <c r="G283" s="9" t="str">
        <v>P277</v>
      </c>
      <c r="H283" s="9" t="str">
        <v>Facebook</v>
      </c>
      <c r="I283" s="9">
        <v>45753</v>
      </c>
      <c r="J283" s="9" t="str">
        <v>Image</v>
      </c>
      <c r="K283" s="9" t="str">
        <v>Check out our latest image on facebook!</v>
      </c>
      <c r="L283" s="9">
        <v>4236</v>
      </c>
      <c r="M283" s="9">
        <v>711</v>
      </c>
      <c r="N283" s="9">
        <v>298</v>
      </c>
      <c r="O283" s="9">
        <v>21180</v>
      </c>
      <c r="P283" s="9">
        <v>20516</v>
      </c>
      <c r="Q283" s="9">
        <v>238</v>
      </c>
      <c r="X283" s="25" t="s">
        <v>298</v>
      </c>
      <c r="Y283" s="26" t="s">
        <v>6</v>
      </c>
      <c r="Z283" s="26">
        <v>189</v>
      </c>
      <c r="AD283" s="8" t="s">
        <v>32</v>
      </c>
      <c r="AE283" s="8">
        <v>8.6897539284772202E-2</v>
      </c>
      <c r="AF283" s="9" t="str" cm="1">
        <f t="array" ref="AF283">_xlfn.IFS(AE283&gt;=0.4, "Top Performer",AE283&gt;=0.2,"Medium Performer",AE283&lt;0.2, "Least Performer")</f>
        <v>Least Performer</v>
      </c>
    </row>
    <row r="284" spans="4:32" x14ac:dyDescent="0.25">
      <c r="D284" s="9" t="str">
        <v>P278</v>
      </c>
      <c r="E284" s="9">
        <v>0.11114018842096787</v>
      </c>
      <c r="G284" s="9" t="str">
        <v>P278</v>
      </c>
      <c r="H284" s="9" t="str">
        <v>Twitter</v>
      </c>
      <c r="I284" s="9">
        <v>45622</v>
      </c>
      <c r="J284" s="9" t="str">
        <v>Text</v>
      </c>
      <c r="K284" s="9" t="str">
        <v>Check out our latest text on twitter!</v>
      </c>
      <c r="L284" s="9">
        <v>4516</v>
      </c>
      <c r="M284" s="9">
        <v>836</v>
      </c>
      <c r="N284" s="9">
        <v>169</v>
      </c>
      <c r="O284" s="9">
        <v>49676</v>
      </c>
      <c r="P284" s="9">
        <v>49257</v>
      </c>
      <c r="Q284" s="9">
        <v>282</v>
      </c>
      <c r="X284" s="20" t="s">
        <v>299</v>
      </c>
      <c r="Y284" s="21" t="s">
        <v>6</v>
      </c>
      <c r="Z284" s="21">
        <v>64</v>
      </c>
      <c r="AD284" s="8" t="s">
        <v>6</v>
      </c>
      <c r="AE284" s="8">
        <v>0.13331166419019316</v>
      </c>
      <c r="AF284" s="9" t="str" cm="1">
        <f t="array" ref="AF284">_xlfn.IFS(AE284&gt;=0.4, "Top Performer",AE284&gt;=0.2,"Medium Performer",AE284&lt;0.2, "Least Performer")</f>
        <v>Least Performer</v>
      </c>
    </row>
    <row r="285" spans="4:32" x14ac:dyDescent="0.25">
      <c r="D285" s="9" t="str">
        <v>P279</v>
      </c>
      <c r="E285" s="9">
        <v>5.9928644240570844E-2</v>
      </c>
      <c r="G285" s="9" t="str">
        <v>P279</v>
      </c>
      <c r="H285" s="9" t="str">
        <v>YouTube</v>
      </c>
      <c r="I285" s="9">
        <v>45537</v>
      </c>
      <c r="J285" s="9" t="str">
        <v>Image</v>
      </c>
      <c r="K285" s="9" t="str">
        <v>Check out our latest image on youtube!</v>
      </c>
      <c r="L285" s="9">
        <v>4905</v>
      </c>
      <c r="M285" s="9">
        <v>845</v>
      </c>
      <c r="N285" s="9">
        <v>129</v>
      </c>
      <c r="O285" s="9">
        <v>98100</v>
      </c>
      <c r="P285" s="9">
        <v>97772</v>
      </c>
      <c r="Q285" s="9">
        <v>279</v>
      </c>
      <c r="X285" s="25" t="s">
        <v>300</v>
      </c>
      <c r="Y285" s="26" t="s">
        <v>32</v>
      </c>
      <c r="Z285" s="26">
        <v>205</v>
      </c>
      <c r="AD285" s="8" t="s">
        <v>6</v>
      </c>
      <c r="AE285" s="8">
        <v>0.11996283514733209</v>
      </c>
      <c r="AF285" s="9" t="str" cm="1">
        <f t="array" ref="AF285">_xlfn.IFS(AE285&gt;=0.4, "Top Performer",AE285&gt;=0.2,"Medium Performer",AE285&lt;0.2, "Least Performer")</f>
        <v>Least Performer</v>
      </c>
    </row>
    <row r="286" spans="4:32" x14ac:dyDescent="0.25">
      <c r="D286" s="9" t="str">
        <v>P280</v>
      </c>
      <c r="E286" s="9">
        <v>8.3274853801169585E-2</v>
      </c>
      <c r="G286" s="9" t="str">
        <v>P280</v>
      </c>
      <c r="H286" s="9" t="str">
        <v>YouTube</v>
      </c>
      <c r="I286" s="9">
        <v>45586</v>
      </c>
      <c r="J286" s="9" t="str">
        <v>Video</v>
      </c>
      <c r="K286" s="9" t="str">
        <v>Check out our latest video on youtube!</v>
      </c>
      <c r="L286" s="9">
        <v>4275</v>
      </c>
      <c r="M286" s="9">
        <v>680</v>
      </c>
      <c r="N286" s="9">
        <v>385</v>
      </c>
      <c r="O286" s="9">
        <v>64125</v>
      </c>
      <c r="P286" s="9">
        <v>63650</v>
      </c>
      <c r="Q286" s="9">
        <v>104</v>
      </c>
      <c r="X286" s="20" t="s">
        <v>301</v>
      </c>
      <c r="Y286" s="21" t="s">
        <v>6</v>
      </c>
      <c r="Z286" s="21">
        <v>224</v>
      </c>
      <c r="AD286" s="8" t="s">
        <v>32</v>
      </c>
      <c r="AE286" s="8">
        <v>5.7936488444630008E-2</v>
      </c>
      <c r="AF286" s="9" t="str" cm="1">
        <f t="array" ref="AF286">_xlfn.IFS(AE286&gt;=0.4, "Top Performer",AE286&gt;=0.2,"Medium Performer",AE286&lt;0.2, "Least Performer")</f>
        <v>Least Performer</v>
      </c>
    </row>
    <row r="287" spans="4:32" x14ac:dyDescent="0.25">
      <c r="D287" s="9" t="str">
        <v>P281</v>
      </c>
      <c r="E287" s="9">
        <v>6.3118551273952411E-2</v>
      </c>
      <c r="G287" s="9" t="str">
        <v>P281</v>
      </c>
      <c r="H287" s="9" t="str">
        <v>YouTube</v>
      </c>
      <c r="I287" s="9">
        <v>45738</v>
      </c>
      <c r="J287" s="9" t="str">
        <v>Image</v>
      </c>
      <c r="K287" s="9" t="str">
        <v>Check out our latest image on youtube!</v>
      </c>
      <c r="L287" s="9">
        <v>3166</v>
      </c>
      <c r="M287" s="9">
        <v>90</v>
      </c>
      <c r="N287" s="9">
        <v>341</v>
      </c>
      <c r="O287" s="9">
        <v>56988</v>
      </c>
      <c r="P287" s="9">
        <v>56125</v>
      </c>
      <c r="Q287" s="9">
        <v>135</v>
      </c>
      <c r="X287" s="25" t="s">
        <v>302</v>
      </c>
      <c r="Y287" s="26" t="s">
        <v>6</v>
      </c>
      <c r="Z287" s="26">
        <v>226</v>
      </c>
      <c r="AD287" s="8" t="s">
        <v>32</v>
      </c>
      <c r="AE287" s="8">
        <v>7.9915048543689318E-2</v>
      </c>
      <c r="AF287" s="9" t="str" cm="1">
        <f t="array" ref="AF287">_xlfn.IFS(AE287&gt;=0.4, "Top Performer",AE287&gt;=0.2,"Medium Performer",AE287&lt;0.2, "Least Performer")</f>
        <v>Least Performer</v>
      </c>
    </row>
    <row r="288" spans="4:32" x14ac:dyDescent="0.25">
      <c r="D288" s="9" t="str">
        <v>P282</v>
      </c>
      <c r="E288" s="9">
        <v>0.1071650124069479</v>
      </c>
      <c r="G288" s="9" t="str">
        <v>P282</v>
      </c>
      <c r="H288" s="9" t="str">
        <v>Instagram</v>
      </c>
      <c r="I288" s="9">
        <v>45568</v>
      </c>
      <c r="J288" s="9" t="str">
        <v>Video</v>
      </c>
      <c r="K288" s="9" t="str">
        <v>Check out our latest video on instagram!</v>
      </c>
      <c r="L288" s="9">
        <v>1488</v>
      </c>
      <c r="M288" s="9">
        <v>417</v>
      </c>
      <c r="N288" s="9">
        <v>168</v>
      </c>
      <c r="O288" s="9">
        <v>19344</v>
      </c>
      <c r="P288" s="9">
        <v>18395</v>
      </c>
      <c r="Q288" s="9">
        <v>30</v>
      </c>
      <c r="X288" s="20" t="s">
        <v>303</v>
      </c>
      <c r="Y288" s="21" t="s">
        <v>32</v>
      </c>
      <c r="Z288" s="21">
        <v>248</v>
      </c>
      <c r="AD288" s="8" t="s">
        <v>32</v>
      </c>
      <c r="AE288" s="8">
        <v>7.9915048543689318E-2</v>
      </c>
      <c r="AF288" s="9" t="str" cm="1">
        <f t="array" ref="AF288">_xlfn.IFS(AE288&gt;=0.4, "Top Performer",AE288&gt;=0.2,"Medium Performer",AE288&lt;0.2, "Least Performer")</f>
        <v>Least Performer</v>
      </c>
    </row>
    <row r="289" spans="4:32" x14ac:dyDescent="0.25">
      <c r="D289" s="9" t="str">
        <v>P283</v>
      </c>
      <c r="E289" s="9">
        <v>5.8243321401216137E-2</v>
      </c>
      <c r="G289" s="9" t="str">
        <v>P283</v>
      </c>
      <c r="H289" s="9" t="str">
        <v>Twitter</v>
      </c>
      <c r="I289" s="9">
        <v>45786</v>
      </c>
      <c r="J289" s="9" t="str">
        <v>Reel</v>
      </c>
      <c r="K289" s="9" t="str">
        <v>Check out our latest reel on twitter!</v>
      </c>
      <c r="L289" s="9">
        <v>3367</v>
      </c>
      <c r="M289" s="9">
        <v>302</v>
      </c>
      <c r="N289" s="9">
        <v>57</v>
      </c>
      <c r="O289" s="9">
        <v>63973</v>
      </c>
      <c r="P289" s="9">
        <v>63789</v>
      </c>
      <c r="Q289" s="9">
        <v>157</v>
      </c>
      <c r="X289" s="25" t="s">
        <v>304</v>
      </c>
      <c r="Y289" s="26" t="s">
        <v>32</v>
      </c>
      <c r="Z289" s="26">
        <v>25</v>
      </c>
      <c r="AD289" s="8" t="s">
        <v>25</v>
      </c>
      <c r="AE289" s="8">
        <v>7.9915048543689318E-2</v>
      </c>
      <c r="AF289" s="9" t="str" cm="1">
        <f t="array" ref="AF289">_xlfn.IFS(AE289&gt;=0.4, "Top Performer",AE289&gt;=0.2,"Medium Performer",AE289&lt;0.2, "Least Performer")</f>
        <v>Least Performer</v>
      </c>
    </row>
    <row r="290" spans="4:32" x14ac:dyDescent="0.25">
      <c r="D290" s="9" t="str">
        <v>P284</v>
      </c>
      <c r="E290" s="9">
        <v>0.11465952405480581</v>
      </c>
      <c r="G290" s="9" t="str">
        <v>P284</v>
      </c>
      <c r="H290" s="9" t="str">
        <v>Twitter</v>
      </c>
      <c r="I290" s="9">
        <v>45552</v>
      </c>
      <c r="J290" s="9" t="str">
        <v>Text</v>
      </c>
      <c r="K290" s="9" t="str">
        <v>Check out our latest text on twitter!</v>
      </c>
      <c r="L290" s="9">
        <v>571</v>
      </c>
      <c r="M290" s="9">
        <v>190</v>
      </c>
      <c r="N290" s="9">
        <v>352</v>
      </c>
      <c r="O290" s="9">
        <v>9707</v>
      </c>
      <c r="P290" s="9">
        <v>9418</v>
      </c>
      <c r="Q290" s="9">
        <v>231</v>
      </c>
      <c r="X290" s="20" t="s">
        <v>304</v>
      </c>
      <c r="Y290" s="21" t="s">
        <v>32</v>
      </c>
      <c r="Z290" s="21">
        <v>25</v>
      </c>
      <c r="AD290" s="8" t="s">
        <v>32</v>
      </c>
      <c r="AE290" s="8">
        <v>0.2023049153013052</v>
      </c>
      <c r="AF290" s="9" t="str" cm="1">
        <f t="array" ref="AF290">_xlfn.IFS(AE290&gt;=0.4, "Top Performer",AE290&gt;=0.2,"Medium Performer",AE290&lt;0.2, "Least Performer")</f>
        <v>Medium Performer</v>
      </c>
    </row>
    <row r="291" spans="4:32" x14ac:dyDescent="0.25">
      <c r="D291" s="9" t="str">
        <v>P285</v>
      </c>
      <c r="E291" s="9">
        <v>0.13517919809886983</v>
      </c>
      <c r="G291" s="9" t="str">
        <v>P285</v>
      </c>
      <c r="H291" s="9" t="str">
        <v>YouTube</v>
      </c>
      <c r="I291" s="9">
        <v>45491</v>
      </c>
      <c r="J291" s="9" t="str">
        <v>Text</v>
      </c>
      <c r="K291" s="9" t="str">
        <v>Check out our latest text on youtube!</v>
      </c>
      <c r="L291" s="9">
        <v>4021</v>
      </c>
      <c r="M291" s="9">
        <v>794</v>
      </c>
      <c r="N291" s="9">
        <v>77</v>
      </c>
      <c r="O291" s="9">
        <v>36189</v>
      </c>
      <c r="P291" s="9">
        <v>35505</v>
      </c>
      <c r="Q291" s="9">
        <v>174</v>
      </c>
      <c r="X291" s="25" t="s">
        <v>304</v>
      </c>
      <c r="Y291" s="26" t="s">
        <v>25</v>
      </c>
      <c r="Z291" s="26">
        <v>25</v>
      </c>
      <c r="AD291" s="8" t="s">
        <v>21</v>
      </c>
      <c r="AE291" s="8">
        <v>0.25771055753262156</v>
      </c>
      <c r="AF291" s="9" t="str" cm="1">
        <f t="array" ref="AF291">_xlfn.IFS(AE291&gt;=0.4, "Top Performer",AE291&gt;=0.2,"Medium Performer",AE291&lt;0.2, "Least Performer")</f>
        <v>Medium Performer</v>
      </c>
    </row>
    <row r="292" spans="4:32" x14ac:dyDescent="0.25">
      <c r="D292" s="9" t="str">
        <v>P286</v>
      </c>
      <c r="E292" s="9">
        <v>0.19484607062063539</v>
      </c>
      <c r="G292" s="9" t="str">
        <v>P286</v>
      </c>
      <c r="H292" s="9" t="str">
        <v>YouTube</v>
      </c>
      <c r="I292" s="9">
        <v>45560</v>
      </c>
      <c r="J292" s="9" t="str">
        <v>Video</v>
      </c>
      <c r="K292" s="9" t="str">
        <v>Check out our latest video on youtube!</v>
      </c>
      <c r="L292" s="9">
        <v>3389</v>
      </c>
      <c r="M292" s="9">
        <v>344</v>
      </c>
      <c r="N292" s="9">
        <v>229</v>
      </c>
      <c r="O292" s="9">
        <v>20334</v>
      </c>
      <c r="P292" s="9">
        <v>19443</v>
      </c>
      <c r="Q292" s="9">
        <v>228</v>
      </c>
      <c r="X292" s="20" t="s">
        <v>305</v>
      </c>
      <c r="Y292" s="21" t="s">
        <v>32</v>
      </c>
      <c r="Z292" s="21">
        <v>172</v>
      </c>
      <c r="AD292" s="8" t="s">
        <v>21</v>
      </c>
      <c r="AE292" s="8">
        <v>8.7752275425405618E-2</v>
      </c>
      <c r="AF292" s="9" t="str" cm="1">
        <f t="array" ref="AF292">_xlfn.IFS(AE292&gt;=0.4, "Top Performer",AE292&gt;=0.2,"Medium Performer",AE292&lt;0.2, "Least Performer")</f>
        <v>Least Performer</v>
      </c>
    </row>
    <row r="293" spans="4:32" x14ac:dyDescent="0.25">
      <c r="D293" s="9" t="str">
        <v>P287</v>
      </c>
      <c r="E293" s="9">
        <v>0.30126002290950743</v>
      </c>
      <c r="G293" s="9" t="str">
        <v>P287</v>
      </c>
      <c r="H293" s="9" t="str">
        <v>Instagram</v>
      </c>
      <c r="I293" s="9">
        <v>45519</v>
      </c>
      <c r="J293" s="9" t="str">
        <v>Reel</v>
      </c>
      <c r="K293" s="9" t="str">
        <v>Check out our latest reel on instagram!</v>
      </c>
      <c r="L293" s="9">
        <v>1164</v>
      </c>
      <c r="M293" s="9">
        <v>616</v>
      </c>
      <c r="N293" s="9">
        <v>324</v>
      </c>
      <c r="O293" s="9">
        <v>6984</v>
      </c>
      <c r="P293" s="9">
        <v>6636</v>
      </c>
      <c r="Q293" s="9">
        <v>82</v>
      </c>
      <c r="X293" s="25" t="s">
        <v>306</v>
      </c>
      <c r="Y293" s="26" t="s">
        <v>21</v>
      </c>
      <c r="Z293" s="26">
        <v>93</v>
      </c>
      <c r="AD293" s="8" t="s">
        <v>32</v>
      </c>
      <c r="AE293" s="8">
        <v>8.7752275425405618E-2</v>
      </c>
      <c r="AF293" s="9" t="str" cm="1">
        <f t="array" ref="AF293">_xlfn.IFS(AE293&gt;=0.4, "Top Performer",AE293&gt;=0.2,"Medium Performer",AE293&lt;0.2, "Least Performer")</f>
        <v>Least Performer</v>
      </c>
    </row>
    <row r="294" spans="4:32" x14ac:dyDescent="0.25">
      <c r="D294" s="9" t="str">
        <v>P288</v>
      </c>
      <c r="E294" s="9">
        <v>6.800325430032543E-2</v>
      </c>
      <c r="G294" s="9" t="str">
        <v>P288</v>
      </c>
      <c r="H294" s="9" t="str">
        <v>YouTube</v>
      </c>
      <c r="I294" s="9">
        <v>45764</v>
      </c>
      <c r="J294" s="9" t="str">
        <v>Carousel</v>
      </c>
      <c r="K294" s="9" t="str">
        <v>Check out our latest carousel on youtube!</v>
      </c>
      <c r="L294" s="9">
        <v>4780</v>
      </c>
      <c r="M294" s="9">
        <v>691</v>
      </c>
      <c r="N294" s="9">
        <v>380</v>
      </c>
      <c r="O294" s="9">
        <v>86040</v>
      </c>
      <c r="P294" s="9">
        <v>85743</v>
      </c>
      <c r="Q294" s="9">
        <v>262</v>
      </c>
      <c r="X294" s="20" t="s">
        <v>307</v>
      </c>
      <c r="Y294" s="21" t="s">
        <v>21</v>
      </c>
      <c r="Z294" s="21">
        <v>10</v>
      </c>
      <c r="AD294" s="8" t="s">
        <v>25</v>
      </c>
      <c r="AE294" s="8">
        <v>8.7752275425405618E-2</v>
      </c>
      <c r="AF294" s="9" t="str" cm="1">
        <f t="array" ref="AF294">_xlfn.IFS(AE294&gt;=0.4, "Top Performer",AE294&gt;=0.2,"Medium Performer",AE294&lt;0.2, "Least Performer")</f>
        <v>Least Performer</v>
      </c>
    </row>
    <row r="295" spans="4:32" x14ac:dyDescent="0.25">
      <c r="D295" s="9" t="str">
        <v>P289</v>
      </c>
      <c r="E295" s="9">
        <v>7.3018902217375503E-2</v>
      </c>
      <c r="G295" s="9" t="str">
        <v>P289</v>
      </c>
      <c r="H295" s="9" t="str">
        <v>Facebook</v>
      </c>
      <c r="I295" s="9">
        <v>45624</v>
      </c>
      <c r="J295" s="9" t="str">
        <v>Carousel</v>
      </c>
      <c r="K295" s="9" t="str">
        <v>Check out our latest carousel on facebook!</v>
      </c>
      <c r="L295" s="9">
        <v>2751</v>
      </c>
      <c r="M295" s="9">
        <v>33</v>
      </c>
      <c r="N295" s="9">
        <v>430</v>
      </c>
      <c r="O295" s="9">
        <v>44016</v>
      </c>
      <c r="P295" s="9">
        <v>43415</v>
      </c>
      <c r="Q295" s="9">
        <v>129</v>
      </c>
      <c r="X295" s="25" t="s">
        <v>307</v>
      </c>
      <c r="Y295" s="26" t="s">
        <v>32</v>
      </c>
      <c r="Z295" s="26">
        <v>10</v>
      </c>
      <c r="AD295" s="8" t="s">
        <v>32</v>
      </c>
      <c r="AE295" s="8">
        <v>8.2835359571399134E-2</v>
      </c>
      <c r="AF295" s="9" t="str" cm="1">
        <f t="array" ref="AF295">_xlfn.IFS(AE295&gt;=0.4, "Top Performer",AE295&gt;=0.2,"Medium Performer",AE295&lt;0.2, "Least Performer")</f>
        <v>Least Performer</v>
      </c>
    </row>
    <row r="296" spans="4:32" x14ac:dyDescent="0.25">
      <c r="D296" s="9" t="str">
        <v>P290</v>
      </c>
      <c r="E296" s="9">
        <v>8.3921940869371006E-2</v>
      </c>
      <c r="G296" s="9" t="str">
        <v>P290</v>
      </c>
      <c r="H296" s="9" t="str">
        <v>Instagram</v>
      </c>
      <c r="I296" s="9">
        <v>45646</v>
      </c>
      <c r="J296" s="9" t="str">
        <v>Carousel</v>
      </c>
      <c r="K296" s="9" t="str">
        <v>Check out our latest carousel on instagram!</v>
      </c>
      <c r="L296" s="9">
        <v>2107</v>
      </c>
      <c r="M296" s="9">
        <v>550</v>
      </c>
      <c r="N296" s="9">
        <v>349</v>
      </c>
      <c r="O296" s="9">
        <v>35819</v>
      </c>
      <c r="P296" s="9">
        <v>35340</v>
      </c>
      <c r="Q296" s="9">
        <v>191</v>
      </c>
      <c r="X296" s="20" t="s">
        <v>307</v>
      </c>
      <c r="Y296" s="21" t="s">
        <v>25</v>
      </c>
      <c r="Z296" s="21">
        <v>10</v>
      </c>
      <c r="AD296" s="8" t="s">
        <v>21</v>
      </c>
      <c r="AE296" s="8">
        <v>0.15339966832504145</v>
      </c>
      <c r="AF296" s="9" t="str" cm="1">
        <f t="array" ref="AF296">_xlfn.IFS(AE296&gt;=0.4, "Top Performer",AE296&gt;=0.2,"Medium Performer",AE296&lt;0.2, "Least Performer")</f>
        <v>Least Performer</v>
      </c>
    </row>
    <row r="297" spans="4:32" x14ac:dyDescent="0.25">
      <c r="D297" s="9" t="str">
        <v>P291</v>
      </c>
      <c r="E297" s="9">
        <v>7.1956537279290869E-2</v>
      </c>
      <c r="G297" s="9" t="str">
        <v>P291</v>
      </c>
      <c r="H297" s="9" t="str">
        <v>Facebook</v>
      </c>
      <c r="I297" s="9">
        <v>45602</v>
      </c>
      <c r="J297" s="9" t="str">
        <v>Video</v>
      </c>
      <c r="K297" s="9" t="str">
        <v>Check out our latest video on facebook!</v>
      </c>
      <c r="L297" s="9">
        <v>4663</v>
      </c>
      <c r="M297" s="9">
        <v>145</v>
      </c>
      <c r="N297" s="9">
        <v>225</v>
      </c>
      <c r="O297" s="9">
        <v>69945</v>
      </c>
      <c r="P297" s="9">
        <v>69596</v>
      </c>
      <c r="Q297" s="9">
        <v>35</v>
      </c>
      <c r="X297" s="25" t="s">
        <v>308</v>
      </c>
      <c r="Y297" s="26" t="s">
        <v>32</v>
      </c>
      <c r="Z297" s="26">
        <v>170</v>
      </c>
      <c r="AD297" s="8" t="s">
        <v>6</v>
      </c>
      <c r="AE297" s="8">
        <v>0.26876680752977333</v>
      </c>
      <c r="AF297" s="9" t="str" cm="1">
        <f t="array" ref="AF297">_xlfn.IFS(AE297&gt;=0.4, "Top Performer",AE297&gt;=0.2,"Medium Performer",AE297&lt;0.2, "Least Performer")</f>
        <v>Medium Performer</v>
      </c>
    </row>
    <row r="298" spans="4:32" x14ac:dyDescent="0.25">
      <c r="D298" s="9" t="str">
        <v>P292</v>
      </c>
      <c r="E298" s="9">
        <v>0.12353896103896105</v>
      </c>
      <c r="G298" s="9" t="str">
        <v>P292</v>
      </c>
      <c r="H298" s="9" t="str">
        <v>Facebook</v>
      </c>
      <c r="I298" s="9">
        <v>45613</v>
      </c>
      <c r="J298" s="9" t="str">
        <v>Text</v>
      </c>
      <c r="K298" s="9" t="str">
        <v>Check out our latest text on facebook!</v>
      </c>
      <c r="L298" s="9">
        <v>880</v>
      </c>
      <c r="M298" s="9">
        <v>297</v>
      </c>
      <c r="N298" s="9">
        <v>345</v>
      </c>
      <c r="O298" s="9">
        <v>12320</v>
      </c>
      <c r="P298" s="9">
        <v>11978</v>
      </c>
      <c r="Q298" s="9">
        <v>238</v>
      </c>
      <c r="X298" s="20" t="s">
        <v>309</v>
      </c>
      <c r="Y298" s="21" t="s">
        <v>21</v>
      </c>
      <c r="Z298" s="21">
        <v>237</v>
      </c>
      <c r="AD298" s="8" t="s">
        <v>21</v>
      </c>
      <c r="AE298" s="8">
        <v>0.53389830508474578</v>
      </c>
      <c r="AF298" s="9" t="str" cm="1">
        <f t="array" ref="AF298">_xlfn.IFS(AE298&gt;=0.4, "Top Performer",AE298&gt;=0.2,"Medium Performer",AE298&lt;0.2, "Least Performer")</f>
        <v>Top Performer</v>
      </c>
    </row>
    <row r="299" spans="4:32" x14ac:dyDescent="0.25">
      <c r="D299" s="9" t="str">
        <v>P293</v>
      </c>
      <c r="E299" s="9">
        <v>0.12428384068475185</v>
      </c>
      <c r="G299" s="9" t="str">
        <v>P293</v>
      </c>
      <c r="H299" s="9" t="str">
        <v>Facebook</v>
      </c>
      <c r="I299" s="9">
        <v>45791</v>
      </c>
      <c r="J299" s="9" t="str">
        <v>Text</v>
      </c>
      <c r="K299" s="9" t="str">
        <v>Check out our latest text on facebook!</v>
      </c>
      <c r="L299" s="9">
        <v>2634</v>
      </c>
      <c r="M299" s="9">
        <v>726</v>
      </c>
      <c r="N299" s="9">
        <v>241</v>
      </c>
      <c r="O299" s="9">
        <v>28974</v>
      </c>
      <c r="P299" s="9">
        <v>28102</v>
      </c>
      <c r="Q299" s="9">
        <v>277</v>
      </c>
      <c r="X299" s="25" t="s">
        <v>310</v>
      </c>
      <c r="Y299" s="26" t="s">
        <v>6</v>
      </c>
      <c r="Z299" s="26">
        <v>20</v>
      </c>
      <c r="AD299" s="8" t="s">
        <v>32</v>
      </c>
      <c r="AE299" s="8">
        <v>0.25279701651571657</v>
      </c>
      <c r="AF299" s="9" t="str" cm="1">
        <f t="array" ref="AF299">_xlfn.IFS(AE299&gt;=0.4, "Top Performer",AE299&gt;=0.2,"Medium Performer",AE299&lt;0.2, "Least Performer")</f>
        <v>Medium Performer</v>
      </c>
    </row>
    <row r="300" spans="4:32" x14ac:dyDescent="0.25">
      <c r="D300" s="9" t="str">
        <v>P294</v>
      </c>
      <c r="E300" s="9">
        <v>0.18248432325794406</v>
      </c>
      <c r="G300" s="9" t="str">
        <v>P294</v>
      </c>
      <c r="H300" s="9" t="str">
        <v>Facebook</v>
      </c>
      <c r="I300" s="9">
        <v>45462</v>
      </c>
      <c r="J300" s="9" t="str">
        <v>Carousel</v>
      </c>
      <c r="K300" s="9" t="str">
        <v>Check out our latest carousel on facebook!</v>
      </c>
      <c r="L300" s="9">
        <v>4731</v>
      </c>
      <c r="M300" s="9">
        <v>173</v>
      </c>
      <c r="N300" s="9">
        <v>276</v>
      </c>
      <c r="O300" s="9">
        <v>28386</v>
      </c>
      <c r="P300" s="9">
        <v>28185</v>
      </c>
      <c r="Q300" s="9">
        <v>89</v>
      </c>
      <c r="X300" s="20" t="s">
        <v>311</v>
      </c>
      <c r="Y300" s="21" t="s">
        <v>21</v>
      </c>
      <c r="Z300" s="21">
        <v>293</v>
      </c>
      <c r="AD300" s="8" t="s">
        <v>21</v>
      </c>
      <c r="AE300" s="8">
        <v>0.10086880280567512</v>
      </c>
      <c r="AF300" s="9" t="str" cm="1">
        <f t="array" ref="AF300">_xlfn.IFS(AE300&gt;=0.4, "Top Performer",AE300&gt;=0.2,"Medium Performer",AE300&lt;0.2, "Least Performer")</f>
        <v>Least Performer</v>
      </c>
    </row>
    <row r="301" spans="4:32" x14ac:dyDescent="0.25">
      <c r="D301" s="9" t="str">
        <v>P295</v>
      </c>
      <c r="E301" s="9">
        <v>0.16540727459016394</v>
      </c>
      <c r="G301" s="9" t="str">
        <v>P295</v>
      </c>
      <c r="H301" s="9" t="str">
        <v>Twitter</v>
      </c>
      <c r="I301" s="9">
        <v>45783</v>
      </c>
      <c r="J301" s="9" t="str">
        <v>Image</v>
      </c>
      <c r="K301" s="9" t="str">
        <v>Check out our latest image on twitter!</v>
      </c>
      <c r="L301" s="9">
        <v>1952</v>
      </c>
      <c r="M301" s="9">
        <v>344</v>
      </c>
      <c r="N301" s="9">
        <v>287</v>
      </c>
      <c r="O301" s="9">
        <v>15616</v>
      </c>
      <c r="P301" s="9">
        <v>15403</v>
      </c>
      <c r="Q301" s="9">
        <v>235</v>
      </c>
      <c r="X301" s="25" t="s">
        <v>312</v>
      </c>
      <c r="Y301" s="26" t="s">
        <v>32</v>
      </c>
      <c r="Z301" s="26">
        <v>41</v>
      </c>
      <c r="AD301" s="8" t="s">
        <v>6</v>
      </c>
      <c r="AE301" s="8">
        <v>6.3947934081681396E-2</v>
      </c>
      <c r="AF301" s="9" t="str" cm="1">
        <f t="array" ref="AF301">_xlfn.IFS(AE301&gt;=0.4, "Top Performer",AE301&gt;=0.2,"Medium Performer",AE301&lt;0.2, "Least Performer")</f>
        <v>Least Performer</v>
      </c>
    </row>
    <row r="302" spans="4:32" x14ac:dyDescent="0.25">
      <c r="D302" s="9" t="str">
        <v>P296</v>
      </c>
      <c r="E302" s="9">
        <v>5.9387824897400819E-2</v>
      </c>
      <c r="G302" s="9" t="str">
        <v>P296</v>
      </c>
      <c r="H302" s="9" t="str">
        <v>Twitter</v>
      </c>
      <c r="I302" s="9">
        <v>45699</v>
      </c>
      <c r="J302" s="9" t="str">
        <v>Video</v>
      </c>
      <c r="K302" s="9" t="str">
        <v>Check out our latest video on twitter!</v>
      </c>
      <c r="L302" s="9">
        <v>3440</v>
      </c>
      <c r="M302" s="9">
        <v>13</v>
      </c>
      <c r="N302" s="9">
        <v>20</v>
      </c>
      <c r="O302" s="9">
        <v>58480</v>
      </c>
      <c r="P302" s="9">
        <v>58146</v>
      </c>
      <c r="Q302" s="9">
        <v>210</v>
      </c>
      <c r="X302" s="20" t="s">
        <v>313</v>
      </c>
      <c r="Y302" s="21" t="s">
        <v>21</v>
      </c>
      <c r="Z302" s="21">
        <v>10</v>
      </c>
      <c r="AD302" s="8" t="s">
        <v>32</v>
      </c>
      <c r="AE302" s="8">
        <v>8.4062694239588759E-2</v>
      </c>
      <c r="AF302" s="9" t="str" cm="1">
        <f t="array" ref="AF302">_xlfn.IFS(AE302&gt;=0.4, "Top Performer",AE302&gt;=0.2,"Medium Performer",AE302&lt;0.2, "Least Performer")</f>
        <v>Least Performer</v>
      </c>
    </row>
    <row r="303" spans="4:32" x14ac:dyDescent="0.25">
      <c r="D303" s="9" t="str">
        <v>P297</v>
      </c>
      <c r="E303" s="9">
        <v>0.24349030470914126</v>
      </c>
      <c r="G303" s="9" t="str">
        <v>P297</v>
      </c>
      <c r="H303" s="9" t="str">
        <v>Twitter</v>
      </c>
      <c r="I303" s="9">
        <v>45650</v>
      </c>
      <c r="J303" s="9" t="str">
        <v>Text</v>
      </c>
      <c r="K303" s="9" t="str">
        <v>Check out our latest text on twitter!</v>
      </c>
      <c r="L303" s="9">
        <v>2166</v>
      </c>
      <c r="M303" s="9">
        <v>354</v>
      </c>
      <c r="N303" s="9">
        <v>117</v>
      </c>
      <c r="O303" s="9">
        <v>10830</v>
      </c>
      <c r="P303" s="9">
        <v>10245</v>
      </c>
      <c r="Q303" s="9">
        <v>24</v>
      </c>
      <c r="X303" s="25" t="s">
        <v>314</v>
      </c>
      <c r="Y303" s="26" t="s">
        <v>6</v>
      </c>
      <c r="Z303" s="26">
        <v>62</v>
      </c>
      <c r="AD303" s="8" t="s">
        <v>21</v>
      </c>
      <c r="AE303" s="8">
        <v>0.22157421618066214</v>
      </c>
      <c r="AF303" s="9" t="str" cm="1">
        <f t="array" ref="AF303">_xlfn.IFS(AE303&gt;=0.4, "Top Performer",AE303&gt;=0.2,"Medium Performer",AE303&lt;0.2, "Least Performer")</f>
        <v>Medium Performer</v>
      </c>
    </row>
    <row r="304" spans="4:32" x14ac:dyDescent="0.25">
      <c r="D304" s="9" t="str">
        <v>P298</v>
      </c>
      <c r="E304" s="9">
        <v>5.8563792702765516E-2</v>
      </c>
      <c r="G304" s="9" t="str">
        <v>P298</v>
      </c>
      <c r="H304" s="9" t="str">
        <v>Facebook</v>
      </c>
      <c r="I304" s="9">
        <v>45589</v>
      </c>
      <c r="J304" s="9" t="str">
        <v>Image</v>
      </c>
      <c r="K304" s="9" t="str">
        <v>Check out our latest image on facebook!</v>
      </c>
      <c r="L304" s="9">
        <v>4303</v>
      </c>
      <c r="M304" s="9">
        <v>451</v>
      </c>
      <c r="N304" s="9">
        <v>286</v>
      </c>
      <c r="O304" s="9">
        <v>86060</v>
      </c>
      <c r="P304" s="9">
        <v>85823</v>
      </c>
      <c r="Q304" s="9">
        <v>14</v>
      </c>
      <c r="X304" s="20" t="s">
        <v>315</v>
      </c>
      <c r="Y304" s="21" t="s">
        <v>32</v>
      </c>
      <c r="Z304" s="21">
        <v>269</v>
      </c>
      <c r="AD304" s="8" t="s">
        <v>21</v>
      </c>
      <c r="AE304" s="8">
        <v>6.7103868574456813E-2</v>
      </c>
      <c r="AF304" s="9" t="str" cm="1">
        <f t="array" ref="AF304">_xlfn.IFS(AE304&gt;=0.4, "Top Performer",AE304&gt;=0.2,"Medium Performer",AE304&lt;0.2, "Least Performer")</f>
        <v>Least Performer</v>
      </c>
    </row>
    <row r="305" spans="4:32" x14ac:dyDescent="0.25">
      <c r="D305" s="9" t="str">
        <v>P299</v>
      </c>
      <c r="E305" s="9">
        <v>0.13840458048129492</v>
      </c>
      <c r="G305" s="9" t="str">
        <v>P299</v>
      </c>
      <c r="H305" s="9" t="str">
        <v>Facebook</v>
      </c>
      <c r="I305" s="9">
        <v>45530</v>
      </c>
      <c r="J305" s="9" t="str">
        <v>Image</v>
      </c>
      <c r="K305" s="9" t="str">
        <v>Check out our latest image on facebook!</v>
      </c>
      <c r="L305" s="9">
        <v>2581</v>
      </c>
      <c r="M305" s="9">
        <v>517</v>
      </c>
      <c r="N305" s="9">
        <v>117</v>
      </c>
      <c r="O305" s="9">
        <v>23229</v>
      </c>
      <c r="P305" s="9">
        <v>22331</v>
      </c>
      <c r="Q305" s="9">
        <v>70</v>
      </c>
      <c r="X305" s="25" t="s">
        <v>316</v>
      </c>
      <c r="Y305" s="26" t="s">
        <v>21</v>
      </c>
      <c r="Z305" s="26">
        <v>45</v>
      </c>
      <c r="AD305" s="8" t="s">
        <v>32</v>
      </c>
      <c r="AE305" s="8">
        <v>0.20675990675990677</v>
      </c>
      <c r="AF305" s="9" t="str" cm="1">
        <f t="array" ref="AF305">_xlfn.IFS(AE305&gt;=0.4, "Top Performer",AE305&gt;=0.2,"Medium Performer",AE305&lt;0.2, "Least Performer")</f>
        <v>Medium Performer</v>
      </c>
    </row>
    <row r="306" spans="4:32" x14ac:dyDescent="0.25">
      <c r="D306" s="9" t="str">
        <v>P300</v>
      </c>
      <c r="E306" s="9">
        <v>8.3539958039290485E-2</v>
      </c>
      <c r="G306" s="9" t="str">
        <v>P300</v>
      </c>
      <c r="H306" s="9" t="str">
        <v>Twitter</v>
      </c>
      <c r="I306" s="9">
        <v>45535</v>
      </c>
      <c r="J306" s="9" t="str">
        <v>Carousel</v>
      </c>
      <c r="K306" s="9" t="str">
        <v>Check out our latest carousel on twitter!</v>
      </c>
      <c r="L306" s="9">
        <v>4494</v>
      </c>
      <c r="M306" s="9">
        <v>717</v>
      </c>
      <c r="N306" s="9">
        <v>45</v>
      </c>
      <c r="O306" s="9">
        <v>62916</v>
      </c>
      <c r="P306" s="9">
        <v>62688</v>
      </c>
      <c r="Q306" s="9">
        <v>191</v>
      </c>
      <c r="X306" s="20" t="s">
        <v>317</v>
      </c>
      <c r="Y306" s="21" t="s">
        <v>21</v>
      </c>
      <c r="Z306" s="21">
        <v>241</v>
      </c>
      <c r="AD306" s="8" t="s">
        <v>21</v>
      </c>
      <c r="AE306" s="8">
        <v>0.14220299534507186</v>
      </c>
      <c r="AF306" s="9" t="str" cm="1">
        <f t="array" ref="AF306">_xlfn.IFS(AE306&gt;=0.4, "Top Performer",AE306&gt;=0.2,"Medium Performer",AE306&lt;0.2, "Least Performer")</f>
        <v>Least Performer</v>
      </c>
    </row>
    <row r="307" spans="4:32" x14ac:dyDescent="0.25">
      <c r="D307">
        <v>0</v>
      </c>
      <c r="E307">
        <v>0</v>
      </c>
      <c r="X307" s="25" t="s">
        <v>318</v>
      </c>
      <c r="Y307" s="26" t="s">
        <v>32</v>
      </c>
      <c r="Z307" s="26">
        <v>195</v>
      </c>
      <c r="AD307" s="8" t="s">
        <v>32</v>
      </c>
      <c r="AE307" s="8">
        <v>9.7700431949264685E-2</v>
      </c>
      <c r="AF307" s="9" t="str" cm="1">
        <f t="array" ref="AF307">_xlfn.IFS(AE307&gt;=0.4, "Top Performer",AE307&gt;=0.2,"Medium Performer",AE307&lt;0.2, "Least Performer")</f>
        <v>Least Performer</v>
      </c>
    </row>
    <row r="308" spans="4:32" x14ac:dyDescent="0.25">
      <c r="X308" s="20" t="s">
        <v>319</v>
      </c>
      <c r="Y308" s="21" t="s">
        <v>21</v>
      </c>
      <c r="Z308" s="21">
        <v>217</v>
      </c>
      <c r="AD308" s="8" t="s">
        <v>21</v>
      </c>
      <c r="AE308" s="8">
        <v>7.8849599245638849E-2</v>
      </c>
      <c r="AF308" s="9" t="str" cm="1">
        <f t="array" ref="AF308">_xlfn.IFS(AE308&gt;=0.4, "Top Performer",AE308&gt;=0.2,"Medium Performer",AE308&lt;0.2, "Least Performer")</f>
        <v>Least Performer</v>
      </c>
    </row>
    <row r="309" spans="4:32" x14ac:dyDescent="0.25">
      <c r="X309" s="25" t="s">
        <v>320</v>
      </c>
      <c r="Y309" s="26" t="s">
        <v>32</v>
      </c>
      <c r="Z309" s="26">
        <v>296</v>
      </c>
      <c r="AD309" s="8" t="s">
        <v>32</v>
      </c>
      <c r="AE309" s="8">
        <v>0.16754738655944859</v>
      </c>
      <c r="AF309" s="9" t="str" cm="1">
        <f t="array" ref="AF309">_xlfn.IFS(AE309&gt;=0.4, "Top Performer",AE309&gt;=0.2,"Medium Performer",AE309&lt;0.2, "Least Performer")</f>
        <v>Least Performer</v>
      </c>
    </row>
    <row r="310" spans="4:32" x14ac:dyDescent="0.25">
      <c r="X310" s="20" t="s">
        <v>321</v>
      </c>
      <c r="Y310" s="21" t="s">
        <v>21</v>
      </c>
      <c r="Z310" s="21">
        <v>44</v>
      </c>
      <c r="AD310" s="8" t="s">
        <v>21</v>
      </c>
      <c r="AE310" s="8">
        <v>0.2015852613538989</v>
      </c>
      <c r="AF310" s="9" t="str" cm="1">
        <f t="array" ref="AF310">_xlfn.IFS(AE310&gt;=0.4, "Top Performer",AE310&gt;=0.2,"Medium Performer",AE310&lt;0.2, "Least Performer")</f>
        <v>Medium Performer</v>
      </c>
    </row>
    <row r="311" spans="4:32" x14ac:dyDescent="0.25">
      <c r="X311" s="25" t="s">
        <v>322</v>
      </c>
      <c r="Y311" s="26" t="s">
        <v>32</v>
      </c>
      <c r="Z311" s="26">
        <v>58</v>
      </c>
      <c r="AD311" s="8" t="s">
        <v>6</v>
      </c>
      <c r="AE311" s="8">
        <v>0.24763928234183191</v>
      </c>
      <c r="AF311" s="9" t="str" cm="1">
        <f t="array" ref="AF311">_xlfn.IFS(AE311&gt;=0.4, "Top Performer",AE311&gt;=0.2,"Medium Performer",AE311&lt;0.2, "Least Performer")</f>
        <v>Medium Performer</v>
      </c>
    </row>
    <row r="312" spans="4:32" x14ac:dyDescent="0.25">
      <c r="X312" s="20" t="s">
        <v>323</v>
      </c>
      <c r="Y312" s="21" t="s">
        <v>21</v>
      </c>
      <c r="Z312" s="21">
        <v>137</v>
      </c>
      <c r="AD312" s="8" t="s">
        <v>32</v>
      </c>
      <c r="AE312" s="8">
        <v>0.11114018842096787</v>
      </c>
      <c r="AF312" s="9" t="str" cm="1">
        <f t="array" ref="AF312">_xlfn.IFS(AE312&gt;=0.4, "Top Performer",AE312&gt;=0.2,"Medium Performer",AE312&lt;0.2, "Least Performer")</f>
        <v>Least Performer</v>
      </c>
    </row>
    <row r="313" spans="4:32" x14ac:dyDescent="0.25">
      <c r="X313" s="25" t="s">
        <v>324</v>
      </c>
      <c r="Y313" s="26" t="s">
        <v>6</v>
      </c>
      <c r="Z313" s="26">
        <v>238</v>
      </c>
      <c r="AD313" s="8" t="s">
        <v>21</v>
      </c>
      <c r="AE313" s="8">
        <v>5.9928644240570844E-2</v>
      </c>
      <c r="AF313" s="9" t="str" cm="1">
        <f t="array" ref="AF313">_xlfn.IFS(AE313&gt;=0.4, "Top Performer",AE313&gt;=0.2,"Medium Performer",AE313&lt;0.2, "Least Performer")</f>
        <v>Least Performer</v>
      </c>
    </row>
    <row r="314" spans="4:32" x14ac:dyDescent="0.25">
      <c r="X314" s="20" t="s">
        <v>325</v>
      </c>
      <c r="Y314" s="21" t="s">
        <v>32</v>
      </c>
      <c r="Z314" s="21">
        <v>282</v>
      </c>
      <c r="AD314" s="8" t="s">
        <v>32</v>
      </c>
      <c r="AE314" s="8">
        <v>8.3274853801169585E-2</v>
      </c>
      <c r="AF314" s="9" t="str" cm="1">
        <f t="array" ref="AF314">_xlfn.IFS(AE314&gt;=0.4, "Top Performer",AE314&gt;=0.2,"Medium Performer",AE314&lt;0.2, "Least Performer")</f>
        <v>Least Performer</v>
      </c>
    </row>
    <row r="315" spans="4:32" x14ac:dyDescent="0.25">
      <c r="X315" s="25" t="s">
        <v>326</v>
      </c>
      <c r="Y315" s="26" t="s">
        <v>21</v>
      </c>
      <c r="Z315" s="26">
        <v>279</v>
      </c>
      <c r="AD315" s="8" t="s">
        <v>21</v>
      </c>
      <c r="AE315" s="8">
        <v>8.3274853801169585E-2</v>
      </c>
      <c r="AF315" s="9" t="str" cm="1">
        <f t="array" ref="AF315">_xlfn.IFS(AE315&gt;=0.4, "Top Performer",AE315&gt;=0.2,"Medium Performer",AE315&lt;0.2, "Least Performer")</f>
        <v>Least Performer</v>
      </c>
    </row>
    <row r="316" spans="4:32" x14ac:dyDescent="0.25">
      <c r="X316" s="20" t="s">
        <v>61</v>
      </c>
      <c r="Y316" s="21" t="s">
        <v>32</v>
      </c>
      <c r="Z316" s="21">
        <v>104</v>
      </c>
      <c r="AD316" s="8" t="s">
        <v>5</v>
      </c>
      <c r="AE316" s="8">
        <v>8.3274853801169585E-2</v>
      </c>
      <c r="AF316" s="9" t="str" cm="1">
        <f t="array" ref="AF316">_xlfn.IFS(AE316&gt;=0.4, "Top Performer",AE316&gt;=0.2,"Medium Performer",AE316&lt;0.2, "Least Performer")</f>
        <v>Least Performer</v>
      </c>
    </row>
    <row r="317" spans="4:32" x14ac:dyDescent="0.25">
      <c r="X317" s="25" t="s">
        <v>61</v>
      </c>
      <c r="Y317" s="26" t="s">
        <v>21</v>
      </c>
      <c r="Z317" s="26">
        <v>104</v>
      </c>
      <c r="AD317" s="8" t="s">
        <v>32</v>
      </c>
      <c r="AE317" s="8">
        <v>6.3118551273952411E-2</v>
      </c>
      <c r="AF317" s="9" t="str" cm="1">
        <f t="array" ref="AF317">_xlfn.IFS(AE317&gt;=0.4, "Top Performer",AE317&gt;=0.2,"Medium Performer",AE317&lt;0.2, "Least Performer")</f>
        <v>Least Performer</v>
      </c>
    </row>
    <row r="318" spans="4:32" x14ac:dyDescent="0.25">
      <c r="X318" s="20" t="s">
        <v>61</v>
      </c>
      <c r="Y318" s="21" t="s">
        <v>5</v>
      </c>
      <c r="Z318" s="21">
        <v>104</v>
      </c>
      <c r="AD318" s="8" t="s">
        <v>6</v>
      </c>
      <c r="AE318" s="8">
        <v>0.1071650124069479</v>
      </c>
      <c r="AF318" s="9" t="str" cm="1">
        <f t="array" ref="AF318">_xlfn.IFS(AE318&gt;=0.4, "Top Performer",AE318&gt;=0.2,"Medium Performer",AE318&lt;0.2, "Least Performer")</f>
        <v>Least Performer</v>
      </c>
    </row>
    <row r="319" spans="4:32" x14ac:dyDescent="0.25">
      <c r="X319" s="25" t="s">
        <v>327</v>
      </c>
      <c r="Y319" s="26" t="s">
        <v>32</v>
      </c>
      <c r="Z319" s="26">
        <v>135</v>
      </c>
      <c r="AD319" s="8" t="s">
        <v>6</v>
      </c>
      <c r="AE319" s="8">
        <v>5.8243321401216137E-2</v>
      </c>
      <c r="AF319" s="9" t="str" cm="1">
        <f t="array" ref="AF319">_xlfn.IFS(AE319&gt;=0.4, "Top Performer",AE319&gt;=0.2,"Medium Performer",AE319&lt;0.2, "Least Performer")</f>
        <v>Least Performer</v>
      </c>
    </row>
    <row r="320" spans="4:32" x14ac:dyDescent="0.25">
      <c r="X320" s="20" t="s">
        <v>328</v>
      </c>
      <c r="Y320" s="21" t="s">
        <v>6</v>
      </c>
      <c r="Z320" s="21">
        <v>30</v>
      </c>
      <c r="AD320" s="8" t="s">
        <v>21</v>
      </c>
      <c r="AE320" s="8">
        <v>0.11465952405480581</v>
      </c>
      <c r="AF320" s="9" t="str" cm="1">
        <f t="array" ref="AF320">_xlfn.IFS(AE320&gt;=0.4, "Top Performer",AE320&gt;=0.2,"Medium Performer",AE320&lt;0.2, "Least Performer")</f>
        <v>Least Performer</v>
      </c>
    </row>
    <row r="321" spans="24:32" x14ac:dyDescent="0.25">
      <c r="X321" s="25" t="s">
        <v>329</v>
      </c>
      <c r="Y321" s="26" t="s">
        <v>6</v>
      </c>
      <c r="Z321" s="26">
        <v>157</v>
      </c>
      <c r="AD321" s="8" t="s">
        <v>32</v>
      </c>
      <c r="AE321" s="8">
        <v>0.13517919809886983</v>
      </c>
      <c r="AF321" s="9" t="str" cm="1">
        <f t="array" ref="AF321">_xlfn.IFS(AE321&gt;=0.4, "Top Performer",AE321&gt;=0.2,"Medium Performer",AE321&lt;0.2, "Least Performer")</f>
        <v>Least Performer</v>
      </c>
    </row>
    <row r="322" spans="24:32" x14ac:dyDescent="0.25">
      <c r="X322" s="20" t="s">
        <v>330</v>
      </c>
      <c r="Y322" s="21" t="s">
        <v>21</v>
      </c>
      <c r="Z322" s="21">
        <v>231</v>
      </c>
      <c r="AD322" s="8" t="s">
        <v>6</v>
      </c>
      <c r="AE322" s="8">
        <v>0.19484607062063539</v>
      </c>
      <c r="AF322" s="9" t="str" cm="1">
        <f t="array" ref="AF322">_xlfn.IFS(AE322&gt;=0.4, "Top Performer",AE322&gt;=0.2,"Medium Performer",AE322&lt;0.2, "Least Performer")</f>
        <v>Least Performer</v>
      </c>
    </row>
    <row r="323" spans="24:32" x14ac:dyDescent="0.25">
      <c r="X323" s="25" t="s">
        <v>331</v>
      </c>
      <c r="Y323" s="26" t="s">
        <v>32</v>
      </c>
      <c r="Z323" s="26">
        <v>174</v>
      </c>
      <c r="AD323" s="8" t="s">
        <v>32</v>
      </c>
      <c r="AE323" s="8">
        <v>0.30126002290950743</v>
      </c>
      <c r="AF323" s="9" t="str" cm="1">
        <f t="array" ref="AF323">_xlfn.IFS(AE323&gt;=0.4, "Top Performer",AE323&gt;=0.2,"Medium Performer",AE323&lt;0.2, "Least Performer")</f>
        <v>Medium Performer</v>
      </c>
    </row>
    <row r="324" spans="24:32" x14ac:dyDescent="0.25">
      <c r="X324" s="20" t="s">
        <v>332</v>
      </c>
      <c r="Y324" s="21" t="s">
        <v>6</v>
      </c>
      <c r="Z324" s="21">
        <v>228</v>
      </c>
      <c r="AD324" s="8" t="s">
        <v>6</v>
      </c>
      <c r="AE324" s="8">
        <v>6.800325430032543E-2</v>
      </c>
      <c r="AF324" s="9" t="str" cm="1">
        <f t="array" ref="AF324">_xlfn.IFS(AE324&gt;=0.4, "Top Performer",AE324&gt;=0.2,"Medium Performer",AE324&lt;0.2, "Least Performer")</f>
        <v>Least Performer</v>
      </c>
    </row>
    <row r="325" spans="24:32" x14ac:dyDescent="0.25">
      <c r="X325" s="25" t="s">
        <v>333</v>
      </c>
      <c r="Y325" s="26" t="s">
        <v>32</v>
      </c>
      <c r="Z325" s="26">
        <v>82</v>
      </c>
      <c r="AD325" s="8" t="s">
        <v>6</v>
      </c>
      <c r="AE325" s="8">
        <v>7.3018902217375503E-2</v>
      </c>
      <c r="AF325" s="9" t="str" cm="1">
        <f t="array" ref="AF325">_xlfn.IFS(AE325&gt;=0.4, "Top Performer",AE325&gt;=0.2,"Medium Performer",AE325&lt;0.2, "Least Performer")</f>
        <v>Least Performer</v>
      </c>
    </row>
    <row r="326" spans="24:32" x14ac:dyDescent="0.25">
      <c r="X326" s="20" t="s">
        <v>334</v>
      </c>
      <c r="Y326" s="21" t="s">
        <v>6</v>
      </c>
      <c r="Z326" s="21">
        <v>262</v>
      </c>
      <c r="AD326" s="8" t="s">
        <v>32</v>
      </c>
      <c r="AE326" s="8">
        <v>8.3921940869371006E-2</v>
      </c>
      <c r="AF326" s="9" t="str" cm="1">
        <f t="array" ref="AF326">_xlfn.IFS(AE326&gt;=0.4, "Top Performer",AE326&gt;=0.2,"Medium Performer",AE326&lt;0.2, "Least Performer")</f>
        <v>Least Performer</v>
      </c>
    </row>
    <row r="327" spans="24:32" x14ac:dyDescent="0.25">
      <c r="X327" s="25" t="s">
        <v>335</v>
      </c>
      <c r="Y327" s="26" t="s">
        <v>6</v>
      </c>
      <c r="Z327" s="26">
        <v>129</v>
      </c>
      <c r="AD327" s="8" t="s">
        <v>32</v>
      </c>
      <c r="AE327" s="8">
        <v>7.1956537279290869E-2</v>
      </c>
      <c r="AF327" s="9" t="str" cm="1">
        <f t="array" ref="AF327">_xlfn.IFS(AE327&gt;=0.4, "Top Performer",AE327&gt;=0.2,"Medium Performer",AE327&lt;0.2, "Least Performer")</f>
        <v>Least Performer</v>
      </c>
    </row>
    <row r="328" spans="24:32" x14ac:dyDescent="0.25">
      <c r="X328" s="20" t="s">
        <v>336</v>
      </c>
      <c r="Y328" s="21" t="s">
        <v>32</v>
      </c>
      <c r="Z328" s="21">
        <v>191</v>
      </c>
      <c r="AD328" s="8" t="s">
        <v>21</v>
      </c>
      <c r="AE328" s="8">
        <v>0.12353896103896105</v>
      </c>
      <c r="AF328" s="9" t="str" cm="1">
        <f t="array" ref="AF328">_xlfn.IFS(AE328&gt;=0.4, "Top Performer",AE328&gt;=0.2,"Medium Performer",AE328&lt;0.2, "Least Performer")</f>
        <v>Least Performer</v>
      </c>
    </row>
    <row r="329" spans="24:32" x14ac:dyDescent="0.25">
      <c r="X329" s="25" t="s">
        <v>337</v>
      </c>
      <c r="Y329" s="26" t="s">
        <v>32</v>
      </c>
      <c r="Z329" s="26">
        <v>35</v>
      </c>
      <c r="AD329" s="8" t="s">
        <v>5</v>
      </c>
      <c r="AE329" s="8">
        <v>0.12353896103896105</v>
      </c>
      <c r="AF329" s="9" t="str" cm="1">
        <f t="array" ref="AF329">_xlfn.IFS(AE329&gt;=0.4, "Top Performer",AE329&gt;=0.2,"Medium Performer",AE329&lt;0.2, "Least Performer")</f>
        <v>Least Performer</v>
      </c>
    </row>
    <row r="330" spans="24:32" x14ac:dyDescent="0.25">
      <c r="X330" s="20" t="s">
        <v>65</v>
      </c>
      <c r="Y330" s="21" t="s">
        <v>21</v>
      </c>
      <c r="Z330" s="21">
        <v>238</v>
      </c>
      <c r="AD330" s="8" t="s">
        <v>32</v>
      </c>
      <c r="AE330" s="8">
        <v>0.12428384068475185</v>
      </c>
      <c r="AF330" s="9" t="str" cm="1">
        <f t="array" ref="AF330">_xlfn.IFS(AE330&gt;=0.4, "Top Performer",AE330&gt;=0.2,"Medium Performer",AE330&lt;0.2, "Least Performer")</f>
        <v>Least Performer</v>
      </c>
    </row>
    <row r="331" spans="24:32" x14ac:dyDescent="0.25">
      <c r="X331" s="25" t="s">
        <v>65</v>
      </c>
      <c r="Y331" s="26" t="s">
        <v>5</v>
      </c>
      <c r="Z331" s="26">
        <v>238</v>
      </c>
      <c r="AD331" s="8" t="s">
        <v>32</v>
      </c>
      <c r="AE331" s="8">
        <v>0.18248432325794406</v>
      </c>
      <c r="AF331" s="9" t="str" cm="1">
        <f t="array" ref="AF331">_xlfn.IFS(AE331&gt;=0.4, "Top Performer",AE331&gt;=0.2,"Medium Performer",AE331&lt;0.2, "Least Performer")</f>
        <v>Least Performer</v>
      </c>
    </row>
    <row r="332" spans="24:32" x14ac:dyDescent="0.25">
      <c r="X332" s="20" t="s">
        <v>338</v>
      </c>
      <c r="Y332" s="21" t="s">
        <v>32</v>
      </c>
      <c r="Z332" s="21">
        <v>277</v>
      </c>
      <c r="AD332" s="8" t="s">
        <v>6</v>
      </c>
      <c r="AE332" s="8">
        <v>0.16540727459016394</v>
      </c>
      <c r="AF332" s="9" t="str" cm="1">
        <f t="array" ref="AF332">_xlfn.IFS(AE332&gt;=0.4, "Top Performer",AE332&gt;=0.2,"Medium Performer",AE332&lt;0.2, "Least Performer")</f>
        <v>Least Performer</v>
      </c>
    </row>
    <row r="333" spans="24:32" x14ac:dyDescent="0.25">
      <c r="X333" s="25" t="s">
        <v>339</v>
      </c>
      <c r="Y333" s="26" t="s">
        <v>32</v>
      </c>
      <c r="Z333" s="26">
        <v>89</v>
      </c>
      <c r="AD333" s="8" t="s">
        <v>21</v>
      </c>
      <c r="AE333" s="8">
        <v>0.16540727459016394</v>
      </c>
      <c r="AF333" s="9" t="str" cm="1">
        <f t="array" ref="AF333">_xlfn.IFS(AE333&gt;=0.4, "Top Performer",AE333&gt;=0.2,"Medium Performer",AE333&lt;0.2, "Least Performer")</f>
        <v>Least Performer</v>
      </c>
    </row>
    <row r="334" spans="24:32" x14ac:dyDescent="0.25">
      <c r="X334" s="20" t="s">
        <v>68</v>
      </c>
      <c r="Y334" s="21" t="s">
        <v>6</v>
      </c>
      <c r="Z334" s="21">
        <v>235</v>
      </c>
      <c r="AD334" s="8" t="s">
        <v>5</v>
      </c>
      <c r="AE334" s="8">
        <v>0.16540727459016394</v>
      </c>
      <c r="AF334" s="9" t="str" cm="1">
        <f t="array" ref="AF334">_xlfn.IFS(AE334&gt;=0.4, "Top Performer",AE334&gt;=0.2,"Medium Performer",AE334&lt;0.2, "Least Performer")</f>
        <v>Least Performer</v>
      </c>
    </row>
    <row r="335" spans="24:32" x14ac:dyDescent="0.25">
      <c r="X335" s="25" t="s">
        <v>68</v>
      </c>
      <c r="Y335" s="26" t="s">
        <v>21</v>
      </c>
      <c r="Z335" s="26">
        <v>235</v>
      </c>
      <c r="AD335" s="8" t="s">
        <v>21</v>
      </c>
      <c r="AE335" s="8">
        <v>5.9387824897400819E-2</v>
      </c>
      <c r="AF335" s="9" t="str" cm="1">
        <f t="array" ref="AF335">_xlfn.IFS(AE335&gt;=0.4, "Top Performer",AE335&gt;=0.2,"Medium Performer",AE335&lt;0.2, "Least Performer")</f>
        <v>Least Performer</v>
      </c>
    </row>
    <row r="336" spans="24:32" x14ac:dyDescent="0.25">
      <c r="X336" s="20" t="s">
        <v>68</v>
      </c>
      <c r="Y336" s="21" t="s">
        <v>5</v>
      </c>
      <c r="Z336" s="21">
        <v>235</v>
      </c>
      <c r="AD336" s="8" t="s">
        <v>39</v>
      </c>
      <c r="AE336" s="8">
        <v>5.9387824897400819E-2</v>
      </c>
      <c r="AF336" s="9" t="str" cm="1">
        <f t="array" ref="AF336">_xlfn.IFS(AE336&gt;=0.4, "Top Performer",AE336&gt;=0.2,"Medium Performer",AE336&lt;0.2, "Least Performer")</f>
        <v>Least Performer</v>
      </c>
    </row>
    <row r="337" spans="24:32" x14ac:dyDescent="0.25">
      <c r="X337" s="25" t="s">
        <v>340</v>
      </c>
      <c r="Y337" s="26" t="s">
        <v>21</v>
      </c>
      <c r="Z337" s="26">
        <v>210</v>
      </c>
      <c r="AD337" s="8" t="s">
        <v>32</v>
      </c>
      <c r="AE337" s="8">
        <v>0.24349030470914126</v>
      </c>
      <c r="AF337" s="9" t="str" cm="1">
        <f t="array" ref="AF337">_xlfn.IFS(AE337&gt;=0.4, "Top Performer",AE337&gt;=0.2,"Medium Performer",AE337&lt;0.2, "Least Performer")</f>
        <v>Medium Performer</v>
      </c>
    </row>
    <row r="338" spans="24:32" x14ac:dyDescent="0.25">
      <c r="X338" s="20" t="s">
        <v>340</v>
      </c>
      <c r="Y338" s="21" t="s">
        <v>39</v>
      </c>
      <c r="Z338" s="21">
        <v>210</v>
      </c>
      <c r="AD338" s="8" t="s">
        <v>21</v>
      </c>
      <c r="AE338" s="8">
        <v>5.8563792702765516E-2</v>
      </c>
      <c r="AF338" s="9" t="str" cm="1">
        <f t="array" ref="AF338">_xlfn.IFS(AE338&gt;=0.4, "Top Performer",AE338&gt;=0.2,"Medium Performer",AE338&lt;0.2, "Least Performer")</f>
        <v>Least Performer</v>
      </c>
    </row>
    <row r="339" spans="24:32" x14ac:dyDescent="0.25">
      <c r="X339" s="25" t="s">
        <v>341</v>
      </c>
      <c r="Y339" s="26" t="s">
        <v>32</v>
      </c>
      <c r="Z339" s="26">
        <v>24</v>
      </c>
      <c r="AD339" s="8" t="s">
        <v>6</v>
      </c>
      <c r="AE339" s="8">
        <v>0.13840458048129492</v>
      </c>
      <c r="AF339" s="9" t="str" cm="1">
        <f t="array" ref="AF339">_xlfn.IFS(AE339&gt;=0.4, "Top Performer",AE339&gt;=0.2,"Medium Performer",AE339&lt;0.2, "Least Performer")</f>
        <v>Least Performer</v>
      </c>
    </row>
    <row r="340" spans="24:32" x14ac:dyDescent="0.25">
      <c r="X340" s="20" t="s">
        <v>342</v>
      </c>
      <c r="Y340" s="21" t="s">
        <v>21</v>
      </c>
      <c r="Z340" s="21">
        <v>14</v>
      </c>
      <c r="AD340" s="8" t="s">
        <v>21</v>
      </c>
      <c r="AE340" s="8">
        <v>8.3539958039290485E-2</v>
      </c>
      <c r="AF340" s="9" t="str" cm="1">
        <f t="array" ref="AF340">_xlfn.IFS(AE340&gt;=0.4, "Top Performer",AE340&gt;=0.2,"Medium Performer",AE340&lt;0.2, "Least Performer")</f>
        <v>Least Performer</v>
      </c>
    </row>
    <row r="341" spans="24:32" x14ac:dyDescent="0.25">
      <c r="X341" s="25" t="s">
        <v>343</v>
      </c>
      <c r="Y341" s="26" t="s">
        <v>6</v>
      </c>
      <c r="Z341" s="26">
        <v>70</v>
      </c>
      <c r="AD341" s="8" t="s">
        <v>32</v>
      </c>
      <c r="AE341" s="8">
        <v>8.3539958039290485E-2</v>
      </c>
      <c r="AF341" s="9" t="str" cm="1">
        <f t="array" ref="AF341">_xlfn.IFS(AE341&gt;=0.4, "Top Performer",AE341&gt;=0.2,"Medium Performer",AE341&lt;0.2, "Least Performer")</f>
        <v>Least Performer</v>
      </c>
    </row>
    <row r="342" spans="24:32" x14ac:dyDescent="0.25">
      <c r="X342" s="20" t="s">
        <v>344</v>
      </c>
      <c r="Y342" s="21" t="s">
        <v>21</v>
      </c>
      <c r="Z342" s="21">
        <v>191</v>
      </c>
      <c r="AD342" s="8" t="s">
        <v>25</v>
      </c>
      <c r="AE342" s="8">
        <v>8.3539958039290485E-2</v>
      </c>
      <c r="AF342" s="9"/>
    </row>
    <row r="343" spans="24:32" x14ac:dyDescent="0.25">
      <c r="X343" s="25" t="s">
        <v>344</v>
      </c>
      <c r="Y343" s="26" t="s">
        <v>32</v>
      </c>
      <c r="Z343" s="26">
        <v>191</v>
      </c>
    </row>
    <row r="344" spans="24:32" x14ac:dyDescent="0.25">
      <c r="X344" s="20" t="s">
        <v>344</v>
      </c>
      <c r="Y344" s="21" t="s">
        <v>25</v>
      </c>
      <c r="Z344" s="21">
        <v>191</v>
      </c>
    </row>
  </sheetData>
  <mergeCells count="12">
    <mergeCell ref="A15:B15"/>
    <mergeCell ref="A16:A19"/>
    <mergeCell ref="B16:B19"/>
    <mergeCell ref="A20:A21"/>
    <mergeCell ref="B20:B21"/>
    <mergeCell ref="D2:S2"/>
    <mergeCell ref="AD2:AF2"/>
    <mergeCell ref="AA3:AB3"/>
    <mergeCell ref="AG4:AI5"/>
    <mergeCell ref="A5:B5"/>
    <mergeCell ref="D5:E5"/>
    <mergeCell ref="R5:U5"/>
  </mergeCells>
  <conditionalFormatting sqref="A6:B10">
    <cfRule type="colorScale" priority="3">
      <colorScale>
        <cfvo type="min"/>
        <cfvo type="max"/>
        <color theme="6" tint="0.79998168889431442"/>
        <color theme="6" tint="0.39997558519241921"/>
      </colorScale>
    </cfRule>
  </conditionalFormatting>
  <conditionalFormatting sqref="B6:B10">
    <cfRule type="top10" dxfId="63" priority="2" rank="1"/>
  </conditionalFormatting>
  <conditionalFormatting sqref="D9:E306 D8 D6:E7">
    <cfRule type="top10" dxfId="62" priority="4" rank="10"/>
    <cfRule type="top10" dxfId="61" priority="5" rank="10"/>
  </conditionalFormatting>
  <conditionalFormatting sqref="AD3:AF341 AI6">
    <cfRule type="containsText" dxfId="60" priority="1" operator="containsText" text="Top Performer">
      <formula>NOT(ISERROR(SEARCH("Top Performer",AD3)))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Balaji</dc:creator>
  <cp:lastModifiedBy>Sanika Balaji</cp:lastModifiedBy>
  <dcterms:created xsi:type="dcterms:W3CDTF">2025-11-07T19:53:56Z</dcterms:created>
  <dcterms:modified xsi:type="dcterms:W3CDTF">2025-11-07T19:57:38Z</dcterms:modified>
</cp:coreProperties>
</file>