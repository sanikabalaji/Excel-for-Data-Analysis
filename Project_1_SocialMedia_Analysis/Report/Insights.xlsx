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ndia\Documents\"/>
    </mc:Choice>
  </mc:AlternateContent>
  <xr:revisionPtr revIDLastSave="0" documentId="8_{161050AE-7AC9-4F4E-9324-3208160D4EE7}" xr6:coauthVersionLast="47" xr6:coauthVersionMax="47" xr10:uidLastSave="{00000000-0000-0000-0000-000000000000}"/>
  <bookViews>
    <workbookView xWindow="-120" yWindow="-120" windowWidth="23280" windowHeight="14880" xr2:uid="{61506572-7CEE-4D8A-B69D-23D605D43EAA}"/>
  </bookViews>
  <sheets>
    <sheet name="Insights" sheetId="1" r:id="rId1"/>
  </sheets>
  <externalReferences>
    <externalReference r:id="rId2"/>
  </externalReferences>
  <calcPr calcId="191029"/>
  <pivotCaches>
    <pivotCache cacheId="26" r:id="rId3"/>
    <pivotCache cacheId="6" r:id="rId4"/>
    <pivotCache cacheId="17" r:id="rId5"/>
    <pivotCache cacheId="25" r:id="rId6"/>
    <pivotCache cacheId="24" r:id="rId7"/>
    <pivotCache cacheId="2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206" i="1" l="1"/>
  <c r="AT205" i="1"/>
  <c r="AT204" i="1"/>
  <c r="AJ204" i="1"/>
  <c r="T204" i="1"/>
  <c r="S204" i="1"/>
  <c r="R204" i="1"/>
  <c r="Q204" i="1"/>
  <c r="AT203" i="1"/>
  <c r="AJ203" i="1"/>
  <c r="T203" i="1"/>
  <c r="S203" i="1"/>
  <c r="R203" i="1"/>
  <c r="Q203" i="1"/>
  <c r="AT202" i="1"/>
  <c r="AJ202" i="1"/>
  <c r="T202" i="1"/>
  <c r="S202" i="1"/>
  <c r="R202" i="1"/>
  <c r="Q202" i="1"/>
  <c r="AT201" i="1"/>
  <c r="AJ201" i="1"/>
  <c r="T201" i="1"/>
  <c r="S201" i="1"/>
  <c r="R201" i="1"/>
  <c r="Q201" i="1"/>
  <c r="AT200" i="1"/>
  <c r="AJ200" i="1"/>
  <c r="T200" i="1"/>
  <c r="S200" i="1"/>
  <c r="R200" i="1"/>
  <c r="Q200" i="1"/>
  <c r="AT199" i="1"/>
  <c r="AJ199" i="1"/>
  <c r="T199" i="1"/>
  <c r="S199" i="1"/>
  <c r="R199" i="1"/>
  <c r="Q199" i="1"/>
  <c r="AT198" i="1"/>
  <c r="AJ198" i="1"/>
  <c r="T198" i="1"/>
  <c r="S198" i="1"/>
  <c r="R198" i="1"/>
  <c r="Q198" i="1"/>
  <c r="AT197" i="1"/>
  <c r="AJ197" i="1"/>
  <c r="T197" i="1"/>
  <c r="S197" i="1"/>
  <c r="R197" i="1"/>
  <c r="Q197" i="1"/>
  <c r="AT196" i="1"/>
  <c r="AJ196" i="1"/>
  <c r="T196" i="1"/>
  <c r="S196" i="1"/>
  <c r="R196" i="1"/>
  <c r="Q196" i="1"/>
  <c r="AT195" i="1"/>
  <c r="AJ195" i="1"/>
  <c r="T195" i="1"/>
  <c r="S195" i="1"/>
  <c r="R195" i="1"/>
  <c r="Q195" i="1"/>
  <c r="AT194" i="1"/>
  <c r="AJ194" i="1"/>
  <c r="T194" i="1"/>
  <c r="S194" i="1"/>
  <c r="R194" i="1"/>
  <c r="Q194" i="1"/>
  <c r="AT193" i="1"/>
  <c r="AJ193" i="1"/>
  <c r="T193" i="1"/>
  <c r="S193" i="1"/>
  <c r="R193" i="1"/>
  <c r="Q193" i="1"/>
  <c r="AT192" i="1"/>
  <c r="AJ192" i="1"/>
  <c r="T192" i="1"/>
  <c r="S192" i="1"/>
  <c r="R192" i="1"/>
  <c r="Q192" i="1"/>
  <c r="AT191" i="1"/>
  <c r="AJ191" i="1"/>
  <c r="T191" i="1"/>
  <c r="S191" i="1"/>
  <c r="R191" i="1"/>
  <c r="Q191" i="1"/>
  <c r="AT190" i="1"/>
  <c r="AJ190" i="1"/>
  <c r="T190" i="1"/>
  <c r="S190" i="1"/>
  <c r="R190" i="1"/>
  <c r="Q190" i="1"/>
  <c r="AT189" i="1"/>
  <c r="AJ189" i="1"/>
  <c r="T189" i="1"/>
  <c r="S189" i="1"/>
  <c r="R189" i="1"/>
  <c r="Q189" i="1"/>
  <c r="AT188" i="1"/>
  <c r="AJ188" i="1"/>
  <c r="T188" i="1"/>
  <c r="S188" i="1"/>
  <c r="R188" i="1"/>
  <c r="Q188" i="1"/>
  <c r="AT187" i="1"/>
  <c r="AJ187" i="1"/>
  <c r="T187" i="1"/>
  <c r="S187" i="1"/>
  <c r="R187" i="1"/>
  <c r="Q187" i="1"/>
  <c r="AT186" i="1"/>
  <c r="AJ186" i="1"/>
  <c r="T186" i="1"/>
  <c r="S186" i="1"/>
  <c r="R186" i="1"/>
  <c r="Q186" i="1"/>
  <c r="AT185" i="1"/>
  <c r="AJ185" i="1"/>
  <c r="T185" i="1"/>
  <c r="S185" i="1"/>
  <c r="R185" i="1"/>
  <c r="Q185" i="1"/>
  <c r="AT184" i="1"/>
  <c r="AJ184" i="1"/>
  <c r="T184" i="1"/>
  <c r="S184" i="1"/>
  <c r="R184" i="1"/>
  <c r="Q184" i="1"/>
  <c r="AT183" i="1"/>
  <c r="AJ183" i="1"/>
  <c r="T183" i="1"/>
  <c r="S183" i="1"/>
  <c r="R183" i="1"/>
  <c r="Q183" i="1"/>
  <c r="AT182" i="1"/>
  <c r="AJ182" i="1"/>
  <c r="T182" i="1"/>
  <c r="S182" i="1"/>
  <c r="R182" i="1"/>
  <c r="Q182" i="1"/>
  <c r="AT181" i="1"/>
  <c r="AJ181" i="1"/>
  <c r="T181" i="1"/>
  <c r="S181" i="1"/>
  <c r="R181" i="1"/>
  <c r="Q181" i="1"/>
  <c r="AT180" i="1"/>
  <c r="AJ180" i="1"/>
  <c r="T180" i="1"/>
  <c r="S180" i="1"/>
  <c r="R180" i="1"/>
  <c r="Q180" i="1"/>
  <c r="AT179" i="1"/>
  <c r="AJ179" i="1"/>
  <c r="T179" i="1"/>
  <c r="S179" i="1"/>
  <c r="R179" i="1"/>
  <c r="Q179" i="1"/>
  <c r="AT178" i="1"/>
  <c r="AJ178" i="1"/>
  <c r="T178" i="1"/>
  <c r="S178" i="1"/>
  <c r="R178" i="1"/>
  <c r="Q178" i="1"/>
  <c r="AT177" i="1"/>
  <c r="AJ177" i="1"/>
  <c r="T177" i="1"/>
  <c r="S177" i="1"/>
  <c r="R177" i="1"/>
  <c r="Q177" i="1"/>
  <c r="AT176" i="1"/>
  <c r="AJ176" i="1"/>
  <c r="T176" i="1"/>
  <c r="S176" i="1"/>
  <c r="R176" i="1"/>
  <c r="Q176" i="1"/>
  <c r="AT175" i="1"/>
  <c r="AJ175" i="1"/>
  <c r="T175" i="1"/>
  <c r="S175" i="1"/>
  <c r="R175" i="1"/>
  <c r="Q175" i="1"/>
  <c r="AT174" i="1"/>
  <c r="AJ174" i="1"/>
  <c r="T174" i="1"/>
  <c r="S174" i="1"/>
  <c r="R174" i="1"/>
  <c r="Q174" i="1"/>
  <c r="AT173" i="1"/>
  <c r="AJ173" i="1"/>
  <c r="T173" i="1"/>
  <c r="S173" i="1"/>
  <c r="R173" i="1"/>
  <c r="Q173" i="1"/>
  <c r="AT172" i="1"/>
  <c r="AJ172" i="1"/>
  <c r="T172" i="1"/>
  <c r="S172" i="1"/>
  <c r="R172" i="1"/>
  <c r="Q172" i="1"/>
  <c r="AT171" i="1"/>
  <c r="AJ171" i="1"/>
  <c r="T171" i="1"/>
  <c r="S171" i="1"/>
  <c r="R171" i="1"/>
  <c r="Q171" i="1"/>
  <c r="AT170" i="1"/>
  <c r="AJ170" i="1"/>
  <c r="T170" i="1"/>
  <c r="S170" i="1"/>
  <c r="R170" i="1"/>
  <c r="Q170" i="1"/>
  <c r="AT169" i="1"/>
  <c r="AJ169" i="1"/>
  <c r="T169" i="1"/>
  <c r="S169" i="1"/>
  <c r="R169" i="1"/>
  <c r="Q169" i="1"/>
  <c r="AT168" i="1"/>
  <c r="AJ168" i="1"/>
  <c r="T168" i="1"/>
  <c r="S168" i="1"/>
  <c r="R168" i="1"/>
  <c r="Q168" i="1"/>
  <c r="AT167" i="1"/>
  <c r="AJ167" i="1"/>
  <c r="T167" i="1"/>
  <c r="S167" i="1"/>
  <c r="R167" i="1"/>
  <c r="Q167" i="1"/>
  <c r="AT166" i="1"/>
  <c r="AJ166" i="1"/>
  <c r="T166" i="1"/>
  <c r="S166" i="1"/>
  <c r="R166" i="1"/>
  <c r="Q166" i="1"/>
  <c r="AT165" i="1"/>
  <c r="AJ165" i="1"/>
  <c r="T165" i="1"/>
  <c r="S165" i="1"/>
  <c r="R165" i="1"/>
  <c r="Q165" i="1"/>
  <c r="AT164" i="1"/>
  <c r="AJ164" i="1"/>
  <c r="T164" i="1"/>
  <c r="S164" i="1"/>
  <c r="R164" i="1"/>
  <c r="Q164" i="1"/>
  <c r="AT163" i="1"/>
  <c r="AJ163" i="1"/>
  <c r="T163" i="1"/>
  <c r="S163" i="1"/>
  <c r="R163" i="1"/>
  <c r="Q163" i="1"/>
  <c r="AT162" i="1"/>
  <c r="AJ162" i="1"/>
  <c r="T162" i="1"/>
  <c r="S162" i="1"/>
  <c r="R162" i="1"/>
  <c r="Q162" i="1"/>
  <c r="AT161" i="1"/>
  <c r="AJ161" i="1"/>
  <c r="T161" i="1"/>
  <c r="S161" i="1"/>
  <c r="R161" i="1"/>
  <c r="Q161" i="1"/>
  <c r="AT160" i="1"/>
  <c r="AJ160" i="1"/>
  <c r="T160" i="1"/>
  <c r="S160" i="1"/>
  <c r="R160" i="1"/>
  <c r="Q160" i="1"/>
  <c r="AT159" i="1"/>
  <c r="AJ159" i="1"/>
  <c r="T159" i="1"/>
  <c r="S159" i="1"/>
  <c r="R159" i="1"/>
  <c r="Q159" i="1"/>
  <c r="AT158" i="1"/>
  <c r="AJ158" i="1"/>
  <c r="T158" i="1"/>
  <c r="S158" i="1"/>
  <c r="R158" i="1"/>
  <c r="Q158" i="1"/>
  <c r="AT157" i="1"/>
  <c r="AJ157" i="1"/>
  <c r="T157" i="1"/>
  <c r="S157" i="1"/>
  <c r="R157" i="1"/>
  <c r="Q157" i="1"/>
  <c r="AT156" i="1"/>
  <c r="AJ156" i="1"/>
  <c r="T156" i="1"/>
  <c r="S156" i="1"/>
  <c r="R156" i="1"/>
  <c r="Q156" i="1"/>
  <c r="AT155" i="1"/>
  <c r="AJ155" i="1"/>
  <c r="T155" i="1"/>
  <c r="S155" i="1"/>
  <c r="R155" i="1"/>
  <c r="Q155" i="1"/>
  <c r="AT154" i="1"/>
  <c r="AJ154" i="1"/>
  <c r="T154" i="1"/>
  <c r="S154" i="1"/>
  <c r="R154" i="1"/>
  <c r="Q154" i="1"/>
  <c r="AT153" i="1"/>
  <c r="AJ153" i="1"/>
  <c r="T153" i="1"/>
  <c r="S153" i="1"/>
  <c r="R153" i="1"/>
  <c r="Q153" i="1"/>
  <c r="AT152" i="1"/>
  <c r="AJ152" i="1"/>
  <c r="T152" i="1"/>
  <c r="S152" i="1"/>
  <c r="R152" i="1"/>
  <c r="Q152" i="1"/>
  <c r="AT151" i="1"/>
  <c r="AJ151" i="1"/>
  <c r="T151" i="1"/>
  <c r="S151" i="1"/>
  <c r="R151" i="1"/>
  <c r="Q151" i="1"/>
  <c r="AT150" i="1"/>
  <c r="AJ150" i="1"/>
  <c r="T150" i="1"/>
  <c r="S150" i="1"/>
  <c r="R150" i="1"/>
  <c r="Q150" i="1"/>
  <c r="AT149" i="1"/>
  <c r="AJ149" i="1"/>
  <c r="T149" i="1"/>
  <c r="S149" i="1"/>
  <c r="R149" i="1"/>
  <c r="Q149" i="1"/>
  <c r="AT148" i="1"/>
  <c r="AJ148" i="1"/>
  <c r="T148" i="1"/>
  <c r="S148" i="1"/>
  <c r="R148" i="1"/>
  <c r="Q148" i="1"/>
  <c r="AT147" i="1"/>
  <c r="AJ147" i="1"/>
  <c r="T147" i="1"/>
  <c r="S147" i="1"/>
  <c r="R147" i="1"/>
  <c r="Q147" i="1"/>
  <c r="AT146" i="1"/>
  <c r="AJ146" i="1"/>
  <c r="T146" i="1"/>
  <c r="S146" i="1"/>
  <c r="R146" i="1"/>
  <c r="Q146" i="1"/>
  <c r="AT145" i="1"/>
  <c r="AJ145" i="1"/>
  <c r="T145" i="1"/>
  <c r="S145" i="1"/>
  <c r="R145" i="1"/>
  <c r="Q145" i="1"/>
  <c r="AT144" i="1"/>
  <c r="AJ144" i="1"/>
  <c r="T144" i="1"/>
  <c r="S144" i="1"/>
  <c r="R144" i="1"/>
  <c r="Q144" i="1"/>
  <c r="AT143" i="1"/>
  <c r="AJ143" i="1"/>
  <c r="T143" i="1"/>
  <c r="S143" i="1"/>
  <c r="R143" i="1"/>
  <c r="Q143" i="1"/>
  <c r="AT142" i="1"/>
  <c r="AJ142" i="1"/>
  <c r="T142" i="1"/>
  <c r="S142" i="1"/>
  <c r="R142" i="1"/>
  <c r="Q142" i="1"/>
  <c r="AT141" i="1"/>
  <c r="AJ141" i="1"/>
  <c r="T141" i="1"/>
  <c r="S141" i="1"/>
  <c r="R141" i="1"/>
  <c r="Q141" i="1"/>
  <c r="AT140" i="1"/>
  <c r="AJ140" i="1"/>
  <c r="T140" i="1"/>
  <c r="S140" i="1"/>
  <c r="R140" i="1"/>
  <c r="Q140" i="1"/>
  <c r="AT139" i="1"/>
  <c r="AJ139" i="1"/>
  <c r="T139" i="1"/>
  <c r="S139" i="1"/>
  <c r="R139" i="1"/>
  <c r="Q139" i="1"/>
  <c r="AT138" i="1"/>
  <c r="AJ138" i="1"/>
  <c r="T138" i="1"/>
  <c r="S138" i="1"/>
  <c r="R138" i="1"/>
  <c r="Q138" i="1"/>
  <c r="AT137" i="1"/>
  <c r="AJ137" i="1"/>
  <c r="T137" i="1"/>
  <c r="S137" i="1"/>
  <c r="R137" i="1"/>
  <c r="Q137" i="1"/>
  <c r="AT136" i="1"/>
  <c r="AJ136" i="1"/>
  <c r="T136" i="1"/>
  <c r="S136" i="1"/>
  <c r="R136" i="1"/>
  <c r="Q136" i="1"/>
  <c r="AT135" i="1"/>
  <c r="AJ135" i="1"/>
  <c r="T135" i="1"/>
  <c r="S135" i="1"/>
  <c r="R135" i="1"/>
  <c r="Q135" i="1"/>
  <c r="AT134" i="1"/>
  <c r="AJ134" i="1"/>
  <c r="T134" i="1"/>
  <c r="S134" i="1"/>
  <c r="R134" i="1"/>
  <c r="Q134" i="1"/>
  <c r="AT133" i="1"/>
  <c r="AJ133" i="1"/>
  <c r="T133" i="1"/>
  <c r="S133" i="1"/>
  <c r="R133" i="1"/>
  <c r="Q133" i="1"/>
  <c r="AT132" i="1"/>
  <c r="AJ132" i="1"/>
  <c r="T132" i="1"/>
  <c r="S132" i="1"/>
  <c r="R132" i="1"/>
  <c r="Q132" i="1"/>
  <c r="AT131" i="1"/>
  <c r="AJ131" i="1"/>
  <c r="T131" i="1"/>
  <c r="S131" i="1"/>
  <c r="R131" i="1"/>
  <c r="Q131" i="1"/>
  <c r="AT130" i="1"/>
  <c r="AJ130" i="1"/>
  <c r="T130" i="1"/>
  <c r="S130" i="1"/>
  <c r="R130" i="1"/>
  <c r="Q130" i="1"/>
  <c r="AT129" i="1"/>
  <c r="AJ129" i="1"/>
  <c r="T129" i="1"/>
  <c r="S129" i="1"/>
  <c r="R129" i="1"/>
  <c r="Q129" i="1"/>
  <c r="AT128" i="1"/>
  <c r="AJ128" i="1"/>
  <c r="T128" i="1"/>
  <c r="S128" i="1"/>
  <c r="R128" i="1"/>
  <c r="Q128" i="1"/>
  <c r="AT127" i="1"/>
  <c r="AJ127" i="1"/>
  <c r="T127" i="1"/>
  <c r="S127" i="1"/>
  <c r="R127" i="1"/>
  <c r="Q127" i="1"/>
  <c r="AT126" i="1"/>
  <c r="AJ126" i="1"/>
  <c r="T126" i="1"/>
  <c r="S126" i="1"/>
  <c r="R126" i="1"/>
  <c r="Q126" i="1"/>
  <c r="AT125" i="1"/>
  <c r="AJ125" i="1"/>
  <c r="T125" i="1"/>
  <c r="S125" i="1"/>
  <c r="R125" i="1"/>
  <c r="Q125" i="1"/>
  <c r="AT124" i="1"/>
  <c r="AJ124" i="1"/>
  <c r="T124" i="1"/>
  <c r="S124" i="1"/>
  <c r="R124" i="1"/>
  <c r="Q124" i="1"/>
  <c r="AT123" i="1"/>
  <c r="AJ123" i="1"/>
  <c r="T123" i="1"/>
  <c r="S123" i="1"/>
  <c r="R123" i="1"/>
  <c r="Q123" i="1"/>
  <c r="AT122" i="1"/>
  <c r="AJ122" i="1"/>
  <c r="T122" i="1"/>
  <c r="S122" i="1"/>
  <c r="R122" i="1"/>
  <c r="Q122" i="1"/>
  <c r="AT121" i="1"/>
  <c r="AJ121" i="1"/>
  <c r="T121" i="1"/>
  <c r="S121" i="1"/>
  <c r="R121" i="1"/>
  <c r="Q121" i="1"/>
  <c r="AT120" i="1"/>
  <c r="AJ120" i="1"/>
  <c r="T120" i="1"/>
  <c r="S120" i="1"/>
  <c r="R120" i="1"/>
  <c r="Q120" i="1"/>
  <c r="AT119" i="1"/>
  <c r="AJ119" i="1"/>
  <c r="T119" i="1"/>
  <c r="S119" i="1"/>
  <c r="R119" i="1"/>
  <c r="Q119" i="1"/>
  <c r="AT118" i="1"/>
  <c r="AJ118" i="1"/>
  <c r="T118" i="1"/>
  <c r="S118" i="1"/>
  <c r="R118" i="1"/>
  <c r="Q118" i="1"/>
  <c r="AT117" i="1"/>
  <c r="AJ117" i="1"/>
  <c r="T117" i="1"/>
  <c r="S117" i="1"/>
  <c r="R117" i="1"/>
  <c r="Q117" i="1"/>
  <c r="AT116" i="1"/>
  <c r="AJ116" i="1"/>
  <c r="T116" i="1"/>
  <c r="S116" i="1"/>
  <c r="R116" i="1"/>
  <c r="Q116" i="1"/>
  <c r="AT115" i="1"/>
  <c r="AJ115" i="1"/>
  <c r="T115" i="1"/>
  <c r="S115" i="1"/>
  <c r="R115" i="1"/>
  <c r="Q115" i="1"/>
  <c r="AT114" i="1"/>
  <c r="AJ114" i="1"/>
  <c r="T114" i="1"/>
  <c r="S114" i="1"/>
  <c r="R114" i="1"/>
  <c r="Q114" i="1"/>
  <c r="AT113" i="1"/>
  <c r="AJ113" i="1"/>
  <c r="T113" i="1"/>
  <c r="S113" i="1"/>
  <c r="R113" i="1"/>
  <c r="Q113" i="1"/>
  <c r="AT112" i="1"/>
  <c r="AJ112" i="1"/>
  <c r="T112" i="1"/>
  <c r="S112" i="1"/>
  <c r="R112" i="1"/>
  <c r="Q112" i="1"/>
  <c r="AT111" i="1"/>
  <c r="AJ111" i="1"/>
  <c r="T111" i="1"/>
  <c r="S111" i="1"/>
  <c r="R111" i="1"/>
  <c r="Q111" i="1"/>
  <c r="AT110" i="1"/>
  <c r="AJ110" i="1"/>
  <c r="T110" i="1"/>
  <c r="S110" i="1"/>
  <c r="R110" i="1"/>
  <c r="Q110" i="1"/>
  <c r="AT109" i="1"/>
  <c r="AJ109" i="1"/>
  <c r="T109" i="1"/>
  <c r="S109" i="1"/>
  <c r="R109" i="1"/>
  <c r="Q109" i="1"/>
  <c r="AT108" i="1"/>
  <c r="AJ108" i="1"/>
  <c r="T108" i="1"/>
  <c r="S108" i="1"/>
  <c r="R108" i="1"/>
  <c r="Q108" i="1"/>
  <c r="AT107" i="1"/>
  <c r="AJ107" i="1"/>
  <c r="T107" i="1"/>
  <c r="S107" i="1"/>
  <c r="R107" i="1"/>
  <c r="Q107" i="1"/>
  <c r="AT106" i="1"/>
  <c r="AJ106" i="1"/>
  <c r="T106" i="1"/>
  <c r="S106" i="1"/>
  <c r="R106" i="1"/>
  <c r="Q106" i="1"/>
  <c r="AT105" i="1"/>
  <c r="AJ105" i="1"/>
  <c r="T105" i="1"/>
  <c r="S105" i="1"/>
  <c r="R105" i="1"/>
  <c r="Q105" i="1"/>
  <c r="AT104" i="1"/>
  <c r="AJ104" i="1"/>
  <c r="T104" i="1"/>
  <c r="S104" i="1"/>
  <c r="R104" i="1"/>
  <c r="Q104" i="1"/>
  <c r="AT103" i="1"/>
  <c r="AJ103" i="1"/>
  <c r="T103" i="1"/>
  <c r="S103" i="1"/>
  <c r="R103" i="1"/>
  <c r="Q103" i="1"/>
  <c r="AT102" i="1"/>
  <c r="AJ102" i="1"/>
  <c r="T102" i="1"/>
  <c r="S102" i="1"/>
  <c r="R102" i="1"/>
  <c r="Q102" i="1"/>
  <c r="AT101" i="1"/>
  <c r="AJ101" i="1"/>
  <c r="T101" i="1"/>
  <c r="S101" i="1"/>
  <c r="R101" i="1"/>
  <c r="Q101" i="1"/>
  <c r="AT100" i="1"/>
  <c r="AJ100" i="1"/>
  <c r="T100" i="1"/>
  <c r="S100" i="1"/>
  <c r="R100" i="1"/>
  <c r="Q100" i="1"/>
  <c r="AT99" i="1"/>
  <c r="AJ99" i="1"/>
  <c r="T99" i="1"/>
  <c r="S99" i="1"/>
  <c r="R99" i="1"/>
  <c r="Q99" i="1"/>
  <c r="AT98" i="1"/>
  <c r="AJ98" i="1"/>
  <c r="T98" i="1"/>
  <c r="S98" i="1"/>
  <c r="R98" i="1"/>
  <c r="Q98" i="1"/>
  <c r="AT97" i="1"/>
  <c r="AJ97" i="1"/>
  <c r="T97" i="1"/>
  <c r="S97" i="1"/>
  <c r="R97" i="1"/>
  <c r="Q97" i="1"/>
  <c r="AT96" i="1"/>
  <c r="AJ96" i="1"/>
  <c r="T96" i="1"/>
  <c r="S96" i="1"/>
  <c r="R96" i="1"/>
  <c r="Q96" i="1"/>
  <c r="AT95" i="1"/>
  <c r="AJ95" i="1"/>
  <c r="T95" i="1"/>
  <c r="S95" i="1"/>
  <c r="R95" i="1"/>
  <c r="Q95" i="1"/>
  <c r="AT94" i="1"/>
  <c r="AJ94" i="1"/>
  <c r="T94" i="1"/>
  <c r="S94" i="1"/>
  <c r="R94" i="1"/>
  <c r="Q94" i="1"/>
  <c r="AT93" i="1"/>
  <c r="AJ93" i="1"/>
  <c r="T93" i="1"/>
  <c r="S93" i="1"/>
  <c r="R93" i="1"/>
  <c r="Q93" i="1"/>
  <c r="AT92" i="1"/>
  <c r="AJ92" i="1"/>
  <c r="T92" i="1"/>
  <c r="S92" i="1"/>
  <c r="R92" i="1"/>
  <c r="Q92" i="1"/>
  <c r="AT91" i="1"/>
  <c r="AJ91" i="1"/>
  <c r="T91" i="1"/>
  <c r="S91" i="1"/>
  <c r="R91" i="1"/>
  <c r="Q91" i="1"/>
  <c r="AT90" i="1"/>
  <c r="AJ90" i="1"/>
  <c r="T90" i="1"/>
  <c r="S90" i="1"/>
  <c r="R90" i="1"/>
  <c r="Q90" i="1"/>
  <c r="AT89" i="1"/>
  <c r="AJ89" i="1"/>
  <c r="T89" i="1"/>
  <c r="S89" i="1"/>
  <c r="R89" i="1"/>
  <c r="Q89" i="1"/>
  <c r="AT88" i="1"/>
  <c r="AJ88" i="1"/>
  <c r="T88" i="1"/>
  <c r="S88" i="1"/>
  <c r="R88" i="1"/>
  <c r="Q88" i="1"/>
  <c r="AT87" i="1"/>
  <c r="AJ87" i="1"/>
  <c r="T87" i="1"/>
  <c r="S87" i="1"/>
  <c r="R87" i="1"/>
  <c r="Q87" i="1"/>
  <c r="AT86" i="1"/>
  <c r="AJ86" i="1"/>
  <c r="T86" i="1"/>
  <c r="S86" i="1"/>
  <c r="R86" i="1"/>
  <c r="Q86" i="1"/>
  <c r="AT85" i="1"/>
  <c r="AJ85" i="1"/>
  <c r="T85" i="1"/>
  <c r="S85" i="1"/>
  <c r="R85" i="1"/>
  <c r="Q85" i="1"/>
  <c r="AT84" i="1"/>
  <c r="AJ84" i="1"/>
  <c r="T84" i="1"/>
  <c r="S84" i="1"/>
  <c r="R84" i="1"/>
  <c r="Q84" i="1"/>
  <c r="AT83" i="1"/>
  <c r="AJ83" i="1"/>
  <c r="T83" i="1"/>
  <c r="S83" i="1"/>
  <c r="R83" i="1"/>
  <c r="Q83" i="1"/>
  <c r="AT82" i="1"/>
  <c r="AJ82" i="1"/>
  <c r="T82" i="1"/>
  <c r="S82" i="1"/>
  <c r="R82" i="1"/>
  <c r="Q82" i="1"/>
  <c r="AT81" i="1"/>
  <c r="AJ81" i="1"/>
  <c r="T81" i="1"/>
  <c r="S81" i="1"/>
  <c r="R81" i="1"/>
  <c r="Q81" i="1"/>
  <c r="AT80" i="1"/>
  <c r="AJ80" i="1"/>
  <c r="T80" i="1"/>
  <c r="S80" i="1"/>
  <c r="R80" i="1"/>
  <c r="Q80" i="1"/>
  <c r="AT79" i="1"/>
  <c r="AJ79" i="1"/>
  <c r="T79" i="1"/>
  <c r="S79" i="1"/>
  <c r="R79" i="1"/>
  <c r="Q79" i="1"/>
  <c r="AT78" i="1"/>
  <c r="AJ78" i="1"/>
  <c r="T78" i="1"/>
  <c r="S78" i="1"/>
  <c r="R78" i="1"/>
  <c r="Q78" i="1"/>
  <c r="AT77" i="1"/>
  <c r="AJ77" i="1"/>
  <c r="T77" i="1"/>
  <c r="S77" i="1"/>
  <c r="R77" i="1"/>
  <c r="Q77" i="1"/>
  <c r="AT76" i="1"/>
  <c r="AJ76" i="1"/>
  <c r="T76" i="1"/>
  <c r="S76" i="1"/>
  <c r="R76" i="1"/>
  <c r="Q76" i="1"/>
  <c r="AT75" i="1"/>
  <c r="AJ75" i="1"/>
  <c r="T75" i="1"/>
  <c r="S75" i="1"/>
  <c r="R75" i="1"/>
  <c r="Q75" i="1"/>
  <c r="AT74" i="1"/>
  <c r="AJ74" i="1"/>
  <c r="T74" i="1"/>
  <c r="S74" i="1"/>
  <c r="R74" i="1"/>
  <c r="Q74" i="1"/>
  <c r="AT73" i="1"/>
  <c r="AJ73" i="1"/>
  <c r="T73" i="1"/>
  <c r="S73" i="1"/>
  <c r="R73" i="1"/>
  <c r="Q73" i="1"/>
  <c r="AT72" i="1"/>
  <c r="AJ72" i="1"/>
  <c r="T72" i="1"/>
  <c r="S72" i="1"/>
  <c r="R72" i="1"/>
  <c r="Q72" i="1"/>
  <c r="AT71" i="1"/>
  <c r="AJ71" i="1"/>
  <c r="T71" i="1"/>
  <c r="S71" i="1"/>
  <c r="R71" i="1"/>
  <c r="Q71" i="1"/>
  <c r="AT70" i="1"/>
  <c r="AJ70" i="1"/>
  <c r="T70" i="1"/>
  <c r="S70" i="1"/>
  <c r="R70" i="1"/>
  <c r="Q70" i="1"/>
  <c r="AT69" i="1"/>
  <c r="AJ69" i="1"/>
  <c r="T69" i="1"/>
  <c r="S69" i="1"/>
  <c r="R69" i="1"/>
  <c r="Q69" i="1"/>
  <c r="AT68" i="1"/>
  <c r="AJ68" i="1"/>
  <c r="AD68" i="1"/>
  <c r="T68" i="1"/>
  <c r="S68" i="1"/>
  <c r="R68" i="1"/>
  <c r="Q68" i="1"/>
  <c r="AT67" i="1"/>
  <c r="AJ67" i="1"/>
  <c r="AD67" i="1"/>
  <c r="T67" i="1"/>
  <c r="S67" i="1"/>
  <c r="R67" i="1"/>
  <c r="Q67" i="1"/>
  <c r="AT66" i="1"/>
  <c r="AJ66" i="1"/>
  <c r="AD66" i="1"/>
  <c r="T66" i="1"/>
  <c r="S66" i="1"/>
  <c r="R66" i="1"/>
  <c r="Q66" i="1"/>
  <c r="AT65" i="1"/>
  <c r="AJ65" i="1"/>
  <c r="AD65" i="1"/>
  <c r="T65" i="1"/>
  <c r="S65" i="1"/>
  <c r="R65" i="1"/>
  <c r="Q65" i="1"/>
  <c r="AT64" i="1"/>
  <c r="AJ64" i="1"/>
  <c r="AD64" i="1"/>
  <c r="T64" i="1"/>
  <c r="S64" i="1"/>
  <c r="R64" i="1"/>
  <c r="Q64" i="1"/>
  <c r="AT63" i="1"/>
  <c r="AJ63" i="1"/>
  <c r="AD63" i="1"/>
  <c r="T63" i="1"/>
  <c r="S63" i="1"/>
  <c r="R63" i="1"/>
  <c r="Q63" i="1"/>
  <c r="AT62" i="1"/>
  <c r="AJ62" i="1"/>
  <c r="AD62" i="1"/>
  <c r="T62" i="1"/>
  <c r="S62" i="1"/>
  <c r="R62" i="1"/>
  <c r="Q62" i="1"/>
  <c r="AT61" i="1"/>
  <c r="AJ61" i="1"/>
  <c r="AD61" i="1"/>
  <c r="T61" i="1"/>
  <c r="S61" i="1"/>
  <c r="R61" i="1"/>
  <c r="Q61" i="1"/>
  <c r="AT60" i="1"/>
  <c r="AJ60" i="1"/>
  <c r="AD60" i="1"/>
  <c r="T60" i="1"/>
  <c r="S60" i="1"/>
  <c r="R60" i="1"/>
  <c r="Q60" i="1"/>
  <c r="AT59" i="1"/>
  <c r="AJ59" i="1"/>
  <c r="AD59" i="1"/>
  <c r="T59" i="1"/>
  <c r="S59" i="1"/>
  <c r="R59" i="1"/>
  <c r="Q59" i="1"/>
  <c r="AT58" i="1"/>
  <c r="AJ58" i="1"/>
  <c r="AD58" i="1"/>
  <c r="T58" i="1"/>
  <c r="S58" i="1"/>
  <c r="R58" i="1"/>
  <c r="Q58" i="1"/>
  <c r="AT57" i="1"/>
  <c r="AJ57" i="1"/>
  <c r="AD57" i="1"/>
  <c r="T57" i="1"/>
  <c r="S57" i="1"/>
  <c r="R57" i="1"/>
  <c r="Q57" i="1"/>
  <c r="AT56" i="1"/>
  <c r="AJ56" i="1"/>
  <c r="AD56" i="1"/>
  <c r="T56" i="1"/>
  <c r="S56" i="1"/>
  <c r="R56" i="1"/>
  <c r="Q56" i="1"/>
  <c r="AT55" i="1"/>
  <c r="AJ55" i="1"/>
  <c r="AD55" i="1"/>
  <c r="T55" i="1"/>
  <c r="S55" i="1"/>
  <c r="R55" i="1"/>
  <c r="Q55" i="1"/>
  <c r="AT54" i="1"/>
  <c r="AJ54" i="1"/>
  <c r="AD54" i="1"/>
  <c r="T54" i="1"/>
  <c r="S54" i="1"/>
  <c r="R54" i="1"/>
  <c r="Q54" i="1"/>
  <c r="AT53" i="1"/>
  <c r="AJ53" i="1"/>
  <c r="AD53" i="1"/>
  <c r="T53" i="1"/>
  <c r="S53" i="1"/>
  <c r="R53" i="1"/>
  <c r="Q53" i="1"/>
  <c r="AT52" i="1"/>
  <c r="AJ52" i="1"/>
  <c r="AD52" i="1"/>
  <c r="T52" i="1"/>
  <c r="S52" i="1"/>
  <c r="R52" i="1"/>
  <c r="Q52" i="1"/>
  <c r="AT51" i="1"/>
  <c r="AJ51" i="1"/>
  <c r="AD51" i="1"/>
  <c r="T51" i="1"/>
  <c r="S51" i="1"/>
  <c r="R51" i="1"/>
  <c r="Q51" i="1"/>
  <c r="AT50" i="1"/>
  <c r="AJ50" i="1"/>
  <c r="AD50" i="1"/>
  <c r="T50" i="1"/>
  <c r="S50" i="1"/>
  <c r="R50" i="1"/>
  <c r="Q50" i="1"/>
  <c r="AT49" i="1"/>
  <c r="AJ49" i="1"/>
  <c r="AD49" i="1"/>
  <c r="T49" i="1"/>
  <c r="S49" i="1"/>
  <c r="R49" i="1"/>
  <c r="Q49" i="1"/>
  <c r="AT48" i="1"/>
  <c r="AJ48" i="1"/>
  <c r="AD48" i="1"/>
  <c r="T48" i="1"/>
  <c r="S48" i="1"/>
  <c r="R48" i="1"/>
  <c r="Q48" i="1"/>
  <c r="AT47" i="1"/>
  <c r="AJ47" i="1"/>
  <c r="AD47" i="1"/>
  <c r="T47" i="1"/>
  <c r="S47" i="1"/>
  <c r="R47" i="1"/>
  <c r="Q47" i="1"/>
  <c r="AT46" i="1"/>
  <c r="AJ46" i="1"/>
  <c r="AD46" i="1"/>
  <c r="T46" i="1"/>
  <c r="S46" i="1"/>
  <c r="R46" i="1"/>
  <c r="Q46" i="1"/>
  <c r="AT45" i="1"/>
  <c r="AJ45" i="1"/>
  <c r="AD45" i="1"/>
  <c r="T45" i="1"/>
  <c r="S45" i="1"/>
  <c r="R45" i="1"/>
  <c r="Q45" i="1"/>
  <c r="AT44" i="1"/>
  <c r="AJ44" i="1"/>
  <c r="AD44" i="1"/>
  <c r="T44" i="1"/>
  <c r="S44" i="1"/>
  <c r="R44" i="1"/>
  <c r="Q44" i="1"/>
  <c r="AT43" i="1"/>
  <c r="AJ43" i="1"/>
  <c r="AD43" i="1"/>
  <c r="T43" i="1"/>
  <c r="S43" i="1"/>
  <c r="R43" i="1"/>
  <c r="Q43" i="1"/>
  <c r="AT42" i="1"/>
  <c r="AJ42" i="1"/>
  <c r="AD42" i="1"/>
  <c r="T42" i="1"/>
  <c r="S42" i="1"/>
  <c r="R42" i="1"/>
  <c r="Q42" i="1"/>
  <c r="AT41" i="1"/>
  <c r="AJ41" i="1"/>
  <c r="AD41" i="1"/>
  <c r="T41" i="1"/>
  <c r="S41" i="1"/>
  <c r="R41" i="1"/>
  <c r="Q41" i="1"/>
  <c r="AT40" i="1"/>
  <c r="AJ40" i="1"/>
  <c r="T40" i="1"/>
  <c r="S40" i="1"/>
  <c r="R40" i="1"/>
  <c r="Q40" i="1"/>
  <c r="AT39" i="1"/>
  <c r="AJ39" i="1"/>
  <c r="T39" i="1"/>
  <c r="S39" i="1"/>
  <c r="R39" i="1"/>
  <c r="Q39" i="1"/>
  <c r="AT38" i="1"/>
  <c r="AJ38" i="1"/>
  <c r="T38" i="1"/>
  <c r="S38" i="1"/>
  <c r="R38" i="1"/>
  <c r="Q38" i="1"/>
  <c r="AT37" i="1"/>
  <c r="AJ37" i="1"/>
  <c r="T37" i="1"/>
  <c r="S37" i="1"/>
  <c r="R37" i="1"/>
  <c r="Q37" i="1"/>
  <c r="AT36" i="1"/>
  <c r="AJ36" i="1"/>
  <c r="T36" i="1"/>
  <c r="S36" i="1"/>
  <c r="R36" i="1"/>
  <c r="Q36" i="1"/>
  <c r="AT35" i="1"/>
  <c r="AJ35" i="1"/>
  <c r="T35" i="1"/>
  <c r="S35" i="1"/>
  <c r="R35" i="1"/>
  <c r="Q35" i="1"/>
  <c r="AT34" i="1"/>
  <c r="AJ34" i="1"/>
  <c r="T34" i="1"/>
  <c r="S34" i="1"/>
  <c r="R34" i="1"/>
  <c r="Q34" i="1"/>
  <c r="AT33" i="1"/>
  <c r="AJ33" i="1"/>
  <c r="T33" i="1"/>
  <c r="S33" i="1"/>
  <c r="R33" i="1"/>
  <c r="Q33" i="1"/>
  <c r="AT32" i="1"/>
  <c r="AJ32" i="1"/>
  <c r="T32" i="1"/>
  <c r="S32" i="1"/>
  <c r="R32" i="1"/>
  <c r="Q32" i="1"/>
  <c r="AT31" i="1"/>
  <c r="AJ31" i="1"/>
  <c r="T31" i="1"/>
  <c r="S31" i="1"/>
  <c r="R31" i="1"/>
  <c r="Q31" i="1"/>
  <c r="AT30" i="1"/>
  <c r="AJ30" i="1"/>
  <c r="T30" i="1"/>
  <c r="S30" i="1"/>
  <c r="R30" i="1"/>
  <c r="Q30" i="1"/>
  <c r="AT29" i="1"/>
  <c r="AJ29" i="1"/>
  <c r="T29" i="1"/>
  <c r="S29" i="1"/>
  <c r="R29" i="1"/>
  <c r="Q29" i="1"/>
  <c r="AT28" i="1"/>
  <c r="AJ28" i="1"/>
  <c r="T28" i="1"/>
  <c r="S28" i="1"/>
  <c r="R28" i="1"/>
  <c r="Q28" i="1"/>
  <c r="AT27" i="1"/>
  <c r="AJ27" i="1"/>
  <c r="T27" i="1"/>
  <c r="S27" i="1"/>
  <c r="R27" i="1"/>
  <c r="Q27" i="1"/>
  <c r="AT26" i="1"/>
  <c r="AJ26" i="1"/>
  <c r="T26" i="1"/>
  <c r="S26" i="1"/>
  <c r="R26" i="1"/>
  <c r="Q26" i="1"/>
  <c r="AT25" i="1"/>
  <c r="AJ25" i="1"/>
  <c r="T25" i="1"/>
  <c r="S25" i="1"/>
  <c r="R25" i="1"/>
  <c r="Q25" i="1"/>
  <c r="AT24" i="1"/>
  <c r="AJ24" i="1"/>
  <c r="T24" i="1"/>
  <c r="S24" i="1"/>
  <c r="R24" i="1"/>
  <c r="Q24" i="1"/>
  <c r="AT23" i="1"/>
  <c r="AJ23" i="1"/>
  <c r="T23" i="1"/>
  <c r="S23" i="1"/>
  <c r="R23" i="1"/>
  <c r="Q23" i="1"/>
  <c r="AT22" i="1"/>
  <c r="AJ22" i="1"/>
  <c r="T22" i="1"/>
  <c r="S22" i="1"/>
  <c r="R22" i="1"/>
  <c r="Q22" i="1"/>
  <c r="AT21" i="1"/>
  <c r="AJ21" i="1"/>
  <c r="T21" i="1"/>
  <c r="S21" i="1"/>
  <c r="R21" i="1"/>
  <c r="Q21" i="1"/>
  <c r="AT20" i="1"/>
  <c r="AJ20" i="1"/>
  <c r="T20" i="1"/>
  <c r="S20" i="1"/>
  <c r="R20" i="1"/>
  <c r="Q20" i="1"/>
  <c r="AT19" i="1"/>
  <c r="AJ19" i="1"/>
  <c r="T19" i="1"/>
  <c r="S19" i="1"/>
  <c r="R19" i="1"/>
  <c r="Q19" i="1"/>
  <c r="AT18" i="1"/>
  <c r="AJ18" i="1"/>
  <c r="T18" i="1"/>
  <c r="S18" i="1"/>
  <c r="R18" i="1"/>
  <c r="Q18" i="1"/>
  <c r="AT17" i="1"/>
  <c r="AJ17" i="1"/>
  <c r="T17" i="1"/>
  <c r="S17" i="1"/>
  <c r="R17" i="1"/>
  <c r="Q17" i="1"/>
  <c r="AT16" i="1"/>
  <c r="AJ16" i="1"/>
  <c r="T16" i="1"/>
  <c r="S16" i="1"/>
  <c r="R16" i="1"/>
  <c r="Q16" i="1"/>
  <c r="AT15" i="1"/>
  <c r="AJ15" i="1"/>
  <c r="T15" i="1"/>
  <c r="S15" i="1"/>
  <c r="R15" i="1"/>
  <c r="Q15" i="1"/>
  <c r="AT14" i="1"/>
  <c r="AJ14" i="1"/>
  <c r="T14" i="1"/>
  <c r="S14" i="1"/>
  <c r="R14" i="1"/>
  <c r="Q14" i="1"/>
  <c r="AT13" i="1"/>
  <c r="AJ13" i="1"/>
  <c r="T13" i="1"/>
  <c r="S13" i="1"/>
  <c r="R13" i="1"/>
  <c r="Q13" i="1"/>
  <c r="AT12" i="1"/>
  <c r="AJ12" i="1"/>
  <c r="T12" i="1"/>
  <c r="S12" i="1"/>
  <c r="R12" i="1"/>
  <c r="Q12" i="1"/>
  <c r="AT11" i="1"/>
  <c r="AJ11" i="1"/>
  <c r="T11" i="1"/>
  <c r="S11" i="1"/>
  <c r="R11" i="1"/>
  <c r="Q11" i="1"/>
  <c r="AT10" i="1"/>
  <c r="AJ10" i="1"/>
  <c r="T10" i="1"/>
  <c r="S10" i="1"/>
  <c r="R10" i="1"/>
  <c r="Q10" i="1"/>
  <c r="AT9" i="1"/>
  <c r="AJ9" i="1"/>
  <c r="T9" i="1"/>
  <c r="S9" i="1"/>
  <c r="R9" i="1"/>
  <c r="Q9" i="1"/>
  <c r="AT8" i="1"/>
  <c r="AJ8" i="1"/>
  <c r="T8" i="1"/>
  <c r="S8" i="1"/>
  <c r="R8" i="1"/>
  <c r="Q8" i="1"/>
  <c r="AT7" i="1"/>
  <c r="AJ7" i="1"/>
  <c r="T7" i="1"/>
  <c r="S7" i="1"/>
  <c r="R7" i="1"/>
  <c r="Q7" i="1"/>
  <c r="AJ6" i="1"/>
  <c r="T6" i="1"/>
  <c r="S6" i="1"/>
  <c r="R6" i="1"/>
  <c r="Q6" i="1"/>
  <c r="AJ5" i="1"/>
  <c r="T5" i="1"/>
  <c r="S5" i="1"/>
  <c r="R5" i="1"/>
  <c r="Q5" i="1"/>
  <c r="AD40" i="1"/>
  <c r="AA29" i="1"/>
  <c r="AA36" i="1"/>
</calcChain>
</file>

<file path=xl/sharedStrings.xml><?xml version="1.0" encoding="utf-8"?>
<sst xmlns="http://schemas.openxmlformats.org/spreadsheetml/2006/main" count="734" uniqueCount="71">
  <si>
    <t>Week_Start_Date</t>
  </si>
  <si>
    <t>Platform</t>
  </si>
  <si>
    <t>New_Followers</t>
  </si>
  <si>
    <t>Unfollows</t>
  </si>
  <si>
    <t>Total_Followers</t>
  </si>
  <si>
    <t>Engagement_Rate</t>
  </si>
  <si>
    <t>Ad_Spend</t>
  </si>
  <si>
    <t>Year</t>
  </si>
  <si>
    <t>Month</t>
  </si>
  <si>
    <t xml:space="preserve">Week </t>
  </si>
  <si>
    <t>Netgrowth</t>
  </si>
  <si>
    <t>Video Explanation</t>
  </si>
  <si>
    <t>https://drive.google.com/drive/folders/1xrL6QO5Dsx1yptyfHoe3QjEs4t_9xgzP?usp=sharing</t>
  </si>
  <si>
    <t>Facebook</t>
  </si>
  <si>
    <t>Insights</t>
  </si>
  <si>
    <t>Table 1</t>
  </si>
  <si>
    <t>Table 3</t>
  </si>
  <si>
    <t>Average of Total_Followers</t>
  </si>
  <si>
    <t>Average of Engagement_Rate</t>
  </si>
  <si>
    <t>Average of Ad_Spend</t>
  </si>
  <si>
    <t>which type of content works the best (Ref Table 5)</t>
  </si>
  <si>
    <t>Image</t>
  </si>
  <si>
    <t>Grand Total</t>
  </si>
  <si>
    <t>Instagram</t>
  </si>
  <si>
    <t>Story</t>
  </si>
  <si>
    <t xml:space="preserve">Twitter </t>
  </si>
  <si>
    <t>Carousel</t>
  </si>
  <si>
    <t>Twitter</t>
  </si>
  <si>
    <t>Youtube</t>
  </si>
  <si>
    <t>Reel</t>
  </si>
  <si>
    <t>YouTube</t>
  </si>
  <si>
    <t>Where to invest in the ad budget (Ref Table 3)</t>
  </si>
  <si>
    <t xml:space="preserve">Multiplatform investment works, as no single platform is outperforming others enough to show strong narrow focus but Instagram shows bit larger engagement even though the average ad budget on the platform is comparatively less, so could focus more on instagram in terms of ad budget </t>
  </si>
  <si>
    <t>Average of Total Followers per platform year wise</t>
  </si>
  <si>
    <t>Graph 1</t>
  </si>
  <si>
    <t>Table 4</t>
  </si>
  <si>
    <t>Table 6</t>
  </si>
  <si>
    <t>Posted when(Before/After/During)</t>
  </si>
  <si>
    <t>Average of Likes+Shares+Comments</t>
  </si>
  <si>
    <t>Sum of Unfollows</t>
  </si>
  <si>
    <t>AFTER</t>
  </si>
  <si>
    <t>What drives audience growth and loyalty (Ref graph 1 and Table 6)</t>
  </si>
  <si>
    <t>Consistency in providing content and ads. Instagram shows increased audience growth and loyal audience (lesser Unfollowers shows increased loyalty)</t>
  </si>
  <si>
    <t>BEFORE</t>
  </si>
  <si>
    <t>During</t>
  </si>
  <si>
    <t>(blank)</t>
  </si>
  <si>
    <t>How Campaigns imapct brand reach and sales pipeline (Ref Table 4)</t>
  </si>
  <si>
    <t xml:space="preserve">During and after campaign the engagement increases around 5% which shows campaign gives positive impact on reach and sales </t>
  </si>
  <si>
    <t>Engagement Uplift ( on comparing before and during)</t>
  </si>
  <si>
    <t>(during-Before)/Before</t>
  </si>
  <si>
    <t>Insights in simple words</t>
  </si>
  <si>
    <t xml:space="preserve">1. Followers  improved linearly on platform Facebook , instagram and  youtube </t>
  </si>
  <si>
    <t>2. Engagement increases linearly on platform Facebook and youtube</t>
  </si>
  <si>
    <t>3. Overall, on average Instagram shows best engagement for the ad spent , loyal audience and audience growth</t>
  </si>
  <si>
    <t>Table 2</t>
  </si>
  <si>
    <t>Engagement uplift( on comparing before and after</t>
  </si>
  <si>
    <t xml:space="preserve"> (after- before)/before</t>
  </si>
  <si>
    <t xml:space="preserve">4. Twitter shows least performance comparatively on engagement and growth </t>
  </si>
  <si>
    <t>5.  Post during and after campaigns have positive impact on engagement</t>
  </si>
  <si>
    <t>6. #PepsiCoRefresh and #Thirsty for more is the top performing Hashtags</t>
  </si>
  <si>
    <t>7. Campaign SummerSplash shows the highest ROI( Budget per campaign/ Engagement per campaign) in terms of budget and engagement</t>
  </si>
  <si>
    <t>8. Campaign New year Refresh has strongest growth impact (New followers/ Previous week followers)*100 for each campaign)</t>
  </si>
  <si>
    <t>Table 5</t>
  </si>
  <si>
    <t>Sum of Likes</t>
  </si>
  <si>
    <t>Sum of Shares</t>
  </si>
  <si>
    <t>Sum of Comments</t>
  </si>
  <si>
    <t>Likes + Shares+Comments</t>
  </si>
  <si>
    <t>Average of Engagement_Rate yearwise</t>
  </si>
  <si>
    <t>Graph 2</t>
  </si>
  <si>
    <t>Text</t>
  </si>
  <si>
    <t>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</si>
</sst>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5"/>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7">
    <xf numFmtId="0" fontId="0" fillId="0" borderId="0" xfId="0"/>
    <xf numFmtId="14" fontId="0" fillId="0" borderId="0" xfId="0" applyNumberFormat="1"/>
    <xf numFmtId="0" fontId="0" fillId="0" borderId="0" xfId="1" applyNumberFormat="1" applyFont="1"/>
    <xf numFmtId="164" fontId="0" fillId="0" borderId="0" xfId="0" applyNumberFormat="1"/>
    <xf numFmtId="0" fontId="1" fillId="0" borderId="0" xfId="0" applyFont="1"/>
    <xf numFmtId="0" fontId="4" fillId="0" borderId="0" xfId="0" applyFont="1"/>
    <xf numFmtId="0" fontId="3" fillId="0" borderId="0" xfId="2"/>
    <xf numFmtId="14" fontId="4" fillId="0" borderId="0" xfId="0" applyNumberFormat="1" applyFont="1"/>
    <xf numFmtId="0" fontId="4" fillId="0" borderId="0" xfId="1" applyNumberFormat="1" applyFont="1"/>
    <xf numFmtId="164" fontId="4" fillId="0" borderId="0" xfId="0" applyNumberFormat="1" applyFont="1"/>
    <xf numFmtId="0" fontId="2" fillId="2" borderId="1" xfId="0" applyFont="1" applyFill="1" applyBorder="1"/>
    <xf numFmtId="0" fontId="2" fillId="0" borderId="2" xfId="0" applyFont="1" applyBorder="1" applyAlignment="1">
      <alignment horizontal="center"/>
    </xf>
    <xf numFmtId="0" fontId="0" fillId="0" borderId="1" xfId="0" applyBorder="1"/>
    <xf numFmtId="0" fontId="1" fillId="0" borderId="1" xfId="0" applyFont="1" applyBorder="1"/>
    <xf numFmtId="0" fontId="2" fillId="0" borderId="3" xfId="0" applyFont="1" applyBorder="1" applyAlignment="1">
      <alignment horizontal="center" vertical="center"/>
    </xf>
    <xf numFmtId="0" fontId="1" fillId="2" borderId="1" xfId="0" applyFont="1" applyFill="1" applyBorder="1"/>
    <xf numFmtId="0" fontId="0" fillId="0" borderId="1" xfId="0" applyBorder="1" applyAlignment="1">
      <alignment horizontal="left"/>
    </xf>
    <xf numFmtId="0" fontId="2" fillId="0" borderId="4" xfId="0" applyFont="1" applyBorder="1" applyAlignment="1">
      <alignment horizontal="center" vertical="center"/>
    </xf>
    <xf numFmtId="0" fontId="5" fillId="2" borderId="1" xfId="0" applyFont="1" applyFill="1" applyBorder="1" applyAlignment="1">
      <alignment horizontal="left"/>
    </xf>
    <xf numFmtId="0" fontId="5" fillId="2" borderId="1" xfId="0" applyFont="1" applyFill="1" applyBorder="1"/>
    <xf numFmtId="0" fontId="2" fillId="0" borderId="5" xfId="0" applyFont="1" applyBorder="1" applyAlignment="1">
      <alignment horizontal="center" vertical="center"/>
    </xf>
    <xf numFmtId="0" fontId="2" fillId="0" borderId="0" xfId="0" applyFont="1"/>
    <xf numFmtId="0" fontId="2" fillId="0" borderId="1" xfId="0" applyFont="1" applyBorder="1" applyAlignment="1">
      <alignment horizontal="center"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0" fillId="2" borderId="1" xfId="0" applyFill="1" applyBorder="1" applyAlignment="1">
      <alignment horizontal="center"/>
    </xf>
    <xf numFmtId="0" fontId="2" fillId="0" borderId="6" xfId="0" applyFont="1" applyBorder="1" applyAlignment="1">
      <alignment horizontal="center"/>
    </xf>
    <xf numFmtId="0" fontId="2" fillId="0" borderId="1" xfId="0" applyFont="1" applyBorder="1" applyAlignment="1">
      <alignment horizontal="center"/>
    </xf>
    <xf numFmtId="0" fontId="2" fillId="0" borderId="6" xfId="0" applyFont="1" applyBorder="1" applyAlignment="1">
      <alignment horizontal="center" vertical="center" wrapText="1"/>
    </xf>
    <xf numFmtId="0" fontId="1" fillId="2" borderId="6" xfId="0" applyFont="1" applyFill="1" applyBorder="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2" borderId="1" xfId="0" applyFont="1" applyFill="1" applyBorder="1" applyAlignment="1">
      <alignment horizontal="center"/>
    </xf>
    <xf numFmtId="9" fontId="0" fillId="2" borderId="1" xfId="1" applyFont="1" applyFill="1" applyBorder="1"/>
    <xf numFmtId="0" fontId="1" fillId="0" borderId="1" xfId="0" applyFont="1" applyBorder="1" applyAlignment="1">
      <alignment horizontal="left" vertical="center"/>
    </xf>
    <xf numFmtId="0" fontId="1" fillId="0" borderId="2" xfId="0" applyFont="1" applyBorder="1" applyAlignment="1">
      <alignment horizontal="center"/>
    </xf>
    <xf numFmtId="0" fontId="0" fillId="0" borderId="2" xfId="0" applyBorder="1" applyAlignment="1">
      <alignment horizontal="center"/>
    </xf>
    <xf numFmtId="0" fontId="0" fillId="0" borderId="1" xfId="0" applyBorder="1" applyAlignment="1">
      <alignment horizontal="center" vertical="center" wrapText="1"/>
    </xf>
    <xf numFmtId="0" fontId="2" fillId="3" borderId="1" xfId="0" applyFont="1" applyFill="1" applyBorder="1"/>
    <xf numFmtId="0" fontId="2" fillId="0" borderId="1" xfId="0" applyFont="1" applyBorder="1"/>
    <xf numFmtId="0" fontId="0" fillId="0" borderId="1" xfId="0" applyBorder="1" applyAlignment="1">
      <alignment horizontal="left" indent="1"/>
    </xf>
    <xf numFmtId="0" fontId="2" fillId="0" borderId="0" xfId="0" applyFont="1" applyAlignment="1">
      <alignment horizontal="center"/>
    </xf>
    <xf numFmtId="0" fontId="0" fillId="3" borderId="1" xfId="0" applyFill="1" applyBorder="1" applyAlignment="1">
      <alignment horizontal="left" indent="1"/>
    </xf>
    <xf numFmtId="0" fontId="0" fillId="3" borderId="1" xfId="0" applyFill="1" applyBorder="1"/>
  </cellXfs>
  <cellStyles count="3">
    <cellStyle name="Hyperlink" xfId="2" builtinId="8"/>
    <cellStyle name="Normal" xfId="0" builtinId="0"/>
    <cellStyle name="Percent" xfId="1" builtinId="5"/>
  </cellStyles>
  <dxfs count="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font>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sharedStrings" Target="sharedStrings.xml"/><Relationship Id="rId5" Type="http://schemas.openxmlformats.org/officeDocument/2006/relationships/pivotCacheDefinition" Target="pivotCache/pivotCacheDefinition3.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[Insights.xlsx]Insights!PivotTable38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Insights!$V$7:$V$8</c:f>
              <c:strCache>
                <c:ptCount val="1"/>
                <c:pt idx="0">
                  <c:v>2024</c:v>
                </c:pt>
              </c:strCache>
            </c:strRef>
          </c:tx>
          <c:spPr>
            <a:solidFill>
              <a:schemeClr val="accent1"/>
            </a:solidFill>
            <a:ln>
              <a:noFill/>
            </a:ln>
            <a:effectLst/>
          </c:spPr>
          <c:invertIfNegative val="0"/>
          <c:cat>
            <c:strRef>
              <c:f>Insights!$U$9:$U$13</c:f>
              <c:strCache>
                <c:ptCount val="4"/>
                <c:pt idx="0">
                  <c:v>Facebook</c:v>
                </c:pt>
                <c:pt idx="1">
                  <c:v>Instagram</c:v>
                </c:pt>
                <c:pt idx="2">
                  <c:v>Twitter</c:v>
                </c:pt>
                <c:pt idx="3">
                  <c:v>YouTube</c:v>
                </c:pt>
              </c:strCache>
            </c:strRef>
          </c:cat>
          <c:val>
            <c:numRef>
              <c:f>Insights!$V$9:$V$13</c:f>
              <c:numCache>
                <c:formatCode>General</c:formatCode>
                <c:ptCount val="4"/>
                <c:pt idx="0">
                  <c:v>275113.61290322582</c:v>
                </c:pt>
                <c:pt idx="1">
                  <c:v>267535.32258064515</c:v>
                </c:pt>
                <c:pt idx="2">
                  <c:v>270290.12903225806</c:v>
                </c:pt>
                <c:pt idx="3">
                  <c:v>222639</c:v>
                </c:pt>
              </c:numCache>
            </c:numRef>
          </c:val>
          <c:extLst>
            <c:ext xmlns:c16="http://schemas.microsoft.com/office/drawing/2014/chart" uri="{C3380CC4-5D6E-409C-BE32-E72D297353CC}">
              <c16:uniqueId val="{00000000-D86B-470E-9870-BB679D060E51}"/>
            </c:ext>
          </c:extLst>
        </c:ser>
        <c:ser>
          <c:idx val="1"/>
          <c:order val="1"/>
          <c:tx>
            <c:strRef>
              <c:f>Insights!$W$7:$W$8</c:f>
              <c:strCache>
                <c:ptCount val="1"/>
                <c:pt idx="0">
                  <c:v>2025</c:v>
                </c:pt>
              </c:strCache>
            </c:strRef>
          </c:tx>
          <c:spPr>
            <a:solidFill>
              <a:schemeClr val="accent2"/>
            </a:solidFill>
            <a:ln>
              <a:noFill/>
            </a:ln>
            <a:effectLst/>
          </c:spPr>
          <c:invertIfNegative val="0"/>
          <c:cat>
            <c:strRef>
              <c:f>Insights!$U$9:$U$13</c:f>
              <c:strCache>
                <c:ptCount val="4"/>
                <c:pt idx="0">
                  <c:v>Facebook</c:v>
                </c:pt>
                <c:pt idx="1">
                  <c:v>Instagram</c:v>
                </c:pt>
                <c:pt idx="2">
                  <c:v>Twitter</c:v>
                </c:pt>
                <c:pt idx="3">
                  <c:v>YouTube</c:v>
                </c:pt>
              </c:strCache>
            </c:strRef>
          </c:cat>
          <c:val>
            <c:numRef>
              <c:f>Insights!$W$9:$W$13</c:f>
              <c:numCache>
                <c:formatCode>General</c:formatCode>
                <c:ptCount val="4"/>
                <c:pt idx="0">
                  <c:v>276373.63157894736</c:v>
                </c:pt>
                <c:pt idx="1">
                  <c:v>318862.68421052629</c:v>
                </c:pt>
                <c:pt idx="2">
                  <c:v>255137.21052631579</c:v>
                </c:pt>
                <c:pt idx="3">
                  <c:v>243473.94736842104</c:v>
                </c:pt>
              </c:numCache>
            </c:numRef>
          </c:val>
          <c:extLst>
            <c:ext xmlns:c16="http://schemas.microsoft.com/office/drawing/2014/chart" uri="{C3380CC4-5D6E-409C-BE32-E72D297353CC}">
              <c16:uniqueId val="{00000001-D86B-470E-9870-BB679D060E51}"/>
            </c:ext>
          </c:extLst>
        </c:ser>
        <c:dLbls>
          <c:showLegendKey val="0"/>
          <c:showVal val="0"/>
          <c:showCatName val="0"/>
          <c:showSerName val="0"/>
          <c:showPercent val="0"/>
          <c:showBubbleSize val="0"/>
        </c:dLbls>
        <c:gapWidth val="219"/>
        <c:overlap val="-27"/>
        <c:axId val="41507392"/>
        <c:axId val="41509120"/>
      </c:barChart>
      <c:catAx>
        <c:axId val="415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9120"/>
        <c:crosses val="autoZero"/>
        <c:auto val="1"/>
        <c:lblAlgn val="ctr"/>
        <c:lblOffset val="100"/>
        <c:noMultiLvlLbl val="0"/>
      </c:catAx>
      <c:valAx>
        <c:axId val="4150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[Insights.xlsx]Insights!PivotTable40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6.0185185185185182E-2"/>
          <c:w val="0.76826202974628166"/>
          <c:h val="0.8416746864975212"/>
        </c:manualLayout>
      </c:layout>
      <c:barChart>
        <c:barDir val="col"/>
        <c:grouping val="clustered"/>
        <c:varyColors val="0"/>
        <c:ser>
          <c:idx val="0"/>
          <c:order val="0"/>
          <c:tx>
            <c:strRef>
              <c:f>Insights!$V$33:$V$34</c:f>
              <c:strCache>
                <c:ptCount val="1"/>
                <c:pt idx="0">
                  <c:v>2024</c:v>
                </c:pt>
              </c:strCache>
            </c:strRef>
          </c:tx>
          <c:spPr>
            <a:solidFill>
              <a:schemeClr val="accent1"/>
            </a:solidFill>
            <a:ln>
              <a:noFill/>
            </a:ln>
            <a:effectLst/>
          </c:spPr>
          <c:invertIfNegative val="0"/>
          <c:cat>
            <c:strRef>
              <c:f>Insights!$U$35:$U$39</c:f>
              <c:strCache>
                <c:ptCount val="4"/>
                <c:pt idx="0">
                  <c:v>Facebook</c:v>
                </c:pt>
                <c:pt idx="1">
                  <c:v>Instagram</c:v>
                </c:pt>
                <c:pt idx="2">
                  <c:v>Twitter</c:v>
                </c:pt>
                <c:pt idx="3">
                  <c:v>YouTube</c:v>
                </c:pt>
              </c:strCache>
            </c:strRef>
          </c:cat>
          <c:val>
            <c:numRef>
              <c:f>Insights!$V$35:$V$39</c:f>
              <c:numCache>
                <c:formatCode>General</c:formatCode>
                <c:ptCount val="4"/>
                <c:pt idx="0">
                  <c:v>5.4558064516129032E-2</c:v>
                </c:pt>
                <c:pt idx="1">
                  <c:v>5.8483870967741942E-2</c:v>
                </c:pt>
                <c:pt idx="2">
                  <c:v>6.1574193548387092E-2</c:v>
                </c:pt>
                <c:pt idx="3">
                  <c:v>5.2664516129032252E-2</c:v>
                </c:pt>
              </c:numCache>
            </c:numRef>
          </c:val>
          <c:extLst>
            <c:ext xmlns:c16="http://schemas.microsoft.com/office/drawing/2014/chart" uri="{C3380CC4-5D6E-409C-BE32-E72D297353CC}">
              <c16:uniqueId val="{00000000-41E1-455D-AD3E-36E24CE66EDA}"/>
            </c:ext>
          </c:extLst>
        </c:ser>
        <c:ser>
          <c:idx val="1"/>
          <c:order val="1"/>
          <c:tx>
            <c:strRef>
              <c:f>Insights!$W$33:$W$34</c:f>
              <c:strCache>
                <c:ptCount val="1"/>
                <c:pt idx="0">
                  <c:v>2025</c:v>
                </c:pt>
              </c:strCache>
            </c:strRef>
          </c:tx>
          <c:spPr>
            <a:solidFill>
              <a:schemeClr val="accent2"/>
            </a:solidFill>
            <a:ln>
              <a:noFill/>
            </a:ln>
            <a:effectLst/>
          </c:spPr>
          <c:invertIfNegative val="0"/>
          <c:cat>
            <c:strRef>
              <c:f>Insights!$U$35:$U$39</c:f>
              <c:strCache>
                <c:ptCount val="4"/>
                <c:pt idx="0">
                  <c:v>Facebook</c:v>
                </c:pt>
                <c:pt idx="1">
                  <c:v>Instagram</c:v>
                </c:pt>
                <c:pt idx="2">
                  <c:v>Twitter</c:v>
                </c:pt>
                <c:pt idx="3">
                  <c:v>YouTube</c:v>
                </c:pt>
              </c:strCache>
            </c:strRef>
          </c:cat>
          <c:val>
            <c:numRef>
              <c:f>Insights!$W$35:$W$39</c:f>
              <c:numCache>
                <c:formatCode>General</c:formatCode>
                <c:ptCount val="4"/>
                <c:pt idx="0">
                  <c:v>5.9631578947368431E-2</c:v>
                </c:pt>
                <c:pt idx="1">
                  <c:v>5.4989473684210526E-2</c:v>
                </c:pt>
                <c:pt idx="2">
                  <c:v>4.8373684210526312E-2</c:v>
                </c:pt>
                <c:pt idx="3">
                  <c:v>6.035789473684211E-2</c:v>
                </c:pt>
              </c:numCache>
            </c:numRef>
          </c:val>
          <c:extLst>
            <c:ext xmlns:c16="http://schemas.microsoft.com/office/drawing/2014/chart" uri="{C3380CC4-5D6E-409C-BE32-E72D297353CC}">
              <c16:uniqueId val="{00000001-41E1-455D-AD3E-36E24CE66EDA}"/>
            </c:ext>
          </c:extLst>
        </c:ser>
        <c:dLbls>
          <c:showLegendKey val="0"/>
          <c:showVal val="0"/>
          <c:showCatName val="0"/>
          <c:showSerName val="0"/>
          <c:showPercent val="0"/>
          <c:showBubbleSize val="0"/>
        </c:dLbls>
        <c:gapWidth val="219"/>
        <c:overlap val="-27"/>
        <c:axId val="178471712"/>
        <c:axId val="446391840"/>
      </c:barChart>
      <c:catAx>
        <c:axId val="1784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391840"/>
        <c:crosses val="autoZero"/>
        <c:auto val="1"/>
        <c:lblAlgn val="ctr"/>
        <c:lblOffset val="100"/>
        <c:noMultiLvlLbl val="0"/>
      </c:catAx>
      <c:valAx>
        <c:axId val="44639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7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101600</xdr:colOff>
      <xdr:row>16</xdr:row>
      <xdr:rowOff>38100</xdr:rowOff>
    </xdr:from>
    <xdr:to>
      <xdr:col>24</xdr:col>
      <xdr:colOff>152400</xdr:colOff>
      <xdr:row>30</xdr:row>
      <xdr:rowOff>114300</xdr:rowOff>
    </xdr:to>
    <xdr:graphicFrame macro="">
      <xdr:nvGraphicFramePr>
        <xdr:cNvPr id="2" name="Chart 1">
          <a:extLst>
            <a:ext uri="{FF2B5EF4-FFF2-40B4-BE49-F238E27FC236}">
              <a16:creationId xmlns:a16="http://schemas.microsoft.com/office/drawing/2014/main" id="{53320993-2DFE-4A45-9F32-22DABF4B3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50800</xdr:colOff>
      <xdr:row>42</xdr:row>
      <xdr:rowOff>165100</xdr:rowOff>
    </xdr:from>
    <xdr:to>
      <xdr:col>23</xdr:col>
      <xdr:colOff>749300</xdr:colOff>
      <xdr:row>57</xdr:row>
      <xdr:rowOff>50800</xdr:rowOff>
    </xdr:to>
    <xdr:graphicFrame macro="">
      <xdr:nvGraphicFramePr>
        <xdr:cNvPr id="3" name="Chart 2">
          <a:extLst>
            <a:ext uri="{FF2B5EF4-FFF2-40B4-BE49-F238E27FC236}">
              <a16:creationId xmlns:a16="http://schemas.microsoft.com/office/drawing/2014/main" id="{7A0D14D3-87DE-4A93-B6CE-F9D52BA43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ndia\AppData\Local\Temp\9f718357-ceab-468c-bd61-2b1fe2d6d3b7_excel%20project-sanikabalaji07@gmail.com.zip.3b7\excel%20project\Social_Media_Analytics_Dataset.xlsx" TargetMode="External"/><Relationship Id="rId1" Type="http://schemas.openxmlformats.org/officeDocument/2006/relationships/externalLinkPath" Target="/Users/India/AppData/Local/Temp/9f718357-ceab-468c-bd61-2b1fe2d6d3b7_excel%20project-sanikabalaji07@gmail.com.zip.3b7/excel%20project/Social_Media_Analytic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aign Metadata(Task1)"/>
      <sheetName val="Engagement Summary(Task1)"/>
      <sheetName val="Posts(Task1)"/>
      <sheetName val="Task 2"/>
      <sheetName val="Task 3"/>
      <sheetName val="Task 5"/>
      <sheetName val="Task 6"/>
      <sheetName val="Insights"/>
      <sheetName val="Posts(raw)"/>
      <sheetName val="Engagement Summary(raw)"/>
      <sheetName val="Campaign Metadata(ra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India/AppData/Local/Temp/9f718357-ceab-468c-bd61-2b1fe2d6d3b7_excel%20project-sanikabalaji07@gmail.com.zip.3b7/excel%20project/Social_Media_Analytics_Dataset.xlsx"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9.587140625001" createdVersion="8" refreshedVersion="8" minRefreshableVersion="3" recordCount="200" xr:uid="{C0189764-25CE-4C78-AA08-25A25525DFEB}">
  <cacheSource type="worksheet">
    <worksheetSource ref="AR6:AT206" sheet="Insights" r:id="rId2"/>
  </cacheSource>
  <cacheFields count="3">
    <cacheField name="Platform" numFmtId="0">
      <sharedItems count="4">
        <s v="Facebook"/>
        <s v="Instagram"/>
        <s v="Twitter"/>
        <s v="YouTube"/>
      </sharedItems>
    </cacheField>
    <cacheField name="Unfollows" numFmtId="0">
      <sharedItems containsSemiMixedTypes="0" containsString="0" containsNumber="1" containsInteger="1" minValue="20" maxValue="498"/>
    </cacheField>
    <cacheField name="Year" numFmtId="0">
      <sharedItems containsSemiMixedTypes="0" containsString="0" containsNumber="1" containsInteger="1" minValue="1900" maxValue="2025" count="3">
        <n v="2024"/>
        <n v="2025"/>
        <n v="19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3.469920254633" createdVersion="8" refreshedVersion="8" minRefreshableVersion="3" recordCount="300" xr:uid="{6C4B4A3E-7FDF-4019-8BFE-24A69D6E74CA}">
  <cacheSource type="worksheet">
    <worksheetSource ref="G6:Q306" sheet="Task 2" r:id="rId2"/>
  </cacheSource>
  <cacheFields count="11">
    <cacheField name="Post ID" numFmtId="0">
      <sharedItems/>
    </cacheField>
    <cacheField name="Platform" numFmtId="0">
      <sharedItems count="4">
        <s v="Twitter"/>
        <s v="YouTube"/>
        <s v="Instagram"/>
        <s v="Facebook"/>
      </sharedItems>
    </cacheField>
    <cacheField name="Date" numFmtId="0">
      <sharedItems containsSemiMixedTypes="0" containsString="0" containsNumber="1" containsInteger="1" minValue="45444" maxValue="45791"/>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6.719047569444" createdVersion="8" refreshedVersion="8" minRefreshableVersion="3" recordCount="339" xr:uid="{0F5E5BA1-0CC6-4A15-A0DF-DE8D981FB248}">
  <cacheSource type="worksheet">
    <worksheetSource ref="M9:U348" sheet="Task 5" r:id="rId2"/>
  </cacheSource>
  <cacheFields count="9">
    <cacheField name="Campaign_Name" numFmtId="0">
      <sharedItems containsBlank="1"/>
    </cacheField>
    <cacheField name="Likes+Shares+Comments" numFmtId="0">
      <sharedItems containsSemiMixedTypes="0" containsString="0" containsNumber="1" containsInteger="1" minValue="315" maxValue="6278" count="293">
        <n v="1989"/>
        <n v="4936"/>
        <n v="2949"/>
        <n v="2905"/>
        <n v="4668"/>
        <n v="4230"/>
        <n v="4340"/>
        <n v="4469"/>
        <n v="4996"/>
        <n v="5190"/>
        <n v="2903"/>
        <n v="3009"/>
        <n v="1688"/>
        <n v="4928"/>
        <n v="4620"/>
        <n v="4189"/>
        <n v="5022"/>
        <n v="3707"/>
        <n v="1612"/>
        <n v="4915"/>
        <n v="5606"/>
        <n v="2017"/>
        <n v="2469"/>
        <n v="4853"/>
        <n v="3536"/>
        <n v="3780"/>
        <n v="2375"/>
        <n v="1179"/>
        <n v="2721"/>
        <n v="3212"/>
        <n v="866"/>
        <n v="2609"/>
        <n v="2158"/>
        <n v="2098"/>
        <n v="4030"/>
        <n v="5186"/>
        <n v="4299"/>
        <n v="3552"/>
        <n v="4370"/>
        <n v="5316"/>
        <n v="1513"/>
        <n v="2696"/>
        <n v="2847"/>
        <n v="3486"/>
        <n v="3804"/>
        <n v="1497"/>
        <n v="3609"/>
        <n v="2723"/>
        <n v="2987"/>
        <n v="2974"/>
        <n v="2943"/>
        <n v="1635"/>
        <n v="1486"/>
        <n v="3062"/>
        <n v="1352"/>
        <n v="3811"/>
        <n v="3655"/>
        <n v="892"/>
        <n v="2830"/>
        <n v="1940"/>
        <n v="6278"/>
        <n v="513"/>
        <n v="4737"/>
        <n v="3542"/>
        <n v="2481"/>
        <n v="883"/>
        <n v="5407"/>
        <n v="3024"/>
        <n v="2414"/>
        <n v="1371"/>
        <n v="3671"/>
        <n v="497"/>
        <n v="5038"/>
        <n v="2229"/>
        <n v="2640"/>
        <n v="1274"/>
        <n v="1785"/>
        <n v="1566"/>
        <n v="3534"/>
        <n v="3098"/>
        <n v="1886"/>
        <n v="1241"/>
        <n v="1587"/>
        <n v="3034"/>
        <n v="4801"/>
        <n v="3818"/>
        <n v="2697"/>
        <n v="779"/>
        <n v="2615"/>
        <n v="4922"/>
        <n v="5169"/>
        <n v="2408"/>
        <n v="3121"/>
        <n v="3901"/>
        <n v="2048"/>
        <n v="5401"/>
        <n v="2832"/>
        <n v="4805"/>
        <n v="2282"/>
        <n v="5576"/>
        <n v="2140"/>
        <n v="4043"/>
        <n v="4509"/>
        <n v="578"/>
        <n v="5939"/>
        <n v="5735"/>
        <n v="5268"/>
        <n v="4277"/>
        <n v="4758"/>
        <n v="3021"/>
        <n v="3072"/>
        <n v="5024"/>
        <n v="5177"/>
        <n v="2634"/>
        <n v="4348"/>
        <n v="2462"/>
        <n v="5472"/>
        <n v="3123"/>
        <n v="2009"/>
        <n v="1611"/>
        <n v="4424"/>
        <n v="5152"/>
        <n v="1732"/>
        <n v="4893"/>
        <n v="4566"/>
        <n v="4546"/>
        <n v="3489"/>
        <n v="2970"/>
        <n v="3419"/>
        <n v="5709"/>
        <n v="2890"/>
        <n v="2675"/>
        <n v="3981"/>
        <n v="4900"/>
        <n v="4466"/>
        <n v="3139"/>
        <n v="735"/>
        <n v="3105"/>
        <n v="2854"/>
        <n v="4406"/>
        <n v="2731"/>
        <n v="522"/>
        <n v="6130"/>
        <n v="2119"/>
        <n v="3979"/>
        <n v="4926"/>
        <n v="2631"/>
        <n v="5473"/>
        <n v="3907"/>
        <n v="5624"/>
        <n v="1208"/>
        <n v="2204"/>
        <n v="2623"/>
        <n v="4775"/>
        <n v="5154"/>
        <n v="2590"/>
        <n v="2766"/>
        <n v="1775"/>
        <n v="5913"/>
        <n v="4160"/>
        <n v="5199"/>
        <n v="6061"/>
        <n v="3493"/>
        <n v="1695"/>
        <n v="5645"/>
        <n v="3226"/>
        <n v="4282"/>
        <n v="4666"/>
        <n v="1797"/>
        <n v="3800"/>
        <n v="2290"/>
        <n v="4229"/>
        <n v="1109"/>
        <n v="4108"/>
        <n v="3964"/>
        <n v="908"/>
        <n v="4858"/>
        <n v="4353"/>
        <n v="1865"/>
        <n v="5226"/>
        <n v="1343"/>
        <n v="4377"/>
        <n v="4741"/>
        <n v="4735"/>
        <n v="2340"/>
        <n v="3476"/>
        <n v="4385"/>
        <n v="2195"/>
        <n v="5547"/>
        <n v="2034"/>
        <n v="5304"/>
        <n v="5128"/>
        <n v="1624"/>
        <n v="2508"/>
        <n v="5585"/>
        <n v="1872"/>
        <n v="3004"/>
        <n v="4413"/>
        <n v="1308"/>
        <n v="2458"/>
        <n v="4110"/>
        <n v="3319"/>
        <n v="4785"/>
        <n v="1520"/>
        <n v="4895"/>
        <n v="3828"/>
        <n v="3661"/>
        <n v="1621"/>
        <n v="2370"/>
        <n v="4777"/>
        <n v="3767"/>
        <n v="1582"/>
        <n v="5973"/>
        <n v="1760"/>
        <n v="5767"/>
        <n v="2812"/>
        <n v="1832"/>
        <n v="1066"/>
        <n v="4984"/>
        <n v="3733"/>
        <n v="5029"/>
        <n v="2223"/>
        <n v="525"/>
        <n v="5900"/>
        <n v="5782"/>
        <n v="3975"/>
        <n v="1839"/>
        <n v="1071"/>
        <n v="2781"/>
        <n v="1836"/>
        <n v="4513"/>
        <n v="1627"/>
        <n v="4816"/>
        <n v="5487"/>
        <n v="5248"/>
        <n v="1443"/>
        <n v="5367"/>
        <n v="5297"/>
        <n v="4878"/>
        <n v="6029"/>
        <n v="5057"/>
        <n v="1514"/>
        <n v="4234"/>
        <n v="1165"/>
        <n v="1306"/>
        <n v="2560"/>
        <n v="4612"/>
        <n v="2871"/>
        <n v="4519"/>
        <n v="2359"/>
        <n v="3951"/>
        <n v="4371"/>
        <n v="869"/>
        <n v="5322"/>
        <n v="6030"/>
        <n v="1480"/>
        <n v="3498"/>
        <n v="315"/>
        <n v="5062"/>
        <n v="4284"/>
        <n v="5004"/>
        <n v="5053"/>
        <n v="4052"/>
        <n v="4435"/>
        <n v="5621"/>
        <n v="3913"/>
        <n v="4181"/>
        <n v="2917"/>
        <n v="1882"/>
        <n v="5245"/>
        <n v="5521"/>
        <n v="5879"/>
        <n v="5340"/>
        <n v="3597"/>
        <n v="2073"/>
        <n v="3726"/>
        <n v="1113"/>
        <n v="4892"/>
        <n v="3962"/>
        <n v="2104"/>
        <n v="5851"/>
        <n v="3214"/>
        <n v="3006"/>
        <n v="5033"/>
        <n v="1522"/>
        <n v="3601"/>
        <n v="5180"/>
        <n v="2583"/>
        <n v="3473"/>
        <n v="2637"/>
        <n v="5040"/>
        <n v="3215"/>
        <n v="5256"/>
      </sharedItems>
    </cacheField>
    <cacheField name="Start Date" numFmtId="14">
      <sharedItems containsNonDate="0" containsDate="1" containsString="0" containsBlank="1" minDate="2024-06-15T00:00:00" maxDate="2025-03-02T00:00:00"/>
    </cacheField>
    <cacheField name="End Date" numFmtId="14">
      <sharedItems containsNonDate="0" containsDate="1" containsString="0" containsBlank="1" minDate="2024-07-15T00:00:00" maxDate="2025-04-01T00:00:00"/>
    </cacheField>
    <cacheField name="number of days" numFmtId="0">
      <sharedItems containsString="0" containsBlank="1" containsNumber="1" containsInteger="1" minValue="16" maxValue="30"/>
    </cacheField>
    <cacheField name="Post ID" numFmtId="0">
      <sharedItems containsBlank="1"/>
    </cacheField>
    <cacheField name="Posted Date" numFmtId="0">
      <sharedItems containsDate="1" containsBlank="1" containsMixedTypes="1" minDate="2024-06-02T00:00:00" maxDate="2025-05-15T00:00:00"/>
    </cacheField>
    <cacheField name="Posted during Campaign?" numFmtId="0">
      <sharedItems/>
    </cacheField>
    <cacheField name="Posted when (Before/After/During) Campaign" numFmtId="0">
      <sharedItems containsBlank="1" count="4">
        <s v="AFTER"/>
        <s v="BEFORE"/>
        <s v="During"/>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9.503009837965" createdVersion="8" refreshedVersion="8" minRefreshableVersion="3" recordCount="200" xr:uid="{C1DA4537-DD5B-4451-9327-E627CB4C6822}">
  <cacheSource type="worksheet">
    <worksheetSource ref="AE1:AI204" sheet="Insights" r:id="rId2"/>
  </cacheSource>
  <cacheFields count="5">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Engagement_Rate" numFmtId="0">
      <sharedItems containsSemiMixedTypes="0" containsString="0" containsNumber="1" minValue="1.5300000000000001E-2" maxValue="9.4800000000000009E-2"/>
    </cacheField>
    <cacheField name="Year" numFmtId="0">
      <sharedItems containsSemiMixedTypes="0" containsString="0" containsNumber="1" containsInteger="1" minValue="2024" maxValue="2025" count="2">
        <n v="2024"/>
        <n v="2025"/>
      </sharedItems>
    </cacheField>
    <cacheField name="Ad_Spend" numFmtId="164">
      <sharedItems containsSemiMixedTypes="0" containsString="0" containsNumber="1" containsInteger="1" minValue="1083" maxValue="4977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9.499375810185" createdVersion="8" refreshedVersion="8" minRefreshableVersion="3" recordCount="200" xr:uid="{1055DE4B-F7E6-4CC2-9ABC-851650F6D0C0}">
  <cacheSource type="worksheet">
    <worksheetSource ref="AE1:AH204" sheet="Insights" r:id="rId2"/>
  </cacheSource>
  <cacheFields count="4">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Engagement_Rate" numFmtId="0">
      <sharedItems containsSemiMixedTypes="0" containsString="0" containsNumber="1" minValue="1.5300000000000001E-2" maxValue="9.4800000000000009E-2"/>
    </cacheField>
    <cacheField name="Year" numFmtId="0">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9.495066898147" createdVersion="8" refreshedVersion="8" minRefreshableVersion="3" recordCount="200" xr:uid="{A25CA3F7-6B64-4FD9-9AF4-1A493D9626AE}">
  <cacheSource type="worksheet">
    <worksheetSource ref="J1:T204" sheet="Insights" r:id="rId2"/>
  </cacheSource>
  <cacheFields count="11">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00000000000001E-2" maxValue="9.4800000000000009E-2"/>
    </cacheField>
    <cacheField name="Ad_Spend" numFmtId="164">
      <sharedItems containsSemiMixedTypes="0" containsString="0" containsNumber="1" containsInteger="1" minValue="1083" maxValue="49772"/>
    </cacheField>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acheField>
    <cacheField name="Week " numFmtId="0">
      <sharedItems containsSemiMixedTypes="0" containsString="0" containsNumber="1" containsInteger="1" minValue="1" maxValue="5"/>
    </cacheField>
    <cacheField name="Netgrowth"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310"/>
    <x v="0"/>
  </r>
  <r>
    <x v="0"/>
    <n v="414"/>
    <x v="0"/>
  </r>
  <r>
    <x v="0"/>
    <n v="371"/>
    <x v="0"/>
  </r>
  <r>
    <x v="0"/>
    <n v="109"/>
    <x v="0"/>
  </r>
  <r>
    <x v="0"/>
    <n v="441"/>
    <x v="0"/>
  </r>
  <r>
    <x v="0"/>
    <n v="41"/>
    <x v="0"/>
  </r>
  <r>
    <x v="0"/>
    <n v="334"/>
    <x v="0"/>
  </r>
  <r>
    <x v="0"/>
    <n v="430"/>
    <x v="0"/>
  </r>
  <r>
    <x v="0"/>
    <n v="478"/>
    <x v="0"/>
  </r>
  <r>
    <x v="0"/>
    <n v="411"/>
    <x v="0"/>
  </r>
  <r>
    <x v="0"/>
    <n v="200"/>
    <x v="0"/>
  </r>
  <r>
    <x v="0"/>
    <n v="20"/>
    <x v="0"/>
  </r>
  <r>
    <x v="0"/>
    <n v="211"/>
    <x v="0"/>
  </r>
  <r>
    <x v="0"/>
    <n v="475"/>
    <x v="0"/>
  </r>
  <r>
    <x v="0"/>
    <n v="414"/>
    <x v="0"/>
  </r>
  <r>
    <x v="0"/>
    <n v="345"/>
    <x v="0"/>
  </r>
  <r>
    <x v="0"/>
    <n v="217"/>
    <x v="0"/>
  </r>
  <r>
    <x v="0"/>
    <n v="429"/>
    <x v="0"/>
  </r>
  <r>
    <x v="0"/>
    <n v="267"/>
    <x v="0"/>
  </r>
  <r>
    <x v="0"/>
    <n v="358"/>
    <x v="0"/>
  </r>
  <r>
    <x v="0"/>
    <n v="69"/>
    <x v="0"/>
  </r>
  <r>
    <x v="0"/>
    <n v="473"/>
    <x v="0"/>
  </r>
  <r>
    <x v="0"/>
    <n v="407"/>
    <x v="0"/>
  </r>
  <r>
    <x v="0"/>
    <n v="277"/>
    <x v="0"/>
  </r>
  <r>
    <x v="0"/>
    <n v="441"/>
    <x v="0"/>
  </r>
  <r>
    <x v="0"/>
    <n v="378"/>
    <x v="0"/>
  </r>
  <r>
    <x v="0"/>
    <n v="196"/>
    <x v="0"/>
  </r>
  <r>
    <x v="0"/>
    <n v="141"/>
    <x v="0"/>
  </r>
  <r>
    <x v="0"/>
    <n v="246"/>
    <x v="0"/>
  </r>
  <r>
    <x v="0"/>
    <n v="425"/>
    <x v="1"/>
  </r>
  <r>
    <x v="0"/>
    <n v="204"/>
    <x v="1"/>
  </r>
  <r>
    <x v="0"/>
    <n v="196"/>
    <x v="1"/>
  </r>
  <r>
    <x v="0"/>
    <n v="353"/>
    <x v="1"/>
  </r>
  <r>
    <x v="0"/>
    <n v="236"/>
    <x v="1"/>
  </r>
  <r>
    <x v="0"/>
    <n v="351"/>
    <x v="1"/>
  </r>
  <r>
    <x v="0"/>
    <n v="411"/>
    <x v="1"/>
  </r>
  <r>
    <x v="0"/>
    <n v="382"/>
    <x v="1"/>
  </r>
  <r>
    <x v="0"/>
    <n v="305"/>
    <x v="1"/>
  </r>
  <r>
    <x v="0"/>
    <n v="177"/>
    <x v="1"/>
  </r>
  <r>
    <x v="0"/>
    <n v="464"/>
    <x v="1"/>
  </r>
  <r>
    <x v="0"/>
    <n v="190"/>
    <x v="1"/>
  </r>
  <r>
    <x v="0"/>
    <n v="242"/>
    <x v="1"/>
  </r>
  <r>
    <x v="0"/>
    <n v="135"/>
    <x v="1"/>
  </r>
  <r>
    <x v="0"/>
    <n v="474"/>
    <x v="1"/>
  </r>
  <r>
    <x v="0"/>
    <n v="278"/>
    <x v="1"/>
  </r>
  <r>
    <x v="0"/>
    <n v="373"/>
    <x v="1"/>
  </r>
  <r>
    <x v="0"/>
    <n v="330"/>
    <x v="1"/>
  </r>
  <r>
    <x v="0"/>
    <n v="380"/>
    <x v="1"/>
  </r>
  <r>
    <x v="0"/>
    <n v="66"/>
    <x v="0"/>
  </r>
  <r>
    <x v="0"/>
    <n v="430"/>
    <x v="0"/>
  </r>
  <r>
    <x v="1"/>
    <n v="88"/>
    <x v="0"/>
  </r>
  <r>
    <x v="1"/>
    <n v="139"/>
    <x v="0"/>
  </r>
  <r>
    <x v="1"/>
    <n v="155"/>
    <x v="0"/>
  </r>
  <r>
    <x v="1"/>
    <n v="282"/>
    <x v="0"/>
  </r>
  <r>
    <x v="1"/>
    <n v="445"/>
    <x v="0"/>
  </r>
  <r>
    <x v="1"/>
    <n v="85"/>
    <x v="0"/>
  </r>
  <r>
    <x v="1"/>
    <n v="115"/>
    <x v="0"/>
  </r>
  <r>
    <x v="1"/>
    <n v="349"/>
    <x v="0"/>
  </r>
  <r>
    <x v="1"/>
    <n v="112"/>
    <x v="0"/>
  </r>
  <r>
    <x v="1"/>
    <n v="293"/>
    <x v="0"/>
  </r>
  <r>
    <x v="1"/>
    <n v="203"/>
    <x v="0"/>
  </r>
  <r>
    <x v="1"/>
    <n v="139"/>
    <x v="0"/>
  </r>
  <r>
    <x v="1"/>
    <n v="76"/>
    <x v="0"/>
  </r>
  <r>
    <x v="1"/>
    <n v="182"/>
    <x v="0"/>
  </r>
  <r>
    <x v="1"/>
    <n v="20"/>
    <x v="0"/>
  </r>
  <r>
    <x v="1"/>
    <n v="401"/>
    <x v="0"/>
  </r>
  <r>
    <x v="1"/>
    <n v="151"/>
    <x v="0"/>
  </r>
  <r>
    <x v="1"/>
    <n v="408"/>
    <x v="0"/>
  </r>
  <r>
    <x v="1"/>
    <n v="67"/>
    <x v="0"/>
  </r>
  <r>
    <x v="1"/>
    <n v="303"/>
    <x v="0"/>
  </r>
  <r>
    <x v="1"/>
    <n v="441"/>
    <x v="0"/>
  </r>
  <r>
    <x v="1"/>
    <n v="66"/>
    <x v="0"/>
  </r>
  <r>
    <x v="1"/>
    <n v="69"/>
    <x v="0"/>
  </r>
  <r>
    <x v="1"/>
    <n v="173"/>
    <x v="0"/>
  </r>
  <r>
    <x v="1"/>
    <n v="236"/>
    <x v="0"/>
  </r>
  <r>
    <x v="1"/>
    <n v="161"/>
    <x v="0"/>
  </r>
  <r>
    <x v="1"/>
    <n v="71"/>
    <x v="0"/>
  </r>
  <r>
    <x v="1"/>
    <n v="375"/>
    <x v="0"/>
  </r>
  <r>
    <x v="1"/>
    <n v="70"/>
    <x v="0"/>
  </r>
  <r>
    <x v="1"/>
    <n v="408"/>
    <x v="1"/>
  </r>
  <r>
    <x v="1"/>
    <n v="49"/>
    <x v="1"/>
  </r>
  <r>
    <x v="1"/>
    <n v="110"/>
    <x v="1"/>
  </r>
  <r>
    <x v="1"/>
    <n v="133"/>
    <x v="1"/>
  </r>
  <r>
    <x v="1"/>
    <n v="176"/>
    <x v="1"/>
  </r>
  <r>
    <x v="1"/>
    <n v="281"/>
    <x v="1"/>
  </r>
  <r>
    <x v="1"/>
    <n v="476"/>
    <x v="1"/>
  </r>
  <r>
    <x v="1"/>
    <n v="234"/>
    <x v="1"/>
  </r>
  <r>
    <x v="1"/>
    <n v="173"/>
    <x v="1"/>
  </r>
  <r>
    <x v="1"/>
    <n v="65"/>
    <x v="1"/>
  </r>
  <r>
    <x v="1"/>
    <n v="56"/>
    <x v="1"/>
  </r>
  <r>
    <x v="1"/>
    <n v="181"/>
    <x v="1"/>
  </r>
  <r>
    <x v="1"/>
    <n v="422"/>
    <x v="1"/>
  </r>
  <r>
    <x v="1"/>
    <n v="29"/>
    <x v="1"/>
  </r>
  <r>
    <x v="1"/>
    <n v="392"/>
    <x v="1"/>
  </r>
  <r>
    <x v="1"/>
    <n v="392"/>
    <x v="1"/>
  </r>
  <r>
    <x v="1"/>
    <n v="358"/>
    <x v="1"/>
  </r>
  <r>
    <x v="1"/>
    <n v="358"/>
    <x v="1"/>
  </r>
  <r>
    <x v="1"/>
    <n v="154"/>
    <x v="1"/>
  </r>
  <r>
    <x v="1"/>
    <n v="76"/>
    <x v="0"/>
  </r>
  <r>
    <x v="1"/>
    <n v="109"/>
    <x v="0"/>
  </r>
  <r>
    <x v="2"/>
    <n v="169"/>
    <x v="0"/>
  </r>
  <r>
    <x v="2"/>
    <n v="250"/>
    <x v="0"/>
  </r>
  <r>
    <x v="2"/>
    <n v="40"/>
    <x v="0"/>
  </r>
  <r>
    <x v="2"/>
    <n v="403"/>
    <x v="0"/>
  </r>
  <r>
    <x v="2"/>
    <n v="63"/>
    <x v="0"/>
  </r>
  <r>
    <x v="2"/>
    <n v="440"/>
    <x v="0"/>
  </r>
  <r>
    <x v="2"/>
    <n v="275"/>
    <x v="0"/>
  </r>
  <r>
    <x v="2"/>
    <n v="385"/>
    <x v="0"/>
  </r>
  <r>
    <x v="2"/>
    <n v="261"/>
    <x v="0"/>
  </r>
  <r>
    <x v="2"/>
    <n v="498"/>
    <x v="0"/>
  </r>
  <r>
    <x v="2"/>
    <n v="448"/>
    <x v="0"/>
  </r>
  <r>
    <x v="2"/>
    <n v="86"/>
    <x v="0"/>
  </r>
  <r>
    <x v="2"/>
    <n v="71"/>
    <x v="0"/>
  </r>
  <r>
    <x v="2"/>
    <n v="360"/>
    <x v="0"/>
  </r>
  <r>
    <x v="2"/>
    <n v="491"/>
    <x v="0"/>
  </r>
  <r>
    <x v="2"/>
    <n v="347"/>
    <x v="0"/>
  </r>
  <r>
    <x v="2"/>
    <n v="231"/>
    <x v="0"/>
  </r>
  <r>
    <x v="2"/>
    <n v="153"/>
    <x v="0"/>
  </r>
  <r>
    <x v="2"/>
    <n v="330"/>
    <x v="0"/>
  </r>
  <r>
    <x v="2"/>
    <n v="221"/>
    <x v="0"/>
  </r>
  <r>
    <x v="2"/>
    <n v="61"/>
    <x v="0"/>
  </r>
  <r>
    <x v="2"/>
    <n v="154"/>
    <x v="0"/>
  </r>
  <r>
    <x v="2"/>
    <n v="218"/>
    <x v="0"/>
  </r>
  <r>
    <x v="2"/>
    <n v="337"/>
    <x v="0"/>
  </r>
  <r>
    <x v="2"/>
    <n v="183"/>
    <x v="0"/>
  </r>
  <r>
    <x v="2"/>
    <n v="232"/>
    <x v="0"/>
  </r>
  <r>
    <x v="2"/>
    <n v="268"/>
    <x v="0"/>
  </r>
  <r>
    <x v="2"/>
    <n v="210"/>
    <x v="0"/>
  </r>
  <r>
    <x v="2"/>
    <n v="233"/>
    <x v="0"/>
  </r>
  <r>
    <x v="2"/>
    <n v="226"/>
    <x v="1"/>
  </r>
  <r>
    <x v="2"/>
    <n v="257"/>
    <x v="1"/>
  </r>
  <r>
    <x v="2"/>
    <n v="445"/>
    <x v="1"/>
  </r>
  <r>
    <x v="2"/>
    <n v="262"/>
    <x v="1"/>
  </r>
  <r>
    <x v="2"/>
    <n v="149"/>
    <x v="1"/>
  </r>
  <r>
    <x v="2"/>
    <n v="75"/>
    <x v="1"/>
  </r>
  <r>
    <x v="2"/>
    <n v="358"/>
    <x v="1"/>
  </r>
  <r>
    <x v="2"/>
    <n v="385"/>
    <x v="1"/>
  </r>
  <r>
    <x v="2"/>
    <n v="399"/>
    <x v="1"/>
  </r>
  <r>
    <x v="2"/>
    <n v="153"/>
    <x v="1"/>
  </r>
  <r>
    <x v="2"/>
    <n v="47"/>
    <x v="1"/>
  </r>
  <r>
    <x v="2"/>
    <n v="49"/>
    <x v="1"/>
  </r>
  <r>
    <x v="2"/>
    <n v="216"/>
    <x v="1"/>
  </r>
  <r>
    <x v="2"/>
    <n v="72"/>
    <x v="1"/>
  </r>
  <r>
    <x v="2"/>
    <n v="270"/>
    <x v="1"/>
  </r>
  <r>
    <x v="2"/>
    <n v="425"/>
    <x v="1"/>
  </r>
  <r>
    <x v="2"/>
    <n v="300"/>
    <x v="1"/>
  </r>
  <r>
    <x v="2"/>
    <n v="388"/>
    <x v="1"/>
  </r>
  <r>
    <x v="2"/>
    <n v="274"/>
    <x v="1"/>
  </r>
  <r>
    <x v="2"/>
    <n v="71"/>
    <x v="0"/>
  </r>
  <r>
    <x v="2"/>
    <n v="68"/>
    <x v="0"/>
  </r>
  <r>
    <x v="3"/>
    <n v="445"/>
    <x v="0"/>
  </r>
  <r>
    <x v="3"/>
    <n v="203"/>
    <x v="0"/>
  </r>
  <r>
    <x v="3"/>
    <n v="66"/>
    <x v="0"/>
  </r>
  <r>
    <x v="3"/>
    <n v="431"/>
    <x v="0"/>
  </r>
  <r>
    <x v="3"/>
    <n v="53"/>
    <x v="0"/>
  </r>
  <r>
    <x v="3"/>
    <n v="369"/>
    <x v="0"/>
  </r>
  <r>
    <x v="3"/>
    <n v="64"/>
    <x v="0"/>
  </r>
  <r>
    <x v="3"/>
    <n v="487"/>
    <x v="0"/>
  </r>
  <r>
    <x v="3"/>
    <n v="101"/>
    <x v="0"/>
  </r>
  <r>
    <x v="3"/>
    <n v="141"/>
    <x v="0"/>
  </r>
  <r>
    <x v="3"/>
    <n v="178"/>
    <x v="0"/>
  </r>
  <r>
    <x v="3"/>
    <n v="31"/>
    <x v="0"/>
  </r>
  <r>
    <x v="3"/>
    <n v="394"/>
    <x v="0"/>
  </r>
  <r>
    <x v="3"/>
    <n v="395"/>
    <x v="0"/>
  </r>
  <r>
    <x v="3"/>
    <n v="309"/>
    <x v="0"/>
  </r>
  <r>
    <x v="3"/>
    <n v="155"/>
    <x v="0"/>
  </r>
  <r>
    <x v="3"/>
    <n v="212"/>
    <x v="0"/>
  </r>
  <r>
    <x v="3"/>
    <n v="212"/>
    <x v="0"/>
  </r>
  <r>
    <x v="3"/>
    <n v="189"/>
    <x v="0"/>
  </r>
  <r>
    <x v="3"/>
    <n v="47"/>
    <x v="0"/>
  </r>
  <r>
    <x v="3"/>
    <n v="223"/>
    <x v="0"/>
  </r>
  <r>
    <x v="3"/>
    <n v="157"/>
    <x v="0"/>
  </r>
  <r>
    <x v="3"/>
    <n v="463"/>
    <x v="0"/>
  </r>
  <r>
    <x v="3"/>
    <n v="105"/>
    <x v="0"/>
  </r>
  <r>
    <x v="3"/>
    <n v="218"/>
    <x v="0"/>
  </r>
  <r>
    <x v="3"/>
    <n v="408"/>
    <x v="0"/>
  </r>
  <r>
    <x v="3"/>
    <n v="161"/>
    <x v="0"/>
  </r>
  <r>
    <x v="3"/>
    <n v="163"/>
    <x v="0"/>
  </r>
  <r>
    <x v="3"/>
    <n v="128"/>
    <x v="0"/>
  </r>
  <r>
    <x v="3"/>
    <n v="311"/>
    <x v="1"/>
  </r>
  <r>
    <x v="3"/>
    <n v="35"/>
    <x v="1"/>
  </r>
  <r>
    <x v="3"/>
    <n v="45"/>
    <x v="1"/>
  </r>
  <r>
    <x v="3"/>
    <n v="430"/>
    <x v="1"/>
  </r>
  <r>
    <x v="3"/>
    <n v="442"/>
    <x v="1"/>
  </r>
  <r>
    <x v="3"/>
    <n v="186"/>
    <x v="1"/>
  </r>
  <r>
    <x v="3"/>
    <n v="355"/>
    <x v="1"/>
  </r>
  <r>
    <x v="3"/>
    <n v="263"/>
    <x v="1"/>
  </r>
  <r>
    <x v="3"/>
    <n v="487"/>
    <x v="1"/>
  </r>
  <r>
    <x v="3"/>
    <n v="47"/>
    <x v="1"/>
  </r>
  <r>
    <x v="3"/>
    <n v="195"/>
    <x v="1"/>
  </r>
  <r>
    <x v="3"/>
    <n v="416"/>
    <x v="1"/>
  </r>
  <r>
    <x v="3"/>
    <n v="211"/>
    <x v="1"/>
  </r>
  <r>
    <x v="3"/>
    <n v="53"/>
    <x v="1"/>
  </r>
  <r>
    <x v="3"/>
    <n v="490"/>
    <x v="1"/>
  </r>
  <r>
    <x v="3"/>
    <n v="414"/>
    <x v="1"/>
  </r>
  <r>
    <x v="3"/>
    <n v="375"/>
    <x v="1"/>
  </r>
  <r>
    <x v="3"/>
    <n v="74"/>
    <x v="1"/>
  </r>
  <r>
    <x v="3"/>
    <n v="140"/>
    <x v="1"/>
  </r>
  <r>
    <x v="3"/>
    <n v="171"/>
    <x v="2"/>
  </r>
  <r>
    <x v="3"/>
    <n v="456"/>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n v="45649"/>
    <x v="0"/>
    <s v="Check out our latest reel on twitter!"/>
    <n v="1461"/>
    <n v="184"/>
    <n v="344"/>
    <n v="21915"/>
    <n v="21675"/>
    <n v="15"/>
  </r>
  <r>
    <s v="P002"/>
    <x v="0"/>
    <n v="45750"/>
    <x v="1"/>
    <s v="Check out our latest text on twitter!"/>
    <n v="4054"/>
    <n v="389"/>
    <n v="493"/>
    <n v="64864"/>
    <n v="64383"/>
    <n v="117"/>
  </r>
  <r>
    <s v="P003"/>
    <x v="1"/>
    <n v="45789"/>
    <x v="0"/>
    <s v="Check out our latest reel on youtube!"/>
    <n v="2795"/>
    <n v="105"/>
    <n v="49"/>
    <n v="53105"/>
    <n v="52307"/>
    <n v="204"/>
  </r>
  <r>
    <s v="P004"/>
    <x v="2"/>
    <n v="45516"/>
    <x v="2"/>
    <s v="Check out our latest story on instagram!"/>
    <n v="2404"/>
    <n v="363"/>
    <n v="138"/>
    <n v="19232"/>
    <n v="18636"/>
    <n v="128"/>
  </r>
  <r>
    <s v="P005"/>
    <x v="1"/>
    <n v="45469"/>
    <x v="0"/>
    <s v="Check out our latest reel on youtube!"/>
    <n v="3557"/>
    <n v="687"/>
    <n v="424"/>
    <n v="71140"/>
    <n v="70701"/>
    <n v="224"/>
  </r>
  <r>
    <s v="P006"/>
    <x v="3"/>
    <n v="45596"/>
    <x v="3"/>
    <s v="Check out our latest carousel on facebook!"/>
    <n v="2945"/>
    <n v="930"/>
    <n v="355"/>
    <n v="23560"/>
    <n v="23275"/>
    <n v="256"/>
  </r>
  <r>
    <s v="P007"/>
    <x v="0"/>
    <n v="45467"/>
    <x v="3"/>
    <s v="Check out our latest carousel on twitter!"/>
    <n v="3860"/>
    <n v="201"/>
    <n v="279"/>
    <n v="61760"/>
    <n v="61660"/>
    <n v="235"/>
  </r>
  <r>
    <s v="P008"/>
    <x v="1"/>
    <n v="45486"/>
    <x v="4"/>
    <s v="Check out our latest image on youtube!"/>
    <n v="3929"/>
    <n v="262"/>
    <n v="278"/>
    <n v="43219"/>
    <n v="42841"/>
    <n v="39"/>
  </r>
  <r>
    <s v="P009"/>
    <x v="3"/>
    <n v="45534"/>
    <x v="1"/>
    <s v="Check out our latest text on facebook!"/>
    <n v="3784"/>
    <n v="808"/>
    <n v="404"/>
    <n v="56760"/>
    <n v="56343"/>
    <n v="131"/>
  </r>
  <r>
    <s v="P010"/>
    <x v="3"/>
    <n v="45727"/>
    <x v="4"/>
    <s v="Check out our latest image on facebook!"/>
    <n v="4241"/>
    <n v="902"/>
    <n v="47"/>
    <n v="72097"/>
    <n v="71598"/>
    <n v="167"/>
  </r>
  <r>
    <s v="P011"/>
    <x v="2"/>
    <n v="45690"/>
    <x v="2"/>
    <s v="Check out our latest story on instagram!"/>
    <n v="1792"/>
    <n v="614"/>
    <n v="497"/>
    <n v="25088"/>
    <n v="24675"/>
    <n v="65"/>
  </r>
  <r>
    <s v="P012"/>
    <x v="3"/>
    <n v="45494"/>
    <x v="0"/>
    <s v="Check out our latest reel on facebook!"/>
    <n v="1946"/>
    <n v="686"/>
    <n v="377"/>
    <n v="23352"/>
    <n v="22982"/>
    <n v="213"/>
  </r>
  <r>
    <s v="P013"/>
    <x v="1"/>
    <n v="45614"/>
    <x v="3"/>
    <s v="Check out our latest carousel on youtube!"/>
    <n v="1171"/>
    <n v="286"/>
    <n v="231"/>
    <n v="22249"/>
    <n v="21282"/>
    <n v="114"/>
  </r>
  <r>
    <s v="P014"/>
    <x v="3"/>
    <n v="45704"/>
    <x v="2"/>
    <s v="Check out our latest story on facebook!"/>
    <n v="4242"/>
    <n v="555"/>
    <n v="131"/>
    <n v="33936"/>
    <n v="33802"/>
    <n v="265"/>
  </r>
  <r>
    <s v="P015"/>
    <x v="3"/>
    <n v="45589"/>
    <x v="5"/>
    <s v="Check out our latest video on facebook!"/>
    <n v="3888"/>
    <n v="604"/>
    <n v="128"/>
    <n v="77760"/>
    <n v="77167"/>
    <n v="20"/>
  </r>
  <r>
    <s v="P016"/>
    <x v="3"/>
    <n v="45530"/>
    <x v="1"/>
    <s v="Check out our latest text on facebook!"/>
    <n v="3452"/>
    <n v="377"/>
    <n v="360"/>
    <n v="55232"/>
    <n v="55075"/>
    <n v="87"/>
  </r>
  <r>
    <s v="P017"/>
    <x v="3"/>
    <n v="45782"/>
    <x v="1"/>
    <s v="Check out our latest text on facebook!"/>
    <n v="4441"/>
    <n v="511"/>
    <n v="70"/>
    <n v="53292"/>
    <n v="53082"/>
    <n v="159"/>
  </r>
  <r>
    <s v="P018"/>
    <x v="2"/>
    <n v="45523"/>
    <x v="0"/>
    <s v="Check out our latest reel on instagram!"/>
    <n v="3000"/>
    <n v="382"/>
    <n v="325"/>
    <n v="36000"/>
    <n v="35819"/>
    <n v="19"/>
  </r>
  <r>
    <s v="P019"/>
    <x v="2"/>
    <n v="45466"/>
    <x v="5"/>
    <s v="Check out our latest video on instagram!"/>
    <n v="1071"/>
    <n v="519"/>
    <n v="22"/>
    <n v="16065"/>
    <n v="15865"/>
    <n v="103"/>
  </r>
  <r>
    <s v="P020"/>
    <x v="2"/>
    <n v="45544"/>
    <x v="3"/>
    <s v="Check out our latest carousel on instagram!"/>
    <n v="4054"/>
    <n v="488"/>
    <n v="373"/>
    <n v="77026"/>
    <n v="76881"/>
    <n v="25"/>
  </r>
  <r>
    <s v="P021"/>
    <x v="2"/>
    <n v="45661"/>
    <x v="0"/>
    <s v="Check out our latest reel on instagram!"/>
    <n v="4838"/>
    <n v="640"/>
    <n v="128"/>
    <n v="72570"/>
    <n v="72396"/>
    <n v="83"/>
  </r>
  <r>
    <s v="P022"/>
    <x v="3"/>
    <n v="45715"/>
    <x v="1"/>
    <s v="Check out our latest text on facebook!"/>
    <n v="1570"/>
    <n v="187"/>
    <n v="260"/>
    <n v="25120"/>
    <n v="24613"/>
    <n v="133"/>
  </r>
  <r>
    <s v="P023"/>
    <x v="3"/>
    <n v="45602"/>
    <x v="5"/>
    <s v="Check out our latest video on facebook!"/>
    <n v="1606"/>
    <n v="547"/>
    <n v="316"/>
    <n v="32120"/>
    <n v="31736"/>
    <n v="225"/>
  </r>
  <r>
    <s v="P024"/>
    <x v="3"/>
    <n v="45680"/>
    <x v="5"/>
    <s v="Check out our latest video on facebook!"/>
    <n v="3961"/>
    <n v="761"/>
    <n v="131"/>
    <n v="67337"/>
    <n v="66615"/>
    <n v="161"/>
  </r>
  <r>
    <s v="P025"/>
    <x v="0"/>
    <n v="45757"/>
    <x v="3"/>
    <s v="Check out our latest carousel on twitter!"/>
    <n v="3128"/>
    <n v="211"/>
    <n v="197"/>
    <n v="59432"/>
    <n v="59182"/>
    <n v="238"/>
  </r>
  <r>
    <s v="P026"/>
    <x v="1"/>
    <n v="45752"/>
    <x v="0"/>
    <s v="Check out our latest reel on youtube!"/>
    <n v="3009"/>
    <n v="413"/>
    <n v="358"/>
    <n v="42126"/>
    <n v="41309"/>
    <n v="211"/>
  </r>
  <r>
    <s v="P027"/>
    <x v="1"/>
    <n v="45552"/>
    <x v="1"/>
    <s v="Check out our latest text on youtube!"/>
    <n v="2076"/>
    <n v="195"/>
    <n v="104"/>
    <n v="33216"/>
    <n v="32244"/>
    <n v="51"/>
  </r>
  <r>
    <s v="P028"/>
    <x v="2"/>
    <n v="45720"/>
    <x v="5"/>
    <s v="Check out our latest video on instagram!"/>
    <n v="432"/>
    <n v="624"/>
    <n v="123"/>
    <n v="6912"/>
    <n v="6259"/>
    <n v="79"/>
  </r>
  <r>
    <s v="P029"/>
    <x v="2"/>
    <n v="45688"/>
    <x v="3"/>
    <s v="Check out our latest carousel on instagram!"/>
    <n v="2566"/>
    <n v="118"/>
    <n v="37"/>
    <n v="12830"/>
    <n v="12264"/>
    <n v="221"/>
  </r>
  <r>
    <s v="P030"/>
    <x v="2"/>
    <n v="45713"/>
    <x v="5"/>
    <s v="Check out our latest video on instagram!"/>
    <n v="3095"/>
    <n v="39"/>
    <n v="78"/>
    <n v="55710"/>
    <n v="54808"/>
    <n v="93"/>
  </r>
  <r>
    <s v="P031"/>
    <x v="2"/>
    <n v="45642"/>
    <x v="1"/>
    <s v="Check out our latest text on instagram!"/>
    <n v="438"/>
    <n v="153"/>
    <n v="275"/>
    <n v="3066"/>
    <n v="2701"/>
    <n v="282"/>
  </r>
  <r>
    <s v="P032"/>
    <x v="0"/>
    <n v="45504"/>
    <x v="3"/>
    <s v="Check out our latest carousel on twitter!"/>
    <n v="2278"/>
    <n v="10"/>
    <n v="321"/>
    <n v="13668"/>
    <n v="12676"/>
    <n v="275"/>
  </r>
  <r>
    <s v="P033"/>
    <x v="3"/>
    <n v="45525"/>
    <x v="4"/>
    <s v="Check out our latest image on facebook!"/>
    <n v="1407"/>
    <n v="400"/>
    <n v="351"/>
    <n v="16884"/>
    <n v="15954"/>
    <n v="113"/>
  </r>
  <r>
    <s v="P034"/>
    <x v="3"/>
    <n v="45742"/>
    <x v="1"/>
    <s v="Check out our latest text on facebook!"/>
    <n v="1652"/>
    <n v="89"/>
    <n v="357"/>
    <n v="29736"/>
    <n v="28771"/>
    <n v="215"/>
  </r>
  <r>
    <s v="P035"/>
    <x v="2"/>
    <n v="45626"/>
    <x v="5"/>
    <s v="Check out our latest video on instagram!"/>
    <n v="3775"/>
    <n v="16"/>
    <n v="239"/>
    <n v="33975"/>
    <n v="33310"/>
    <n v="271"/>
  </r>
  <r>
    <s v="P036"/>
    <x v="2"/>
    <n v="45766"/>
    <x v="2"/>
    <s v="Check out our latest story on instagram!"/>
    <n v="4518"/>
    <n v="285"/>
    <n v="383"/>
    <n v="67770"/>
    <n v="67621"/>
    <n v="31"/>
  </r>
  <r>
    <s v="P037"/>
    <x v="3"/>
    <n v="45663"/>
    <x v="3"/>
    <s v="Check out our latest carousel on facebook!"/>
    <n v="3024"/>
    <n v="925"/>
    <n v="350"/>
    <n v="24192"/>
    <n v="23518"/>
    <n v="36"/>
  </r>
  <r>
    <s v="P038"/>
    <x v="1"/>
    <n v="45705"/>
    <x v="0"/>
    <s v="Check out our latest reel on youtube!"/>
    <n v="3138"/>
    <n v="123"/>
    <n v="291"/>
    <n v="28242"/>
    <n v="27550"/>
    <n v="87"/>
  </r>
  <r>
    <s v="P039"/>
    <x v="3"/>
    <n v="45621"/>
    <x v="4"/>
    <s v="Check out our latest image on facebook!"/>
    <n v="3564"/>
    <n v="629"/>
    <n v="177"/>
    <n v="60588"/>
    <n v="59627"/>
    <n v="92"/>
  </r>
  <r>
    <s v="P040"/>
    <x v="0"/>
    <n v="45723"/>
    <x v="4"/>
    <s v="Check out our latest image on twitter!"/>
    <n v="4750"/>
    <n v="151"/>
    <n v="415"/>
    <n v="38000"/>
    <n v="37792"/>
    <n v="299"/>
  </r>
  <r>
    <s v="P041"/>
    <x v="2"/>
    <n v="45724"/>
    <x v="0"/>
    <s v="Check out our latest reel on instagram!"/>
    <n v="456"/>
    <n v="629"/>
    <n v="428"/>
    <n v="8208"/>
    <n v="7377"/>
    <n v="205"/>
  </r>
  <r>
    <s v="P042"/>
    <x v="1"/>
    <n v="45721"/>
    <x v="0"/>
    <s v="Check out our latest reel on youtube!"/>
    <n v="1543"/>
    <n v="820"/>
    <n v="333"/>
    <n v="12344"/>
    <n v="11496"/>
    <n v="241"/>
  </r>
  <r>
    <s v="P043"/>
    <x v="2"/>
    <n v="45640"/>
    <x v="3"/>
    <s v="Check out our latest carousel on instagram!"/>
    <n v="2174"/>
    <n v="658"/>
    <n v="15"/>
    <n v="13044"/>
    <n v="12206"/>
    <n v="137"/>
  </r>
  <r>
    <s v="P044"/>
    <x v="0"/>
    <n v="45718"/>
    <x v="4"/>
    <s v="Check out our latest image on twitter!"/>
    <n v="2358"/>
    <n v="784"/>
    <n v="344"/>
    <n v="35370"/>
    <n v="34475"/>
    <n v="216"/>
  </r>
  <r>
    <s v="P045"/>
    <x v="3"/>
    <n v="45597"/>
    <x v="5"/>
    <s v="Check out our latest video on facebook!"/>
    <n v="3371"/>
    <n v="106"/>
    <n v="327"/>
    <n v="50565"/>
    <n v="49816"/>
    <n v="176"/>
  </r>
  <r>
    <s v="P046"/>
    <x v="0"/>
    <n v="45779"/>
    <x v="5"/>
    <s v="Check out our latest video on twitter!"/>
    <n v="1108"/>
    <n v="177"/>
    <n v="212"/>
    <n v="8864"/>
    <n v="8710"/>
    <n v="97"/>
  </r>
  <r>
    <s v="P047"/>
    <x v="0"/>
    <n v="45712"/>
    <x v="3"/>
    <s v="Check out our latest carousel on twitter!"/>
    <n v="2704"/>
    <n v="752"/>
    <n v="153"/>
    <n v="21632"/>
    <n v="20792"/>
    <n v="127"/>
  </r>
  <r>
    <s v="P048"/>
    <x v="0"/>
    <n v="45727"/>
    <x v="2"/>
    <s v="Check out our latest story on twitter!"/>
    <n v="1950"/>
    <n v="295"/>
    <n v="478"/>
    <n v="37050"/>
    <n v="36272"/>
    <n v="119"/>
  </r>
  <r>
    <s v="P049"/>
    <x v="0"/>
    <n v="45453"/>
    <x v="2"/>
    <s v="Check out our latest story on twitter!"/>
    <n v="2164"/>
    <n v="549"/>
    <n v="274"/>
    <n v="28132"/>
    <n v="27361"/>
    <n v="177"/>
  </r>
  <r>
    <s v="P050"/>
    <x v="1"/>
    <n v="45476"/>
    <x v="2"/>
    <s v="Check out our latest story on youtube!"/>
    <n v="2754"/>
    <n v="130"/>
    <n v="90"/>
    <n v="22032"/>
    <n v="21288"/>
    <n v="112"/>
  </r>
  <r>
    <s v="P051"/>
    <x v="3"/>
    <n v="45456"/>
    <x v="3"/>
    <s v="Check out our latest carousel on facebook!"/>
    <n v="2200"/>
    <n v="504"/>
    <n v="239"/>
    <n v="37400"/>
    <n v="36938"/>
    <n v="225"/>
  </r>
  <r>
    <s v="P052"/>
    <x v="3"/>
    <n v="45660"/>
    <x v="4"/>
    <s v="Check out our latest image on facebook!"/>
    <n v="947"/>
    <n v="338"/>
    <n v="350"/>
    <n v="10417"/>
    <n v="9730"/>
    <n v="34"/>
  </r>
  <r>
    <s v="P053"/>
    <x v="1"/>
    <n v="45712"/>
    <x v="3"/>
    <s v="Check out our latest carousel on youtube!"/>
    <n v="804"/>
    <n v="639"/>
    <n v="43"/>
    <n v="4020"/>
    <n v="3144"/>
    <n v="11"/>
  </r>
  <r>
    <s v="P054"/>
    <x v="1"/>
    <n v="45729"/>
    <x v="3"/>
    <s v="Check out our latest carousel on youtube!"/>
    <n v="1686"/>
    <n v="904"/>
    <n v="472"/>
    <n v="18546"/>
    <n v="18171"/>
    <n v="52"/>
  </r>
  <r>
    <s v="P055"/>
    <x v="3"/>
    <n v="45460"/>
    <x v="4"/>
    <s v="Check out our latest image on facebook!"/>
    <n v="1226"/>
    <n v="119"/>
    <n v="7"/>
    <n v="14712"/>
    <n v="14049"/>
    <n v="123"/>
  </r>
  <r>
    <s v="P056"/>
    <x v="3"/>
    <n v="45644"/>
    <x v="3"/>
    <s v="Check out our latest carousel on facebook!"/>
    <n v="2946"/>
    <n v="498"/>
    <n v="367"/>
    <n v="29460"/>
    <n v="28527"/>
    <n v="60"/>
  </r>
  <r>
    <s v="P057"/>
    <x v="0"/>
    <n v="45586"/>
    <x v="5"/>
    <s v="Check out our latest video on twitter!"/>
    <n v="2825"/>
    <n v="535"/>
    <n v="295"/>
    <n v="45200"/>
    <n v="44739"/>
    <n v="169"/>
  </r>
  <r>
    <s v="P058"/>
    <x v="2"/>
    <n v="45762"/>
    <x v="0"/>
    <s v="Check out our latest reel on instagram!"/>
    <n v="103"/>
    <n v="770"/>
    <n v="19"/>
    <n v="1030"/>
    <n v="410"/>
    <n v="262"/>
  </r>
  <r>
    <s v="P059"/>
    <x v="2"/>
    <n v="45465"/>
    <x v="1"/>
    <s v="Check out our latest text on instagram!"/>
    <n v="2180"/>
    <n v="263"/>
    <n v="387"/>
    <n v="30520"/>
    <n v="30059"/>
    <n v="174"/>
  </r>
  <r>
    <s v="P060"/>
    <x v="2"/>
    <n v="45685"/>
    <x v="5"/>
    <s v="Check out our latest video on instagram!"/>
    <n v="904"/>
    <n v="973"/>
    <n v="63"/>
    <n v="11752"/>
    <n v="11580"/>
    <n v="84"/>
  </r>
  <r>
    <s v="P061"/>
    <x v="0"/>
    <n v="45540"/>
    <x v="5"/>
    <s v="Check out our latest video on twitter!"/>
    <n v="4886"/>
    <n v="983"/>
    <n v="409"/>
    <n v="43974"/>
    <n v="43239"/>
    <n v="65"/>
  </r>
  <r>
    <s v="P062"/>
    <x v="0"/>
    <n v="45618"/>
    <x v="3"/>
    <s v="Check out our latest carousel on twitter!"/>
    <n v="53"/>
    <n v="81"/>
    <n v="379"/>
    <n v="954"/>
    <n v="7"/>
    <n v="148"/>
  </r>
  <r>
    <s v="P063"/>
    <x v="0"/>
    <n v="45504"/>
    <x v="3"/>
    <s v="Check out our latest carousel on twitter!"/>
    <n v="4507"/>
    <n v="217"/>
    <n v="13"/>
    <n v="90140"/>
    <n v="89591"/>
    <n v="125"/>
  </r>
  <r>
    <s v="P064"/>
    <x v="3"/>
    <n v="45521"/>
    <x v="4"/>
    <s v="Check out our latest image on facebook!"/>
    <n v="2878"/>
    <n v="248"/>
    <n v="416"/>
    <n v="43170"/>
    <n v="42667"/>
    <n v="75"/>
  </r>
  <r>
    <s v="P065"/>
    <x v="2"/>
    <n v="45744"/>
    <x v="2"/>
    <s v="Check out our latest story on instagram!"/>
    <n v="1881"/>
    <n v="501"/>
    <n v="99"/>
    <n v="20691"/>
    <n v="19987"/>
    <n v="289"/>
  </r>
  <r>
    <s v="P066"/>
    <x v="0"/>
    <n v="45499"/>
    <x v="3"/>
    <s v="Check out our latest carousel on twitter!"/>
    <n v="432"/>
    <n v="171"/>
    <n v="280"/>
    <n v="3024"/>
    <n v="2285"/>
    <n v="184"/>
  </r>
  <r>
    <s v="P067"/>
    <x v="3"/>
    <n v="45745"/>
    <x v="3"/>
    <s v="Check out our latest carousel on facebook!"/>
    <n v="4712"/>
    <n v="568"/>
    <n v="127"/>
    <n v="84816"/>
    <n v="84691"/>
    <n v="100"/>
  </r>
  <r>
    <s v="P068"/>
    <x v="2"/>
    <n v="45634"/>
    <x v="2"/>
    <s v="Check out our latest story on instagram!"/>
    <n v="2610"/>
    <n v="126"/>
    <n v="288"/>
    <n v="15660"/>
    <n v="15145"/>
    <n v="73"/>
  </r>
  <r>
    <s v="P069"/>
    <x v="0"/>
    <n v="45724"/>
    <x v="1"/>
    <s v="Check out our latest text on twitter!"/>
    <n v="1292"/>
    <n v="626"/>
    <n v="496"/>
    <n v="25840"/>
    <n v="24916"/>
    <n v="149"/>
  </r>
  <r>
    <s v="P070"/>
    <x v="3"/>
    <n v="45749"/>
    <x v="5"/>
    <s v="Check out our latest video on facebook!"/>
    <n v="199"/>
    <n v="772"/>
    <n v="400"/>
    <n v="3582"/>
    <n v="2988"/>
    <n v="43"/>
  </r>
  <r>
    <s v="P071"/>
    <x v="1"/>
    <n v="45537"/>
    <x v="3"/>
    <s v="Check out our latest carousel on youtube!"/>
    <n v="2551"/>
    <n v="915"/>
    <n v="205"/>
    <n v="30612"/>
    <n v="30360"/>
    <n v="227"/>
  </r>
  <r>
    <s v="P072"/>
    <x v="1"/>
    <n v="45719"/>
    <x v="0"/>
    <s v="Check out our latest reel on youtube!"/>
    <n v="296"/>
    <n v="60"/>
    <n v="141"/>
    <n v="5624"/>
    <n v="5239"/>
    <n v="88"/>
  </r>
  <r>
    <s v="P073"/>
    <x v="3"/>
    <n v="45583"/>
    <x v="2"/>
    <s v="Check out our latest story on facebook!"/>
    <n v="4126"/>
    <n v="426"/>
    <n v="486"/>
    <n v="78394"/>
    <n v="77798"/>
    <n v="88"/>
  </r>
  <r>
    <s v="P074"/>
    <x v="1"/>
    <n v="45593"/>
    <x v="0"/>
    <s v="Check out our latest reel on youtube!"/>
    <n v="1855"/>
    <n v="200"/>
    <n v="174"/>
    <n v="16695"/>
    <n v="16330"/>
    <n v="123"/>
  </r>
  <r>
    <s v="P075"/>
    <x v="2"/>
    <n v="45505"/>
    <x v="0"/>
    <s v="Check out our latest reel on instagram!"/>
    <n v="1674"/>
    <n v="929"/>
    <n v="37"/>
    <n v="21762"/>
    <n v="20998"/>
    <n v="255"/>
  </r>
  <r>
    <s v="P076"/>
    <x v="0"/>
    <n v="45603"/>
    <x v="2"/>
    <s v="Check out our latest story on twitter!"/>
    <n v="1121"/>
    <n v="135"/>
    <n v="18"/>
    <n v="15694"/>
    <n v="14957"/>
    <n v="99"/>
  </r>
  <r>
    <s v="P077"/>
    <x v="3"/>
    <n v="45720"/>
    <x v="2"/>
    <s v="Check out our latest story on facebook!"/>
    <n v="1249"/>
    <n v="116"/>
    <n v="420"/>
    <n v="8743"/>
    <n v="8538"/>
    <n v="63"/>
  </r>
  <r>
    <s v="P078"/>
    <x v="0"/>
    <n v="45460"/>
    <x v="4"/>
    <s v="Check out our latest image on twitter!"/>
    <n v="954"/>
    <n v="324"/>
    <n v="288"/>
    <n v="19080"/>
    <n v="18859"/>
    <n v="21"/>
  </r>
  <r>
    <s v="P079"/>
    <x v="2"/>
    <n v="45574"/>
    <x v="3"/>
    <s v="Check out our latest carousel on instagram!"/>
    <n v="3068"/>
    <n v="137"/>
    <n v="329"/>
    <n v="39884"/>
    <n v="39404"/>
    <n v="266"/>
  </r>
  <r>
    <s v="P080"/>
    <x v="2"/>
    <n v="45456"/>
    <x v="2"/>
    <s v="Check out our latest story on instagram!"/>
    <n v="2103"/>
    <n v="892"/>
    <n v="103"/>
    <n v="39957"/>
    <n v="39466"/>
    <n v="28"/>
  </r>
  <r>
    <s v="P081"/>
    <x v="2"/>
    <n v="45584"/>
    <x v="2"/>
    <s v="Check out our latest story on instagram!"/>
    <n v="1816"/>
    <n v="29"/>
    <n v="41"/>
    <n v="19976"/>
    <n v="19262"/>
    <n v="283"/>
  </r>
  <r>
    <s v="P082"/>
    <x v="2"/>
    <n v="45497"/>
    <x v="4"/>
    <s v="Check out our latest image on instagram!"/>
    <n v="725"/>
    <n v="88"/>
    <n v="428"/>
    <n v="14500"/>
    <n v="13637"/>
    <n v="200"/>
  </r>
  <r>
    <s v="P083"/>
    <x v="1"/>
    <n v="45580"/>
    <x v="5"/>
    <s v="Check out our latest video on youtube!"/>
    <n v="1094"/>
    <n v="472"/>
    <n v="21"/>
    <n v="9846"/>
    <n v="9609"/>
    <n v="112"/>
  </r>
  <r>
    <s v="P084"/>
    <x v="3"/>
    <n v="45635"/>
    <x v="4"/>
    <s v="Check out our latest image on facebook!"/>
    <n v="1841"/>
    <n v="851"/>
    <n v="342"/>
    <n v="34979"/>
    <n v="34154"/>
    <n v="255"/>
  </r>
  <r>
    <s v="P085"/>
    <x v="2"/>
    <n v="45766"/>
    <x v="4"/>
    <s v="Check out our latest image on instagram!"/>
    <n v="4177"/>
    <n v="569"/>
    <n v="55"/>
    <n v="25062"/>
    <n v="24847"/>
    <n v="230"/>
  </r>
  <r>
    <s v="P086"/>
    <x v="1"/>
    <n v="45684"/>
    <x v="1"/>
    <s v="Check out our latest text on youtube!"/>
    <n v="3428"/>
    <n v="305"/>
    <n v="85"/>
    <n v="58276"/>
    <n v="58052"/>
    <n v="242"/>
  </r>
  <r>
    <s v="P087"/>
    <x v="0"/>
    <n v="45449"/>
    <x v="5"/>
    <s v="Check out our latest video on twitter!"/>
    <n v="1436"/>
    <n v="765"/>
    <n v="496"/>
    <n v="12924"/>
    <n v="12701"/>
    <n v="197"/>
  </r>
  <r>
    <s v="P088"/>
    <x v="3"/>
    <n v="45480"/>
    <x v="2"/>
    <s v="Check out our latest story on facebook!"/>
    <n v="302"/>
    <n v="47"/>
    <n v="430"/>
    <n v="5738"/>
    <n v="4890"/>
    <n v="25"/>
  </r>
  <r>
    <s v="P089"/>
    <x v="0"/>
    <n v="45667"/>
    <x v="4"/>
    <s v="Check out our latest image on twitter!"/>
    <n v="2214"/>
    <n v="249"/>
    <n v="152"/>
    <n v="15498"/>
    <n v="14800"/>
    <n v="180"/>
  </r>
  <r>
    <s v="P090"/>
    <x v="2"/>
    <n v="45446"/>
    <x v="4"/>
    <s v="Check out our latest image on instagram!"/>
    <n v="3861"/>
    <n v="960"/>
    <n v="101"/>
    <n v="69498"/>
    <n v="68817"/>
    <n v="297"/>
  </r>
  <r>
    <s v="P091"/>
    <x v="3"/>
    <n v="45740"/>
    <x v="4"/>
    <s v="Check out our latest image on facebook!"/>
    <n v="1263"/>
    <n v="397"/>
    <n v="357"/>
    <n v="25260"/>
    <n v="24615"/>
    <n v="137"/>
  </r>
  <r>
    <s v="P092"/>
    <x v="0"/>
    <n v="45586"/>
    <x v="2"/>
    <s v="Check out our latest story on twitter!"/>
    <n v="3801"/>
    <n v="967"/>
    <n v="401"/>
    <n v="38010"/>
    <n v="37625"/>
    <n v="236"/>
  </r>
  <r>
    <s v="P093"/>
    <x v="2"/>
    <n v="45637"/>
    <x v="5"/>
    <s v="Check out our latest video on instagram!"/>
    <n v="1431"/>
    <n v="951"/>
    <n v="26"/>
    <n v="8586"/>
    <n v="8396"/>
    <n v="150"/>
  </r>
  <r>
    <s v="P094"/>
    <x v="2"/>
    <n v="45603"/>
    <x v="4"/>
    <s v="Check out our latest image on instagram!"/>
    <n v="2647"/>
    <n v="304"/>
    <n v="170"/>
    <n v="18529"/>
    <n v="17841"/>
    <n v="46"/>
  </r>
  <r>
    <s v="P095"/>
    <x v="2"/>
    <n v="45604"/>
    <x v="1"/>
    <s v="Check out our latest text on instagram!"/>
    <n v="3182"/>
    <n v="559"/>
    <n v="160"/>
    <n v="57276"/>
    <n v="56890"/>
    <n v="163"/>
  </r>
  <r>
    <s v="P096"/>
    <x v="0"/>
    <n v="45545"/>
    <x v="4"/>
    <s v="Check out our latest image on twitter!"/>
    <n v="1238"/>
    <n v="366"/>
    <n v="444"/>
    <n v="19808"/>
    <n v="19334"/>
    <n v="123"/>
  </r>
  <r>
    <s v="P097"/>
    <x v="2"/>
    <n v="45517"/>
    <x v="4"/>
    <s v="Check out our latest image on instagram!"/>
    <n v="4739"/>
    <n v="527"/>
    <n v="135"/>
    <n v="61607"/>
    <n v="61333"/>
    <n v="36"/>
  </r>
  <r>
    <s v="P098"/>
    <x v="0"/>
    <n v="45453"/>
    <x v="2"/>
    <s v="Check out our latest story on twitter!"/>
    <n v="1575"/>
    <n v="771"/>
    <n v="486"/>
    <n v="25200"/>
    <n v="24826"/>
    <n v="17"/>
  </r>
  <r>
    <s v="P099"/>
    <x v="1"/>
    <n v="45475"/>
    <x v="3"/>
    <s v="Check out our latest carousel on youtube!"/>
    <n v="4171"/>
    <n v="548"/>
    <n v="86"/>
    <n v="66736"/>
    <n v="66634"/>
    <n v="173"/>
  </r>
  <r>
    <s v="P100"/>
    <x v="1"/>
    <n v="45698"/>
    <x v="5"/>
    <s v="Check out our latest video on youtube!"/>
    <n v="1766"/>
    <n v="92"/>
    <n v="424"/>
    <n v="24724"/>
    <n v="24333"/>
    <n v="52"/>
  </r>
  <r>
    <s v="P101"/>
    <x v="1"/>
    <n v="45583"/>
    <x v="5"/>
    <s v="Check out our latest video on youtube!"/>
    <n v="4450"/>
    <n v="983"/>
    <n v="143"/>
    <n v="75650"/>
    <n v="75008"/>
    <n v="12"/>
  </r>
  <r>
    <s v="P102"/>
    <x v="0"/>
    <n v="45553"/>
    <x v="0"/>
    <s v="Check out our latest reel on twitter!"/>
    <n v="1000"/>
    <n v="978"/>
    <n v="162"/>
    <n v="6000"/>
    <n v="5221"/>
    <n v="223"/>
  </r>
  <r>
    <s v="P103"/>
    <x v="3"/>
    <n v="45454"/>
    <x v="4"/>
    <s v="Check out our latest image on facebook!"/>
    <n v="3689"/>
    <n v="48"/>
    <n v="306"/>
    <n v="40579"/>
    <n v="39588"/>
    <n v="212"/>
  </r>
  <r>
    <s v="P104"/>
    <x v="1"/>
    <n v="45739"/>
    <x v="2"/>
    <s v="Check out our latest story on youtube!"/>
    <n v="3655"/>
    <n v="568"/>
    <n v="286"/>
    <n v="32895"/>
    <n v="32015"/>
    <n v="199"/>
  </r>
  <r>
    <s v="P105"/>
    <x v="2"/>
    <n v="45457"/>
    <x v="3"/>
    <s v="Check out our latest carousel on instagram!"/>
    <n v="498"/>
    <n v="38"/>
    <n v="42"/>
    <n v="4482"/>
    <n v="3647"/>
    <n v="32"/>
  </r>
  <r>
    <s v="P106"/>
    <x v="2"/>
    <n v="45692"/>
    <x v="4"/>
    <s v="Check out our latest image on instagram!"/>
    <n v="4619"/>
    <n v="821"/>
    <n v="499"/>
    <n v="69285"/>
    <n v="69141"/>
    <n v="298"/>
  </r>
  <r>
    <s v="P107"/>
    <x v="1"/>
    <n v="45464"/>
    <x v="4"/>
    <s v="Check out our latest image on youtube!"/>
    <n v="4832"/>
    <n v="893"/>
    <n v="10"/>
    <n v="91808"/>
    <n v="91296"/>
    <n v="182"/>
  </r>
  <r>
    <s v="P108"/>
    <x v="0"/>
    <n v="45741"/>
    <x v="5"/>
    <s v="Check out our latest video on twitter!"/>
    <n v="4050"/>
    <n v="871"/>
    <n v="347"/>
    <n v="52650"/>
    <n v="51755"/>
    <n v="209"/>
  </r>
  <r>
    <s v="P109"/>
    <x v="0"/>
    <n v="45512"/>
    <x v="2"/>
    <s v="Check out our latest story on twitter!"/>
    <n v="3649"/>
    <n v="215"/>
    <n v="413"/>
    <n v="25543"/>
    <n v="24963"/>
    <n v="167"/>
  </r>
  <r>
    <s v="P110"/>
    <x v="2"/>
    <n v="45502"/>
    <x v="0"/>
    <s v="Check out our latest reel on instagram!"/>
    <n v="3523"/>
    <n v="753"/>
    <n v="482"/>
    <n v="38753"/>
    <n v="38579"/>
    <n v="270"/>
  </r>
  <r>
    <s v="P111"/>
    <x v="1"/>
    <n v="45619"/>
    <x v="4"/>
    <s v="Check out our latest image on youtube!"/>
    <n v="2719"/>
    <n v="17"/>
    <n v="285"/>
    <n v="40785"/>
    <n v="40281"/>
    <n v="40"/>
  </r>
  <r>
    <s v="P112"/>
    <x v="0"/>
    <n v="45570"/>
    <x v="2"/>
    <s v="Check out our latest story on twitter!"/>
    <n v="1957"/>
    <n v="877"/>
    <n v="238"/>
    <n v="17613"/>
    <n v="16865"/>
    <n v="297"/>
  </r>
  <r>
    <s v="P113"/>
    <x v="0"/>
    <n v="45567"/>
    <x v="3"/>
    <s v="Check out our latest carousel on twitter!"/>
    <n v="4419"/>
    <n v="236"/>
    <n v="369"/>
    <n v="44190"/>
    <n v="43582"/>
    <n v="10"/>
  </r>
  <r>
    <s v="P114"/>
    <x v="0"/>
    <n v="45610"/>
    <x v="2"/>
    <s v="Check out our latest story on twitter!"/>
    <n v="4000"/>
    <n v="689"/>
    <n v="488"/>
    <n v="40000"/>
    <n v="39569"/>
    <n v="44"/>
  </r>
  <r>
    <s v="P115"/>
    <x v="0"/>
    <n v="45788"/>
    <x v="4"/>
    <s v="Check out our latest image on twitter!"/>
    <n v="2493"/>
    <n v="97"/>
    <n v="44"/>
    <n v="42381"/>
    <n v="41991"/>
    <n v="242"/>
  </r>
  <r>
    <s v="P116"/>
    <x v="1"/>
    <n v="45734"/>
    <x v="0"/>
    <s v="Check out our latest reel on youtube!"/>
    <n v="3704"/>
    <n v="186"/>
    <n v="458"/>
    <n v="25928"/>
    <n v="25081"/>
    <n v="131"/>
  </r>
  <r>
    <s v="P117"/>
    <x v="0"/>
    <n v="45600"/>
    <x v="4"/>
    <s v="Check out our latest image on twitter!"/>
    <n v="1606"/>
    <n v="451"/>
    <n v="405"/>
    <n v="20878"/>
    <n v="20190"/>
    <n v="219"/>
  </r>
  <r>
    <s v="P118"/>
    <x v="3"/>
    <n v="45600"/>
    <x v="4"/>
    <s v="Check out our latest image on facebook!"/>
    <n v="4551"/>
    <n v="714"/>
    <n v="207"/>
    <n v="68265"/>
    <n v="67754"/>
    <n v="57"/>
  </r>
  <r>
    <s v="P119"/>
    <x v="2"/>
    <n v="45695"/>
    <x v="0"/>
    <s v="Check out our latest reel on instagram!"/>
    <n v="1970"/>
    <n v="675"/>
    <n v="478"/>
    <n v="9850"/>
    <n v="8924"/>
    <n v="117"/>
  </r>
  <r>
    <s v="P120"/>
    <x v="3"/>
    <n v="45586"/>
    <x v="2"/>
    <s v="Check out our latest story on facebook!"/>
    <n v="780"/>
    <n v="928"/>
    <n v="301"/>
    <n v="8580"/>
    <n v="8081"/>
    <n v="91"/>
  </r>
  <r>
    <s v="P121"/>
    <x v="2"/>
    <n v="45502"/>
    <x v="2"/>
    <s v="Check out our latest story on instagram!"/>
    <n v="498"/>
    <n v="701"/>
    <n v="412"/>
    <n v="4980"/>
    <n v="4185"/>
    <n v="185"/>
  </r>
  <r>
    <s v="P122"/>
    <x v="2"/>
    <n v="45567"/>
    <x v="1"/>
    <s v="Check out our latest text on instagram!"/>
    <n v="3432"/>
    <n v="869"/>
    <n v="123"/>
    <n v="54912"/>
    <n v="53916"/>
    <n v="264"/>
  </r>
  <r>
    <s v="P123"/>
    <x v="2"/>
    <n v="45457"/>
    <x v="2"/>
    <s v="Check out our latest story on instagram!"/>
    <n v="4363"/>
    <n v="649"/>
    <n v="140"/>
    <n v="21815"/>
    <n v="21481"/>
    <n v="157"/>
  </r>
  <r>
    <s v="P124"/>
    <x v="1"/>
    <n v="45753"/>
    <x v="3"/>
    <s v="Check out our latest carousel on youtube!"/>
    <n v="736"/>
    <n v="771"/>
    <n v="225"/>
    <n v="5152"/>
    <n v="4706"/>
    <n v="19"/>
  </r>
  <r>
    <s v="P125"/>
    <x v="0"/>
    <n v="45543"/>
    <x v="3"/>
    <s v="Check out our latest carousel on twitter!"/>
    <n v="3811"/>
    <n v="866"/>
    <n v="216"/>
    <n v="34299"/>
    <n v="34088"/>
    <n v="233"/>
  </r>
  <r>
    <s v="P126"/>
    <x v="2"/>
    <n v="45744"/>
    <x v="3"/>
    <s v="Check out our latest carousel on instagram!"/>
    <n v="4158"/>
    <n v="167"/>
    <n v="241"/>
    <n v="45738"/>
    <n v="45183"/>
    <n v="142"/>
  </r>
  <r>
    <s v="P127"/>
    <x v="3"/>
    <n v="45684"/>
    <x v="0"/>
    <s v="Check out our latest reel on facebook!"/>
    <n v="3452"/>
    <n v="652"/>
    <n v="442"/>
    <n v="65588"/>
    <n v="65049"/>
    <n v="158"/>
  </r>
  <r>
    <s v="P128"/>
    <x v="0"/>
    <n v="45667"/>
    <x v="4"/>
    <s v="Check out our latest image on twitter!"/>
    <n v="3092"/>
    <n v="106"/>
    <n v="291"/>
    <n v="27828"/>
    <n v="27217"/>
    <n v="102"/>
  </r>
  <r>
    <s v="P129"/>
    <x v="0"/>
    <n v="45494"/>
    <x v="1"/>
    <s v="Check out our latest text on twitter!"/>
    <n v="2147"/>
    <n v="430"/>
    <n v="393"/>
    <n v="17176"/>
    <n v="16483"/>
    <n v="170"/>
  </r>
  <r>
    <s v="P130"/>
    <x v="1"/>
    <n v="45564"/>
    <x v="0"/>
    <s v="Check out our latest reel on youtube!"/>
    <n v="2936"/>
    <n v="439"/>
    <n v="44"/>
    <n v="38168"/>
    <n v="37571"/>
    <n v="22"/>
  </r>
  <r>
    <s v="P131"/>
    <x v="2"/>
    <n v="45586"/>
    <x v="0"/>
    <s v="Check out our latest reel on instagram!"/>
    <n v="4840"/>
    <n v="658"/>
    <n v="211"/>
    <n v="43560"/>
    <n v="43225"/>
    <n v="57"/>
  </r>
  <r>
    <s v="P132"/>
    <x v="2"/>
    <n v="45720"/>
    <x v="2"/>
    <s v="Check out our latest story on instagram!"/>
    <n v="1947"/>
    <n v="842"/>
    <n v="101"/>
    <n v="21417"/>
    <n v="20967"/>
    <n v="186"/>
  </r>
  <r>
    <s v="P133"/>
    <x v="3"/>
    <n v="45694"/>
    <x v="4"/>
    <s v="Check out our latest image on facebook!"/>
    <n v="2072"/>
    <n v="532"/>
    <n v="71"/>
    <n v="37296"/>
    <n v="36467"/>
    <n v="25"/>
  </r>
  <r>
    <s v="P134"/>
    <x v="0"/>
    <n v="45771"/>
    <x v="0"/>
    <s v="Check out our latest reel on twitter!"/>
    <n v="3731"/>
    <n v="115"/>
    <n v="135"/>
    <n v="55965"/>
    <n v="55436"/>
    <n v="103"/>
  </r>
  <r>
    <s v="P135"/>
    <x v="3"/>
    <n v="45624"/>
    <x v="1"/>
    <s v="Check out our latest text on facebook!"/>
    <n v="4213"/>
    <n v="253"/>
    <n v="434"/>
    <n v="75834"/>
    <n v="75437"/>
    <n v="272"/>
  </r>
  <r>
    <s v="P136"/>
    <x v="2"/>
    <n v="45484"/>
    <x v="1"/>
    <s v="Check out our latest text on instagram!"/>
    <n v="3134"/>
    <n v="888"/>
    <n v="444"/>
    <n v="21938"/>
    <n v="21337"/>
    <n v="130"/>
  </r>
  <r>
    <s v="P137"/>
    <x v="3"/>
    <n v="45504"/>
    <x v="5"/>
    <s v="Check out our latest video on facebook!"/>
    <n v="3008"/>
    <n v="94"/>
    <n v="37"/>
    <n v="15040"/>
    <n v="14639"/>
    <n v="277"/>
  </r>
  <r>
    <s v="P138"/>
    <x v="0"/>
    <n v="45745"/>
    <x v="4"/>
    <s v="Check out our latest image on twitter!"/>
    <n v="305"/>
    <n v="187"/>
    <n v="243"/>
    <n v="4575"/>
    <n v="3704"/>
    <n v="234"/>
  </r>
  <r>
    <s v="P139"/>
    <x v="1"/>
    <n v="45594"/>
    <x v="1"/>
    <s v="Check out our latest text on youtube!"/>
    <n v="2746"/>
    <n v="156"/>
    <n v="203"/>
    <n v="32952"/>
    <n v="32147"/>
    <n v="147"/>
  </r>
  <r>
    <s v="P140"/>
    <x v="3"/>
    <n v="45488"/>
    <x v="4"/>
    <s v="Check out our latest image on facebook!"/>
    <n v="2291"/>
    <n v="78"/>
    <n v="485"/>
    <n v="18328"/>
    <n v="18101"/>
    <n v="10"/>
  </r>
  <r>
    <s v="P141"/>
    <x v="0"/>
    <n v="45535"/>
    <x v="4"/>
    <s v="Check out our latest image on twitter!"/>
    <n v="3170"/>
    <n v="857"/>
    <n v="379"/>
    <n v="19020"/>
    <n v="18559"/>
    <n v="240"/>
  </r>
  <r>
    <s v="P142"/>
    <x v="1"/>
    <n v="45741"/>
    <x v="2"/>
    <s v="Check out our latest story on youtube!"/>
    <n v="2070"/>
    <n v="275"/>
    <n v="386"/>
    <n v="39330"/>
    <n v="38627"/>
    <n v="114"/>
  </r>
  <r>
    <s v="P143"/>
    <x v="1"/>
    <n v="45567"/>
    <x v="3"/>
    <s v="Check out our latest carousel on youtube!"/>
    <n v="80"/>
    <n v="362"/>
    <n v="80"/>
    <n v="1040"/>
    <n v="349"/>
    <n v="117"/>
  </r>
  <r>
    <s v="P144"/>
    <x v="1"/>
    <n v="45593"/>
    <x v="2"/>
    <s v="Check out our latest story on youtube!"/>
    <n v="4929"/>
    <n v="749"/>
    <n v="452"/>
    <n v="93651"/>
    <n v="92810"/>
    <n v="66"/>
  </r>
  <r>
    <s v="P145"/>
    <x v="2"/>
    <n v="45516"/>
    <x v="3"/>
    <s v="Check out our latest carousel on instagram!"/>
    <n v="1878"/>
    <n v="62"/>
    <n v="179"/>
    <n v="37560"/>
    <n v="36874"/>
    <n v="142"/>
  </r>
  <r>
    <s v="P146"/>
    <x v="1"/>
    <n v="45448"/>
    <x v="0"/>
    <s v="Check out our latest reel on youtube!"/>
    <n v="3065"/>
    <n v="772"/>
    <n v="142"/>
    <n v="18390"/>
    <n v="17875"/>
    <n v="200"/>
  </r>
  <r>
    <s v="P147"/>
    <x v="2"/>
    <n v="45586"/>
    <x v="0"/>
    <s v="Check out our latest reel on instagram!"/>
    <n v="3256"/>
    <n v="459"/>
    <n v="266"/>
    <n v="26048"/>
    <n v="25529"/>
    <n v="143"/>
  </r>
  <r>
    <s v="P148"/>
    <x v="2"/>
    <n v="45762"/>
    <x v="5"/>
    <s v="Check out our latest video on instagram!"/>
    <n v="4133"/>
    <n v="466"/>
    <n v="327"/>
    <n v="24798"/>
    <n v="24620"/>
    <n v="176"/>
  </r>
  <r>
    <s v="P149"/>
    <x v="0"/>
    <n v="45459"/>
    <x v="5"/>
    <s v="Check out our latest video on twitter!"/>
    <n v="1702"/>
    <n v="750"/>
    <n v="179"/>
    <n v="34040"/>
    <n v="33174"/>
    <n v="76"/>
  </r>
  <r>
    <s v="P150"/>
    <x v="1"/>
    <n v="45526"/>
    <x v="3"/>
    <s v="Check out our latest carousel on youtube!"/>
    <n v="4295"/>
    <n v="853"/>
    <n v="325"/>
    <n v="85900"/>
    <n v="85788"/>
    <n v="290"/>
  </r>
  <r>
    <s v="P151"/>
    <x v="2"/>
    <n v="45499"/>
    <x v="4"/>
    <s v="Check out our latest image on instagram!"/>
    <n v="3559"/>
    <n v="59"/>
    <n v="289"/>
    <n v="35590"/>
    <n v="35105"/>
    <n v="122"/>
  </r>
  <r>
    <s v="P152"/>
    <x v="3"/>
    <n v="45769"/>
    <x v="4"/>
    <s v="Check out our latest image on facebook!"/>
    <n v="4804"/>
    <n v="550"/>
    <n v="270"/>
    <n v="28824"/>
    <n v="28370"/>
    <n v="47"/>
  </r>
  <r>
    <s v="P153"/>
    <x v="0"/>
    <n v="45658"/>
    <x v="5"/>
    <s v="Check out our latest video on twitter!"/>
    <n v="754"/>
    <n v="197"/>
    <n v="257"/>
    <n v="6786"/>
    <n v="6221"/>
    <n v="212"/>
  </r>
  <r>
    <s v="P154"/>
    <x v="2"/>
    <n v="45574"/>
    <x v="3"/>
    <s v="Check out our latest carousel on instagram!"/>
    <n v="985"/>
    <n v="932"/>
    <n v="287"/>
    <n v="6895"/>
    <n v="6757"/>
    <n v="64"/>
  </r>
  <r>
    <s v="P155"/>
    <x v="1"/>
    <n v="45647"/>
    <x v="4"/>
    <s v="Check out our latest image on youtube!"/>
    <n v="2283"/>
    <n v="210"/>
    <n v="130"/>
    <n v="22830"/>
    <n v="22617"/>
    <n v="143"/>
  </r>
  <r>
    <s v="P156"/>
    <x v="3"/>
    <n v="45587"/>
    <x v="3"/>
    <s v="Check out our latest carousel on facebook!"/>
    <n v="3352"/>
    <n v="941"/>
    <n v="482"/>
    <n v="43576"/>
    <n v="43338"/>
    <n v="240"/>
  </r>
  <r>
    <s v="P157"/>
    <x v="1"/>
    <n v="45496"/>
    <x v="2"/>
    <s v="Check out our latest story on youtube!"/>
    <n v="4775"/>
    <n v="173"/>
    <n v="206"/>
    <n v="47750"/>
    <n v="47544"/>
    <n v="187"/>
  </r>
  <r>
    <s v="P158"/>
    <x v="2"/>
    <n v="45515"/>
    <x v="2"/>
    <s v="Check out our latest story on instagram!"/>
    <n v="1762"/>
    <n v="405"/>
    <n v="423"/>
    <n v="22906"/>
    <n v="21925"/>
    <n v="25"/>
  </r>
  <r>
    <s v="P159"/>
    <x v="3"/>
    <n v="45621"/>
    <x v="2"/>
    <s v="Check out our latest story on facebook!"/>
    <n v="2120"/>
    <n v="158"/>
    <n v="488"/>
    <n v="12720"/>
    <n v="12085"/>
    <n v="17"/>
  </r>
  <r>
    <s v="P160"/>
    <x v="0"/>
    <n v="45528"/>
    <x v="5"/>
    <s v="Check out our latest video on twitter!"/>
    <n v="1082"/>
    <n v="209"/>
    <n v="484"/>
    <n v="19476"/>
    <n v="18654"/>
    <n v="20"/>
  </r>
  <r>
    <s v="P161"/>
    <x v="0"/>
    <n v="45707"/>
    <x v="1"/>
    <s v="Check out our latest text on twitter!"/>
    <n v="4671"/>
    <n v="876"/>
    <n v="366"/>
    <n v="51381"/>
    <n v="50565"/>
    <n v="245"/>
  </r>
  <r>
    <s v="P162"/>
    <x v="3"/>
    <n v="45748"/>
    <x v="2"/>
    <s v="Check out our latest story on facebook!"/>
    <n v="3430"/>
    <n v="566"/>
    <n v="164"/>
    <n v="48020"/>
    <n v="47305"/>
    <n v="120"/>
  </r>
  <r>
    <s v="P163"/>
    <x v="2"/>
    <n v="45755"/>
    <x v="4"/>
    <s v="Check out our latest image on instagram!"/>
    <n v="4501"/>
    <n v="375"/>
    <n v="323"/>
    <n v="22505"/>
    <n v="21836"/>
    <n v="132"/>
  </r>
  <r>
    <s v="P164"/>
    <x v="1"/>
    <n v="45715"/>
    <x v="1"/>
    <s v="Check out our latest text on youtube!"/>
    <n v="4934"/>
    <n v="971"/>
    <n v="156"/>
    <n v="39472"/>
    <n v="39025"/>
    <n v="169"/>
  </r>
  <r>
    <s v="P165"/>
    <x v="0"/>
    <n v="45637"/>
    <x v="1"/>
    <s v="Check out our latest text on twitter!"/>
    <n v="3239"/>
    <n v="43"/>
    <n v="211"/>
    <n v="22673"/>
    <n v="22171"/>
    <n v="230"/>
  </r>
  <r>
    <s v="P166"/>
    <x v="0"/>
    <n v="45704"/>
    <x v="0"/>
    <s v="Check out our latest reel on twitter!"/>
    <n v="1076"/>
    <n v="313"/>
    <n v="306"/>
    <n v="11836"/>
    <n v="11596"/>
    <n v="104"/>
  </r>
  <r>
    <s v="P167"/>
    <x v="2"/>
    <n v="45624"/>
    <x v="1"/>
    <s v="Check out our latest text on instagram!"/>
    <n v="4771"/>
    <n v="818"/>
    <n v="56"/>
    <n v="57252"/>
    <n v="56378"/>
    <n v="150"/>
  </r>
  <r>
    <s v="P168"/>
    <x v="3"/>
    <n v="45608"/>
    <x v="1"/>
    <s v="Check out our latest text on facebook!"/>
    <n v="2418"/>
    <n v="754"/>
    <n v="54"/>
    <n v="43524"/>
    <n v="42743"/>
    <n v="182"/>
  </r>
  <r>
    <s v="P169"/>
    <x v="1"/>
    <n v="45629"/>
    <x v="5"/>
    <s v="Check out our latest video on youtube!"/>
    <n v="3809"/>
    <n v="273"/>
    <n v="200"/>
    <n v="34281"/>
    <n v="33534"/>
    <n v="83"/>
  </r>
  <r>
    <s v="P170"/>
    <x v="0"/>
    <n v="45775"/>
    <x v="1"/>
    <s v="Check out our latest text on twitter!"/>
    <n v="3577"/>
    <n v="596"/>
    <n v="493"/>
    <n v="67963"/>
    <n v="67839"/>
    <n v="53"/>
  </r>
  <r>
    <s v="P171"/>
    <x v="1"/>
    <n v="45657"/>
    <x v="5"/>
    <s v="Check out our latest video on youtube!"/>
    <n v="1018"/>
    <n v="447"/>
    <n v="332"/>
    <n v="18324"/>
    <n v="18164"/>
    <n v="38"/>
  </r>
  <r>
    <s v="P172"/>
    <x v="3"/>
    <n v="45518"/>
    <x v="3"/>
    <s v="Check out our latest carousel on facebook!"/>
    <n v="3073"/>
    <n v="553"/>
    <n v="174"/>
    <n v="52241"/>
    <n v="51605"/>
    <n v="246"/>
  </r>
  <r>
    <s v="P173"/>
    <x v="0"/>
    <n v="45631"/>
    <x v="5"/>
    <s v="Check out our latest video on twitter!"/>
    <n v="1330"/>
    <n v="925"/>
    <n v="35"/>
    <n v="15960"/>
    <n v="15379"/>
    <n v="229"/>
  </r>
  <r>
    <s v="P174"/>
    <x v="3"/>
    <n v="45465"/>
    <x v="1"/>
    <s v="Check out our latest text on facebook!"/>
    <n v="3828"/>
    <n v="148"/>
    <n v="253"/>
    <n v="30624"/>
    <n v="30229"/>
    <n v="235"/>
  </r>
  <r>
    <s v="P175"/>
    <x v="2"/>
    <n v="45674"/>
    <x v="0"/>
    <s v="Check out our latest reel on instagram!"/>
    <n v="142"/>
    <n v="784"/>
    <n v="183"/>
    <n v="1704"/>
    <n v="995"/>
    <n v="154"/>
  </r>
  <r>
    <s v="P176"/>
    <x v="3"/>
    <n v="45463"/>
    <x v="5"/>
    <s v="Check out our latest video on facebook!"/>
    <n v="3798"/>
    <n v="31"/>
    <n v="279"/>
    <n v="75960"/>
    <n v="75813"/>
    <n v="266"/>
  </r>
  <r>
    <s v="P177"/>
    <x v="2"/>
    <n v="45483"/>
    <x v="3"/>
    <s v="Check out our latest carousel on instagram!"/>
    <n v="3099"/>
    <n v="694"/>
    <n v="171"/>
    <n v="43386"/>
    <n v="42921"/>
    <n v="52"/>
  </r>
  <r>
    <s v="P178"/>
    <x v="2"/>
    <n v="45603"/>
    <x v="5"/>
    <s v="Check out our latest video on instagram!"/>
    <n v="129"/>
    <n v="643"/>
    <n v="136"/>
    <n v="1290"/>
    <n v="839"/>
    <n v="238"/>
  </r>
  <r>
    <s v="P179"/>
    <x v="3"/>
    <n v="45488"/>
    <x v="3"/>
    <s v="Check out our latest carousel on facebook!"/>
    <n v="3796"/>
    <n v="667"/>
    <n v="395"/>
    <n v="64532"/>
    <n v="63550"/>
    <n v="292"/>
  </r>
  <r>
    <s v="P180"/>
    <x v="1"/>
    <n v="45629"/>
    <x v="1"/>
    <s v="Check out our latest text on youtube!"/>
    <n v="3711"/>
    <n v="352"/>
    <n v="290"/>
    <n v="48243"/>
    <n v="47579"/>
    <n v="11"/>
  </r>
  <r>
    <s v="P181"/>
    <x v="1"/>
    <n v="45737"/>
    <x v="4"/>
    <s v="Check out our latest image on youtube!"/>
    <n v="606"/>
    <n v="789"/>
    <n v="470"/>
    <n v="7878"/>
    <n v="7389"/>
    <n v="239"/>
  </r>
  <r>
    <s v="P182"/>
    <x v="3"/>
    <n v="45504"/>
    <x v="4"/>
    <s v="Check out our latest image on facebook!"/>
    <n v="4689"/>
    <n v="134"/>
    <n v="403"/>
    <n v="51579"/>
    <n v="50924"/>
    <n v="173"/>
  </r>
  <r>
    <s v="P183"/>
    <x v="2"/>
    <n v="45643"/>
    <x v="2"/>
    <s v="Check out our latest story on instagram!"/>
    <n v="360"/>
    <n v="590"/>
    <n v="393"/>
    <n v="4680"/>
    <n v="4322"/>
    <n v="208"/>
  </r>
  <r>
    <s v="P184"/>
    <x v="0"/>
    <n v="45501"/>
    <x v="4"/>
    <s v="Check out our latest image on twitter!"/>
    <n v="3215"/>
    <n v="960"/>
    <n v="202"/>
    <n v="32150"/>
    <n v="31404"/>
    <n v="251"/>
  </r>
  <r>
    <s v="P185"/>
    <x v="2"/>
    <n v="45668"/>
    <x v="3"/>
    <s v="Check out our latest carousel on instagram!"/>
    <n v="4523"/>
    <n v="61"/>
    <n v="157"/>
    <n v="49753"/>
    <n v="49329"/>
    <n v="71"/>
  </r>
  <r>
    <s v="P186"/>
    <x v="3"/>
    <n v="45528"/>
    <x v="3"/>
    <s v="Check out our latest carousel on facebook!"/>
    <n v="4292"/>
    <n v="51"/>
    <n v="392"/>
    <n v="55796"/>
    <n v="54826"/>
    <n v="264"/>
  </r>
  <r>
    <s v="P187"/>
    <x v="0"/>
    <n v="45648"/>
    <x v="0"/>
    <s v="Check out our latest reel on twitter!"/>
    <n v="1644"/>
    <n v="546"/>
    <n v="150"/>
    <n v="27948"/>
    <n v="27184"/>
    <n v="300"/>
  </r>
  <r>
    <s v="P188"/>
    <x v="1"/>
    <n v="45449"/>
    <x v="0"/>
    <s v="Check out our latest reel on youtube!"/>
    <n v="2728"/>
    <n v="533"/>
    <n v="215"/>
    <n v="40920"/>
    <n v="40816"/>
    <n v="137"/>
  </r>
  <r>
    <s v="P189"/>
    <x v="3"/>
    <n v="45740"/>
    <x v="0"/>
    <s v="Check out our latest reel on facebook!"/>
    <n v="3360"/>
    <n v="525"/>
    <n v="500"/>
    <n v="60480"/>
    <n v="59610"/>
    <n v="192"/>
  </r>
  <r>
    <s v="P190"/>
    <x v="1"/>
    <n v="45569"/>
    <x v="1"/>
    <s v="Check out our latest text on youtube!"/>
    <n v="1963"/>
    <n v="213"/>
    <n v="19"/>
    <n v="39260"/>
    <n v="38771"/>
    <n v="145"/>
  </r>
  <r>
    <s v="P191"/>
    <x v="1"/>
    <n v="45629"/>
    <x v="2"/>
    <s v="Check out our latest story on youtube!"/>
    <n v="4285"/>
    <n v="886"/>
    <n v="376"/>
    <n v="55705"/>
    <n v="55556"/>
    <n v="51"/>
  </r>
  <r>
    <s v="P192"/>
    <x v="2"/>
    <n v="45625"/>
    <x v="5"/>
    <s v="Check out our latest video on instagram!"/>
    <n v="1176"/>
    <n v="464"/>
    <n v="394"/>
    <n v="14112"/>
    <n v="13588"/>
    <n v="272"/>
  </r>
  <r>
    <s v="P193"/>
    <x v="0"/>
    <n v="45546"/>
    <x v="4"/>
    <s v="Check out our latest image on twitter!"/>
    <n v="4858"/>
    <n v="317"/>
    <n v="129"/>
    <n v="53438"/>
    <n v="52687"/>
    <n v="223"/>
  </r>
  <r>
    <s v="P194"/>
    <x v="1"/>
    <n v="45567"/>
    <x v="2"/>
    <s v="Check out our latest story on youtube!"/>
    <n v="4350"/>
    <n v="771"/>
    <n v="7"/>
    <n v="60900"/>
    <n v="60592"/>
    <n v="195"/>
  </r>
  <r>
    <s v="P195"/>
    <x v="2"/>
    <n v="45519"/>
    <x v="3"/>
    <s v="Check out our latest carousel on instagram!"/>
    <n v="914"/>
    <n v="464"/>
    <n v="246"/>
    <n v="11882"/>
    <n v="11500"/>
    <n v="282"/>
  </r>
  <r>
    <s v="P196"/>
    <x v="2"/>
    <n v="45645"/>
    <x v="1"/>
    <s v="Check out our latest text on instagram!"/>
    <n v="1813"/>
    <n v="623"/>
    <n v="72"/>
    <n v="19943"/>
    <n v="18959"/>
    <n v="85"/>
  </r>
  <r>
    <s v="P197"/>
    <x v="0"/>
    <n v="45587"/>
    <x v="0"/>
    <s v="Check out our latest reel on twitter!"/>
    <n v="4782"/>
    <n v="721"/>
    <n v="82"/>
    <n v="86076"/>
    <n v="85339"/>
    <n v="19"/>
  </r>
  <r>
    <s v="P198"/>
    <x v="0"/>
    <n v="45549"/>
    <x v="4"/>
    <s v="Check out our latest image on twitter!"/>
    <n v="1048"/>
    <n v="374"/>
    <n v="450"/>
    <n v="9432"/>
    <n v="8882"/>
    <n v="158"/>
  </r>
  <r>
    <s v="P199"/>
    <x v="1"/>
    <n v="45626"/>
    <x v="3"/>
    <s v="Check out our latest carousel on youtube!"/>
    <n v="2509"/>
    <n v="324"/>
    <n v="171"/>
    <n v="35126"/>
    <n v="34685"/>
    <n v="277"/>
  </r>
  <r>
    <s v="P200"/>
    <x v="3"/>
    <n v="45754"/>
    <x v="0"/>
    <s v="Check out our latest reel on facebook!"/>
    <n v="3718"/>
    <n v="385"/>
    <n v="310"/>
    <n v="70642"/>
    <n v="69749"/>
    <n v="233"/>
  </r>
  <r>
    <s v="P201"/>
    <x v="0"/>
    <n v="45672"/>
    <x v="0"/>
    <s v="Check out our latest reel on twitter!"/>
    <n v="802"/>
    <n v="262"/>
    <n v="244"/>
    <n v="14436"/>
    <n v="14280"/>
    <n v="49"/>
  </r>
  <r>
    <s v="P202"/>
    <x v="3"/>
    <n v="45445"/>
    <x v="4"/>
    <s v="Check out our latest image on facebook!"/>
    <n v="1871"/>
    <n v="252"/>
    <n v="335"/>
    <n v="29936"/>
    <n v="29576"/>
    <n v="288"/>
  </r>
  <r>
    <s v="P203"/>
    <x v="2"/>
    <n v="45617"/>
    <x v="3"/>
    <s v="Check out our latest carousel on instagram!"/>
    <n v="3773"/>
    <n v="299"/>
    <n v="38"/>
    <n v="71687"/>
    <n v="71447"/>
    <n v="286"/>
  </r>
  <r>
    <s v="P204"/>
    <x v="2"/>
    <n v="45658"/>
    <x v="3"/>
    <s v="Check out our latest carousel on instagram!"/>
    <n v="2234"/>
    <n v="653"/>
    <n v="432"/>
    <n v="11170"/>
    <n v="10569"/>
    <n v="198"/>
  </r>
  <r>
    <s v="P205"/>
    <x v="0"/>
    <n v="45771"/>
    <x v="5"/>
    <s v="Check out our latest video on twitter!"/>
    <n v="3820"/>
    <n v="697"/>
    <n v="268"/>
    <n v="45840"/>
    <n v="45631"/>
    <n v="171"/>
  </r>
  <r>
    <s v="P206"/>
    <x v="0"/>
    <n v="45467"/>
    <x v="1"/>
    <s v="Check out our latest text on twitter!"/>
    <n v="941"/>
    <n v="121"/>
    <n v="458"/>
    <n v="14115"/>
    <n v="13838"/>
    <n v="87"/>
  </r>
  <r>
    <s v="P207"/>
    <x v="0"/>
    <n v="45655"/>
    <x v="3"/>
    <s v="Check out our latest carousel on twitter!"/>
    <n v="4274"/>
    <n v="340"/>
    <n v="281"/>
    <n v="34192"/>
    <n v="33446"/>
    <n v="129"/>
  </r>
  <r>
    <s v="P208"/>
    <x v="1"/>
    <n v="45467"/>
    <x v="5"/>
    <s v="Check out our latest video on youtube!"/>
    <n v="2949"/>
    <n v="476"/>
    <n v="403"/>
    <n v="44235"/>
    <n v="43705"/>
    <n v="135"/>
  </r>
  <r>
    <s v="P209"/>
    <x v="0"/>
    <n v="45735"/>
    <x v="5"/>
    <s v="Check out our latest video on twitter!"/>
    <n v="3160"/>
    <n v="204"/>
    <n v="297"/>
    <n v="44240"/>
    <n v="43666"/>
    <n v="49"/>
  </r>
  <r>
    <s v="P210"/>
    <x v="1"/>
    <n v="45707"/>
    <x v="4"/>
    <s v="Check out our latest image on youtube!"/>
    <n v="257"/>
    <n v="966"/>
    <n v="398"/>
    <n v="3341"/>
    <n v="2753"/>
    <n v="287"/>
  </r>
  <r>
    <s v="P211"/>
    <x v="0"/>
    <n v="45491"/>
    <x v="3"/>
    <s v="Check out our latest carousel on twitter!"/>
    <n v="2120"/>
    <n v="38"/>
    <n v="212"/>
    <n v="12720"/>
    <n v="12564"/>
    <n v="21"/>
  </r>
  <r>
    <s v="P212"/>
    <x v="1"/>
    <n v="45719"/>
    <x v="5"/>
    <s v="Check out our latest video on youtube!"/>
    <n v="3874"/>
    <n v="884"/>
    <n v="19"/>
    <n v="38740"/>
    <n v="38552"/>
    <n v="219"/>
  </r>
  <r>
    <s v="P213"/>
    <x v="3"/>
    <n v="45778"/>
    <x v="3"/>
    <s v="Check out our latest carousel on facebook!"/>
    <n v="2696"/>
    <n v="628"/>
    <n v="443"/>
    <n v="45832"/>
    <n v="45632"/>
    <n v="248"/>
  </r>
  <r>
    <s v="P214"/>
    <x v="2"/>
    <n v="45649"/>
    <x v="4"/>
    <s v="Check out our latest image on instagram!"/>
    <n v="521"/>
    <n v="746"/>
    <n v="315"/>
    <n v="4168"/>
    <n v="3399"/>
    <n v="282"/>
  </r>
  <r>
    <s v="P215"/>
    <x v="3"/>
    <n v="45783"/>
    <x v="4"/>
    <s v="Check out our latest image on facebook!"/>
    <n v="4872"/>
    <n v="925"/>
    <n v="176"/>
    <n v="82824"/>
    <n v="82543"/>
    <n v="89"/>
  </r>
  <r>
    <s v="P216"/>
    <x v="1"/>
    <n v="45502"/>
    <x v="2"/>
    <s v="Check out our latest story on youtube!"/>
    <n v="1509"/>
    <n v="88"/>
    <n v="163"/>
    <n v="30180"/>
    <n v="29689"/>
    <n v="119"/>
  </r>
  <r>
    <s v="P217"/>
    <x v="3"/>
    <n v="45629"/>
    <x v="4"/>
    <s v="Check out our latest image on facebook!"/>
    <n v="4606"/>
    <n v="931"/>
    <n v="230"/>
    <n v="92120"/>
    <n v="91440"/>
    <n v="56"/>
  </r>
  <r>
    <s v="P218"/>
    <x v="3"/>
    <n v="45454"/>
    <x v="3"/>
    <s v="Check out our latest carousel on facebook!"/>
    <n v="1869"/>
    <n v="453"/>
    <n v="490"/>
    <n v="14952"/>
    <n v="14309"/>
    <n v="275"/>
  </r>
  <r>
    <s v="P219"/>
    <x v="0"/>
    <n v="45685"/>
    <x v="0"/>
    <s v="Check out our latest reel on twitter!"/>
    <n v="1188"/>
    <n v="470"/>
    <n v="174"/>
    <n v="7128"/>
    <n v="6145"/>
    <n v="270"/>
  </r>
  <r>
    <s v="P220"/>
    <x v="2"/>
    <n v="45445"/>
    <x v="2"/>
    <s v="Check out our latest story on instagram!"/>
    <n v="84"/>
    <n v="897"/>
    <n v="85"/>
    <n v="588"/>
    <n v="8"/>
    <n v="12"/>
  </r>
  <r>
    <s v="P221"/>
    <x v="3"/>
    <n v="45739"/>
    <x v="5"/>
    <s v="Check out our latest video on facebook!"/>
    <n v="4453"/>
    <n v="111"/>
    <n v="420"/>
    <n v="31171"/>
    <n v="30565"/>
    <n v="23"/>
  </r>
  <r>
    <s v="P222"/>
    <x v="3"/>
    <n v="45573"/>
    <x v="0"/>
    <s v="Check out our latest reel on facebook!"/>
    <n v="1814"/>
    <n v="653"/>
    <n v="363"/>
    <n v="25396"/>
    <n v="25286"/>
    <n v="39"/>
  </r>
  <r>
    <s v="P223"/>
    <x v="0"/>
    <n v="45608"/>
    <x v="4"/>
    <s v="Check out our latest image on twitter!"/>
    <n v="3338"/>
    <n v="277"/>
    <n v="118"/>
    <n v="60084"/>
    <n v="59842"/>
    <n v="252"/>
  </r>
  <r>
    <s v="P224"/>
    <x v="3"/>
    <n v="45790"/>
    <x v="4"/>
    <s v="Check out our latest image on facebook!"/>
    <n v="602"/>
    <n v="594"/>
    <n v="156"/>
    <n v="4214"/>
    <n v="3363"/>
    <n v="164"/>
  </r>
  <r>
    <s v="P225"/>
    <x v="0"/>
    <n v="45463"/>
    <x v="3"/>
    <s v="Check out our latest carousel on twitter!"/>
    <n v="4672"/>
    <n v="325"/>
    <n v="32"/>
    <n v="88768"/>
    <n v="87833"/>
    <n v="118"/>
  </r>
  <r>
    <s v="P226"/>
    <x v="2"/>
    <n v="45511"/>
    <x v="3"/>
    <s v="Check out our latest carousel on instagram!"/>
    <n v="1741"/>
    <n v="164"/>
    <n v="318"/>
    <n v="8705"/>
    <n v="8272"/>
    <n v="121"/>
  </r>
  <r>
    <s v="P227"/>
    <x v="2"/>
    <n v="45455"/>
    <x v="1"/>
    <s v="Check out our latest text on instagram!"/>
    <n v="246"/>
    <n v="149"/>
    <n v="130"/>
    <n v="4674"/>
    <n v="4390"/>
    <n v="217"/>
  </r>
  <r>
    <s v="P228"/>
    <x v="2"/>
    <n v="45474"/>
    <x v="2"/>
    <s v="Check out our latest story on instagram!"/>
    <n v="4808"/>
    <n v="772"/>
    <n v="320"/>
    <n v="72120"/>
    <n v="71696"/>
    <n v="195"/>
  </r>
  <r>
    <s v="P229"/>
    <x v="2"/>
    <n v="45476"/>
    <x v="3"/>
    <s v="Check out our latest carousel on instagram!"/>
    <n v="4799"/>
    <n v="694"/>
    <n v="289"/>
    <n v="43191"/>
    <n v="42228"/>
    <n v="118"/>
  </r>
  <r>
    <s v="P230"/>
    <x v="3"/>
    <n v="45488"/>
    <x v="0"/>
    <s v="Check out our latest reel on facebook!"/>
    <n v="3663"/>
    <n v="17"/>
    <n v="295"/>
    <n v="51282"/>
    <n v="50567"/>
    <n v="84"/>
  </r>
  <r>
    <s v="P231"/>
    <x v="2"/>
    <n v="45778"/>
    <x v="1"/>
    <s v="Check out our latest text on instagram!"/>
    <n v="1430"/>
    <n v="376"/>
    <n v="33"/>
    <n v="21450"/>
    <n v="20509"/>
    <n v="251"/>
  </r>
  <r>
    <s v="P232"/>
    <x v="0"/>
    <n v="45776"/>
    <x v="2"/>
    <s v="Check out our latest story on twitter!"/>
    <n v="249"/>
    <n v="592"/>
    <n v="230"/>
    <n v="1494"/>
    <n v="1044"/>
    <n v="201"/>
  </r>
  <r>
    <s v="P233"/>
    <x v="3"/>
    <n v="45724"/>
    <x v="4"/>
    <s v="Check out our latest image on facebook!"/>
    <n v="2382"/>
    <n v="265"/>
    <n v="134"/>
    <n v="38112"/>
    <n v="37437"/>
    <n v="249"/>
  </r>
  <r>
    <s v="P234"/>
    <x v="3"/>
    <n v="45444"/>
    <x v="1"/>
    <s v="Check out our latest text on facebook!"/>
    <n v="1272"/>
    <n v="465"/>
    <n v="99"/>
    <n v="24168"/>
    <n v="23719"/>
    <n v="42"/>
  </r>
  <r>
    <s v="P235"/>
    <x v="3"/>
    <n v="45648"/>
    <x v="4"/>
    <s v="Check out our latest image on facebook!"/>
    <n v="3196"/>
    <n v="941"/>
    <n v="376"/>
    <n v="35156"/>
    <n v="34444"/>
    <n v="241"/>
  </r>
  <r>
    <s v="P236"/>
    <x v="3"/>
    <n v="45523"/>
    <x v="1"/>
    <s v="Check out our latest text on facebook!"/>
    <n v="1257"/>
    <n v="19"/>
    <n v="351"/>
    <n v="12570"/>
    <n v="11660"/>
    <n v="194"/>
  </r>
  <r>
    <s v="P237"/>
    <x v="2"/>
    <n v="45587"/>
    <x v="2"/>
    <s v="Check out our latest story on instagram!"/>
    <n v="3770"/>
    <n v="917"/>
    <n v="129"/>
    <n v="71630"/>
    <n v="71322"/>
    <n v="76"/>
  </r>
  <r>
    <s v="P238"/>
    <x v="0"/>
    <n v="45489"/>
    <x v="1"/>
    <s v="Check out our latest text on twitter!"/>
    <n v="4725"/>
    <n v="400"/>
    <n v="362"/>
    <n v="75600"/>
    <n v="74927"/>
    <n v="43"/>
  </r>
  <r>
    <s v="P239"/>
    <x v="1"/>
    <n v="45712"/>
    <x v="1"/>
    <s v="Check out our latest text on youtube!"/>
    <n v="4188"/>
    <n v="942"/>
    <n v="118"/>
    <n v="20940"/>
    <n v="20471"/>
    <n v="102"/>
  </r>
  <r>
    <s v="P240"/>
    <x v="0"/>
    <n v="45530"/>
    <x v="3"/>
    <s v="Check out our latest carousel on twitter!"/>
    <n v="929"/>
    <n v="192"/>
    <n v="322"/>
    <n v="16722"/>
    <n v="15996"/>
    <n v="145"/>
  </r>
  <r>
    <s v="P241"/>
    <x v="3"/>
    <n v="45675"/>
    <x v="2"/>
    <s v="Check out our latest story on facebook!"/>
    <n v="4321"/>
    <n v="874"/>
    <n v="172"/>
    <n v="30247"/>
    <n v="29254"/>
    <n v="122"/>
  </r>
  <r>
    <s v="P242"/>
    <x v="3"/>
    <n v="45480"/>
    <x v="0"/>
    <s v="Check out our latest reel on facebook!"/>
    <n v="4767"/>
    <n v="190"/>
    <n v="340"/>
    <n v="28602"/>
    <n v="28044"/>
    <n v="210"/>
  </r>
  <r>
    <s v="P243"/>
    <x v="0"/>
    <n v="45722"/>
    <x v="4"/>
    <s v="Check out our latest image on twitter!"/>
    <n v="3592"/>
    <n v="911"/>
    <n v="375"/>
    <n v="50288"/>
    <n v="49490"/>
    <n v="32"/>
  </r>
  <r>
    <s v="P244"/>
    <x v="1"/>
    <n v="45590"/>
    <x v="5"/>
    <s v="Check out our latest video on youtube!"/>
    <n v="4661"/>
    <n v="935"/>
    <n v="433"/>
    <n v="23305"/>
    <n v="22583"/>
    <n v="63"/>
  </r>
  <r>
    <s v="P245"/>
    <x v="3"/>
    <n v="45669"/>
    <x v="0"/>
    <s v="Check out our latest reel on facebook!"/>
    <n v="4134"/>
    <n v="824"/>
    <n v="99"/>
    <n v="41340"/>
    <n v="41050"/>
    <n v="177"/>
  </r>
  <r>
    <s v="P246"/>
    <x v="3"/>
    <n v="45576"/>
    <x v="4"/>
    <s v="Check out our latest image on facebook!"/>
    <n v="400"/>
    <n v="680"/>
    <n v="434"/>
    <n v="6400"/>
    <n v="5472"/>
    <n v="160"/>
  </r>
  <r>
    <s v="P247"/>
    <x v="3"/>
    <n v="45531"/>
    <x v="0"/>
    <s v="Check out our latest reel on facebook!"/>
    <n v="3960"/>
    <n v="266"/>
    <n v="8"/>
    <n v="35640"/>
    <n v="34850"/>
    <n v="208"/>
  </r>
  <r>
    <s v="P248"/>
    <x v="3"/>
    <n v="45690"/>
    <x v="2"/>
    <s v="Check out our latest story on facebook!"/>
    <n v="886"/>
    <n v="126"/>
    <n v="153"/>
    <n v="4430"/>
    <n v="4037"/>
    <n v="212"/>
  </r>
  <r>
    <s v="P249"/>
    <x v="0"/>
    <n v="45491"/>
    <x v="4"/>
    <s v="Check out our latest image on twitter!"/>
    <n v="827"/>
    <n v="77"/>
    <n v="402"/>
    <n v="14886"/>
    <n v="14129"/>
    <n v="254"/>
  </r>
  <r>
    <s v="P250"/>
    <x v="3"/>
    <n v="45465"/>
    <x v="0"/>
    <s v="Check out our latest reel on facebook!"/>
    <n v="3813"/>
    <n v="935"/>
    <n v="274"/>
    <n v="68634"/>
    <n v="68488"/>
    <n v="251"/>
  </r>
  <r>
    <s v="P251"/>
    <x v="2"/>
    <n v="45743"/>
    <x v="3"/>
    <s v="Check out our latest carousel on instagram!"/>
    <n v="1377"/>
    <n v="796"/>
    <n v="387"/>
    <n v="22032"/>
    <n v="21869"/>
    <n v="189"/>
  </r>
  <r>
    <s v="P252"/>
    <x v="3"/>
    <n v="45775"/>
    <x v="3"/>
    <s v="Check out our latest carousel on facebook!"/>
    <n v="2089"/>
    <n v="476"/>
    <n v="69"/>
    <n v="16712"/>
    <n v="16309"/>
    <n v="64"/>
  </r>
  <r>
    <s v="P253"/>
    <x v="0"/>
    <n v="45507"/>
    <x v="0"/>
    <s v="Check out our latest reel on twitter!"/>
    <n v="3791"/>
    <n v="593"/>
    <n v="228"/>
    <n v="53074"/>
    <n v="52613"/>
    <n v="205"/>
  </r>
  <r>
    <s v="P254"/>
    <x v="0"/>
    <n v="45671"/>
    <x v="4"/>
    <s v="Check out our latest image on twitter!"/>
    <n v="2692"/>
    <n v="115"/>
    <n v="64"/>
    <n v="21536"/>
    <n v="21120"/>
    <n v="224"/>
  </r>
  <r>
    <s v="P255"/>
    <x v="3"/>
    <n v="45750"/>
    <x v="2"/>
    <s v="Check out our latest story on facebook!"/>
    <n v="3767"/>
    <n v="514"/>
    <n v="238"/>
    <n v="37670"/>
    <n v="36807"/>
    <n v="226"/>
  </r>
  <r>
    <s v="P256"/>
    <x v="1"/>
    <n v="45553"/>
    <x v="3"/>
    <s v="Check out our latest carousel on youtube!"/>
    <n v="2143"/>
    <n v="12"/>
    <n v="204"/>
    <n v="40717"/>
    <n v="40125"/>
    <n v="248"/>
  </r>
  <r>
    <s v="P257"/>
    <x v="3"/>
    <n v="45753"/>
    <x v="4"/>
    <s v="Check out our latest image on facebook!"/>
    <n v="3090"/>
    <n v="697"/>
    <n v="164"/>
    <n v="49440"/>
    <n v="48524"/>
    <n v="25"/>
  </r>
  <r>
    <s v="P258"/>
    <x v="2"/>
    <n v="45509"/>
    <x v="2"/>
    <s v="Check out our latest story on instagram!"/>
    <n v="3601"/>
    <n v="695"/>
    <n v="75"/>
    <n v="21606"/>
    <n v="21454"/>
    <n v="172"/>
  </r>
  <r>
    <s v="P259"/>
    <x v="3"/>
    <n v="45698"/>
    <x v="1"/>
    <s v="Check out our latest text on facebook!"/>
    <n v="562"/>
    <n v="158"/>
    <n v="149"/>
    <n v="3372"/>
    <n v="2940"/>
    <n v="93"/>
  </r>
  <r>
    <s v="P260"/>
    <x v="2"/>
    <n v="45700"/>
    <x v="2"/>
    <s v="Check out our latest story on instagram!"/>
    <n v="4332"/>
    <n v="771"/>
    <n v="219"/>
    <n v="60648"/>
    <n v="60397"/>
    <n v="10"/>
  </r>
  <r>
    <s v="P261"/>
    <x v="2"/>
    <n v="45592"/>
    <x v="4"/>
    <s v="Check out our latest image on instagram!"/>
    <n v="4853"/>
    <n v="837"/>
    <n v="340"/>
    <n v="72795"/>
    <n v="72237"/>
    <n v="170"/>
  </r>
  <r>
    <s v="P262"/>
    <x v="1"/>
    <n v="45675"/>
    <x v="4"/>
    <s v="Check out our latest image on youtube!"/>
    <n v="1206"/>
    <n v="238"/>
    <n v="36"/>
    <n v="9648"/>
    <n v="9417"/>
    <n v="237"/>
  </r>
  <r>
    <s v="P263"/>
    <x v="2"/>
    <n v="45524"/>
    <x v="0"/>
    <s v="Check out our latest reel on instagram!"/>
    <n v="2603"/>
    <n v="690"/>
    <n v="205"/>
    <n v="13015"/>
    <n v="12130"/>
    <n v="20"/>
  </r>
  <r>
    <s v="P264"/>
    <x v="0"/>
    <n v="45687"/>
    <x v="4"/>
    <s v="Check out our latest image on twitter!"/>
    <n v="59"/>
    <n v="163"/>
    <n v="93"/>
    <n v="590"/>
    <n v="475"/>
    <n v="293"/>
  </r>
  <r>
    <s v="P265"/>
    <x v="0"/>
    <n v="45708"/>
    <x v="3"/>
    <s v="Check out our latest carousel on twitter!"/>
    <n v="1877"/>
    <n v="745"/>
    <n v="225"/>
    <n v="11262"/>
    <n v="10967"/>
    <n v="41"/>
  </r>
  <r>
    <s v="P266"/>
    <x v="3"/>
    <n v="45621"/>
    <x v="2"/>
    <s v="Check out our latest story on facebook!"/>
    <n v="4182"/>
    <n v="640"/>
    <n v="240"/>
    <n v="50184"/>
    <n v="49351"/>
    <n v="10"/>
  </r>
  <r>
    <s v="P267"/>
    <x v="0"/>
    <n v="45569"/>
    <x v="0"/>
    <s v="Check out our latest reel on twitter!"/>
    <n v="4187"/>
    <n v="66"/>
    <n v="31"/>
    <n v="66992"/>
    <n v="66614"/>
    <n v="62"/>
  </r>
  <r>
    <s v="P268"/>
    <x v="2"/>
    <n v="45760"/>
    <x v="0"/>
    <s v="Check out our latest reel on instagram!"/>
    <n v="4579"/>
    <n v="125"/>
    <n v="300"/>
    <n v="59527"/>
    <n v="59400"/>
    <n v="269"/>
  </r>
  <r>
    <s v="P269"/>
    <x v="2"/>
    <n v="45601"/>
    <x v="5"/>
    <s v="Check out our latest video on instagram!"/>
    <n v="4561"/>
    <n v="51"/>
    <n v="441"/>
    <n v="22805"/>
    <n v="21890"/>
    <n v="45"/>
  </r>
  <r>
    <s v="P270"/>
    <x v="1"/>
    <n v="45672"/>
    <x v="0"/>
    <s v="Check out our latest reel on youtube!"/>
    <n v="3774"/>
    <n v="239"/>
    <n v="39"/>
    <n v="60384"/>
    <n v="59490"/>
    <n v="241"/>
  </r>
  <r>
    <s v="P271"/>
    <x v="2"/>
    <n v="45582"/>
    <x v="5"/>
    <s v="Check out our latest video on instagram!"/>
    <n v="3575"/>
    <n v="749"/>
    <n v="111"/>
    <n v="21450"/>
    <n v="20785"/>
    <n v="195"/>
  </r>
  <r>
    <s v="P272"/>
    <x v="2"/>
    <n v="45743"/>
    <x v="1"/>
    <s v="Check out our latest text on instagram!"/>
    <n v="4941"/>
    <n v="414"/>
    <n v="266"/>
    <n v="39528"/>
    <n v="39154"/>
    <n v="217"/>
  </r>
  <r>
    <s v="P273"/>
    <x v="1"/>
    <n v="45577"/>
    <x v="2"/>
    <s v="Check out our latest story on youtube!"/>
    <n v="3641"/>
    <n v="226"/>
    <n v="46"/>
    <n v="40051"/>
    <n v="39319"/>
    <n v="296"/>
  </r>
  <r>
    <s v="P274"/>
    <x v="0"/>
    <n v="45658"/>
    <x v="3"/>
    <s v="Check out our latest carousel on twitter!"/>
    <n v="3535"/>
    <n v="494"/>
    <n v="152"/>
    <n v="53025"/>
    <n v="52791"/>
    <n v="44"/>
  </r>
  <r>
    <s v="P275"/>
    <x v="3"/>
    <n v="45509"/>
    <x v="0"/>
    <s v="Check out our latest reel on facebook!"/>
    <n v="1741"/>
    <n v="831"/>
    <n v="345"/>
    <n v="17410"/>
    <n v="16844"/>
    <n v="58"/>
  </r>
  <r>
    <s v="P276"/>
    <x v="0"/>
    <n v="45450"/>
    <x v="3"/>
    <s v="Check out our latest carousel on twitter!"/>
    <n v="1556"/>
    <n v="195"/>
    <n v="131"/>
    <n v="9336"/>
    <n v="8875"/>
    <n v="137"/>
  </r>
  <r>
    <s v="P277"/>
    <x v="3"/>
    <n v="45753"/>
    <x v="4"/>
    <s v="Check out our latest image on facebook!"/>
    <n v="4236"/>
    <n v="711"/>
    <n v="298"/>
    <n v="21180"/>
    <n v="20516"/>
    <n v="238"/>
  </r>
  <r>
    <s v="P278"/>
    <x v="0"/>
    <n v="45622"/>
    <x v="1"/>
    <s v="Check out our latest text on twitter!"/>
    <n v="4516"/>
    <n v="836"/>
    <n v="169"/>
    <n v="49676"/>
    <n v="49257"/>
    <n v="282"/>
  </r>
  <r>
    <s v="P279"/>
    <x v="1"/>
    <n v="45537"/>
    <x v="4"/>
    <s v="Check out our latest image on youtube!"/>
    <n v="4905"/>
    <n v="845"/>
    <n v="129"/>
    <n v="98100"/>
    <n v="97772"/>
    <n v="279"/>
  </r>
  <r>
    <s v="P280"/>
    <x v="1"/>
    <n v="45586"/>
    <x v="5"/>
    <s v="Check out our latest video on youtube!"/>
    <n v="4275"/>
    <n v="680"/>
    <n v="385"/>
    <n v="64125"/>
    <n v="63650"/>
    <n v="104"/>
  </r>
  <r>
    <s v="P281"/>
    <x v="1"/>
    <n v="45738"/>
    <x v="4"/>
    <s v="Check out our latest image on youtube!"/>
    <n v="3166"/>
    <n v="90"/>
    <n v="341"/>
    <n v="56988"/>
    <n v="56125"/>
    <n v="135"/>
  </r>
  <r>
    <s v="P282"/>
    <x v="2"/>
    <n v="45568"/>
    <x v="5"/>
    <s v="Check out our latest video on instagram!"/>
    <n v="1488"/>
    <n v="417"/>
    <n v="168"/>
    <n v="19344"/>
    <n v="18395"/>
    <n v="30"/>
  </r>
  <r>
    <s v="P283"/>
    <x v="0"/>
    <n v="45786"/>
    <x v="0"/>
    <s v="Check out our latest reel on twitter!"/>
    <n v="3367"/>
    <n v="302"/>
    <n v="57"/>
    <n v="63973"/>
    <n v="63789"/>
    <n v="157"/>
  </r>
  <r>
    <s v="P284"/>
    <x v="0"/>
    <n v="45552"/>
    <x v="1"/>
    <s v="Check out our latest text on twitter!"/>
    <n v="571"/>
    <n v="190"/>
    <n v="352"/>
    <n v="9707"/>
    <n v="9418"/>
    <n v="231"/>
  </r>
  <r>
    <s v="P285"/>
    <x v="1"/>
    <n v="45491"/>
    <x v="1"/>
    <s v="Check out our latest text on youtube!"/>
    <n v="4021"/>
    <n v="794"/>
    <n v="77"/>
    <n v="36189"/>
    <n v="35505"/>
    <n v="174"/>
  </r>
  <r>
    <s v="P286"/>
    <x v="1"/>
    <n v="45560"/>
    <x v="5"/>
    <s v="Check out our latest video on youtube!"/>
    <n v="3389"/>
    <n v="344"/>
    <n v="229"/>
    <n v="20334"/>
    <n v="19443"/>
    <n v="228"/>
  </r>
  <r>
    <s v="P287"/>
    <x v="2"/>
    <n v="45519"/>
    <x v="0"/>
    <s v="Check out our latest reel on instagram!"/>
    <n v="1164"/>
    <n v="616"/>
    <n v="324"/>
    <n v="6984"/>
    <n v="6636"/>
    <n v="82"/>
  </r>
  <r>
    <s v="P288"/>
    <x v="1"/>
    <n v="45764"/>
    <x v="3"/>
    <s v="Check out our latest carousel on youtube!"/>
    <n v="4780"/>
    <n v="691"/>
    <n v="380"/>
    <n v="86040"/>
    <n v="85743"/>
    <n v="262"/>
  </r>
  <r>
    <s v="P289"/>
    <x v="3"/>
    <n v="45624"/>
    <x v="3"/>
    <s v="Check out our latest carousel on facebook!"/>
    <n v="2751"/>
    <n v="33"/>
    <n v="430"/>
    <n v="44016"/>
    <n v="43415"/>
    <n v="129"/>
  </r>
  <r>
    <s v="P290"/>
    <x v="2"/>
    <n v="45646"/>
    <x v="3"/>
    <s v="Check out our latest carousel on instagram!"/>
    <n v="2107"/>
    <n v="550"/>
    <n v="349"/>
    <n v="35819"/>
    <n v="35340"/>
    <n v="191"/>
  </r>
  <r>
    <s v="P291"/>
    <x v="3"/>
    <n v="45602"/>
    <x v="5"/>
    <s v="Check out our latest video on facebook!"/>
    <n v="4663"/>
    <n v="145"/>
    <n v="225"/>
    <n v="69945"/>
    <n v="69596"/>
    <n v="35"/>
  </r>
  <r>
    <s v="P292"/>
    <x v="3"/>
    <n v="45613"/>
    <x v="1"/>
    <s v="Check out our latest text on facebook!"/>
    <n v="880"/>
    <n v="297"/>
    <n v="345"/>
    <n v="12320"/>
    <n v="11978"/>
    <n v="238"/>
  </r>
  <r>
    <s v="P293"/>
    <x v="3"/>
    <n v="45791"/>
    <x v="1"/>
    <s v="Check out our latest text on facebook!"/>
    <n v="2634"/>
    <n v="726"/>
    <n v="241"/>
    <n v="28974"/>
    <n v="28102"/>
    <n v="277"/>
  </r>
  <r>
    <s v="P294"/>
    <x v="3"/>
    <n v="45462"/>
    <x v="3"/>
    <s v="Check out our latest carousel on facebook!"/>
    <n v="4731"/>
    <n v="173"/>
    <n v="276"/>
    <n v="28386"/>
    <n v="28185"/>
    <n v="89"/>
  </r>
  <r>
    <s v="P295"/>
    <x v="0"/>
    <n v="45783"/>
    <x v="4"/>
    <s v="Check out our latest image on twitter!"/>
    <n v="1952"/>
    <n v="344"/>
    <n v="287"/>
    <n v="15616"/>
    <n v="15403"/>
    <n v="235"/>
  </r>
  <r>
    <s v="P296"/>
    <x v="0"/>
    <n v="45699"/>
    <x v="5"/>
    <s v="Check out our latest video on twitter!"/>
    <n v="3440"/>
    <n v="13"/>
    <n v="20"/>
    <n v="58480"/>
    <n v="58146"/>
    <n v="210"/>
  </r>
  <r>
    <s v="P297"/>
    <x v="0"/>
    <n v="45650"/>
    <x v="1"/>
    <s v="Check out our latest text on twitter!"/>
    <n v="2166"/>
    <n v="354"/>
    <n v="117"/>
    <n v="10830"/>
    <n v="10245"/>
    <n v="24"/>
  </r>
  <r>
    <s v="P298"/>
    <x v="3"/>
    <n v="45589"/>
    <x v="4"/>
    <s v="Check out our latest image on facebook!"/>
    <n v="4303"/>
    <n v="451"/>
    <n v="286"/>
    <n v="86060"/>
    <n v="85823"/>
    <n v="14"/>
  </r>
  <r>
    <s v="P299"/>
    <x v="3"/>
    <n v="45530"/>
    <x v="4"/>
    <s v="Check out our latest image on facebook!"/>
    <n v="2581"/>
    <n v="517"/>
    <n v="117"/>
    <n v="23229"/>
    <n v="22331"/>
    <n v="70"/>
  </r>
  <r>
    <s v="P300"/>
    <x v="0"/>
    <n v="45535"/>
    <x v="3"/>
    <s v="Check out our latest carousel on twitter!"/>
    <n v="4494"/>
    <n v="717"/>
    <n v="45"/>
    <n v="62916"/>
    <n v="62688"/>
    <n v="1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SummerSplash"/>
    <x v="0"/>
    <d v="2024-06-15T00:00:00"/>
    <d v="2024-07-15T00:00:00"/>
    <n v="30"/>
    <s v="P001"/>
    <d v="2024-12-23T00:00:00"/>
    <s v="NO"/>
    <x v="0"/>
  </r>
  <r>
    <s v="SummerSplash"/>
    <x v="0"/>
    <d v="2024-06-15T00:00:00"/>
    <d v="2024-07-15T00:00:00"/>
    <n v="30"/>
    <s v="P001"/>
    <d v="2024-12-23T00:00:00"/>
    <s v="NO"/>
    <x v="0"/>
  </r>
  <r>
    <s v="FestiveRadiance"/>
    <x v="1"/>
    <d v="2024-10-01T00:00:00"/>
    <d v="2024-10-31T00:00:00"/>
    <n v="30"/>
    <s v="P002"/>
    <d v="2025-04-03T00:00:00"/>
    <s v="NO"/>
    <x v="0"/>
  </r>
  <r>
    <s v="FestiveRadiance"/>
    <x v="1"/>
    <d v="2024-10-01T00:00:00"/>
    <d v="2024-10-31T00:00:00"/>
    <n v="30"/>
    <s v="P002"/>
    <d v="2025-04-03T00:00:00"/>
    <s v="NO"/>
    <x v="0"/>
  </r>
  <r>
    <s v="NewYearRefresh"/>
    <x v="2"/>
    <d v="2024-12-25T00:00:00"/>
    <d v="2025-01-10T00:00:00"/>
    <n v="16"/>
    <s v="P003"/>
    <d v="2025-05-12T00:00:00"/>
    <s v="NO"/>
    <x v="0"/>
  </r>
  <r>
    <s v="DailyWellness"/>
    <x v="3"/>
    <d v="2025-03-01T00:00:00"/>
    <d v="2025-03-31T00:00:00"/>
    <n v="30"/>
    <s v="P004"/>
    <d v="2024-08-12T00:00:00"/>
    <s v="NO"/>
    <x v="1"/>
  </r>
  <r>
    <s v="SummerSplash"/>
    <x v="4"/>
    <d v="2024-06-15T00:00:00"/>
    <d v="2024-07-15T00:00:00"/>
    <n v="30"/>
    <s v="P005"/>
    <d v="2024-06-26T00:00:00"/>
    <s v="YES"/>
    <x v="2"/>
  </r>
  <r>
    <s v="SummerSplash"/>
    <x v="4"/>
    <d v="2024-06-15T00:00:00"/>
    <d v="2024-07-15T00:00:00"/>
    <n v="30"/>
    <s v="P005"/>
    <d v="2024-06-26T00:00:00"/>
    <s v="YES"/>
    <x v="2"/>
  </r>
  <r>
    <s v="FestiveRadiance"/>
    <x v="5"/>
    <d v="2024-10-01T00:00:00"/>
    <d v="2024-10-31T00:00:00"/>
    <n v="30"/>
    <s v="P006"/>
    <d v="2024-10-31T00:00:00"/>
    <s v="YES"/>
    <x v="2"/>
  </r>
  <r>
    <s v="FestiveRadiance"/>
    <x v="6"/>
    <d v="2024-10-01T00:00:00"/>
    <d v="2024-10-31T00:00:00"/>
    <n v="30"/>
    <s v="P007"/>
    <d v="2024-06-24T00:00:00"/>
    <s v="NO"/>
    <x v="1"/>
  </r>
  <r>
    <s v="DailyWellness"/>
    <x v="7"/>
    <d v="2025-03-01T00:00:00"/>
    <d v="2025-03-31T00:00:00"/>
    <n v="30"/>
    <s v="P008"/>
    <d v="2024-07-13T00:00:00"/>
    <s v="NO"/>
    <x v="1"/>
  </r>
  <r>
    <s v="FestiveRadiance"/>
    <x v="8"/>
    <d v="2024-10-01T00:00:00"/>
    <d v="2024-10-31T00:00:00"/>
    <n v="30"/>
    <s v="P009"/>
    <d v="2024-08-30T00:00:00"/>
    <s v="NO"/>
    <x v="1"/>
  </r>
  <r>
    <s v="FestiveRadiance"/>
    <x v="9"/>
    <d v="2024-10-01T00:00:00"/>
    <d v="2024-10-31T00:00:00"/>
    <n v="30"/>
    <s v="P010"/>
    <d v="2025-03-11T00:00:00"/>
    <s v="NO"/>
    <x v="0"/>
  </r>
  <r>
    <s v="DailyWellness"/>
    <x v="10"/>
    <d v="2025-03-01T00:00:00"/>
    <d v="2025-03-31T00:00:00"/>
    <n v="30"/>
    <s v="P011"/>
    <d v="2025-02-02T00:00:00"/>
    <s v="NO"/>
    <x v="1"/>
  </r>
  <r>
    <s v="NewYearRefresh"/>
    <x v="11"/>
    <d v="2024-12-25T00:00:00"/>
    <d v="2025-01-10T00:00:00"/>
    <n v="16"/>
    <s v="P012"/>
    <d v="2024-07-21T00:00:00"/>
    <s v="NO"/>
    <x v="1"/>
  </r>
  <r>
    <s v="SummerSplash"/>
    <x v="12"/>
    <d v="2024-06-15T00:00:00"/>
    <d v="2024-07-15T00:00:00"/>
    <n v="30"/>
    <s v="P013"/>
    <d v="2024-11-18T00:00:00"/>
    <s v="NO"/>
    <x v="0"/>
  </r>
  <r>
    <m/>
    <x v="13"/>
    <m/>
    <m/>
    <m/>
    <m/>
    <m/>
    <s v="YES"/>
    <x v="3"/>
  </r>
  <r>
    <s v="SummerSplash"/>
    <x v="14"/>
    <d v="2024-06-15T00:00:00"/>
    <d v="2024-07-15T00:00:00"/>
    <n v="30"/>
    <s v="P015"/>
    <d v="2024-10-24T00:00:00"/>
    <s v="NO"/>
    <x v="0"/>
  </r>
  <r>
    <s v="NewYearRefresh"/>
    <x v="15"/>
    <d v="2024-12-25T00:00:00"/>
    <d v="2025-01-10T00:00:00"/>
    <n v="16"/>
    <s v="P016"/>
    <d v="2024-08-26T00:00:00"/>
    <s v="NO"/>
    <x v="1"/>
  </r>
  <r>
    <s v="DailyWellness"/>
    <x v="16"/>
    <d v="2025-03-01T00:00:00"/>
    <d v="2025-03-31T00:00:00"/>
    <n v="30"/>
    <s v="P017"/>
    <d v="2025-05-05T00:00:00"/>
    <s v="NO"/>
    <x v="0"/>
  </r>
  <r>
    <s v="SummerSplash"/>
    <x v="17"/>
    <d v="2024-06-15T00:00:00"/>
    <d v="2024-07-15T00:00:00"/>
    <n v="30"/>
    <s v="P018"/>
    <d v="2024-08-19T00:00:00"/>
    <s v="NO"/>
    <x v="0"/>
  </r>
  <r>
    <s v="DailyWellness"/>
    <x v="18"/>
    <d v="2025-03-01T00:00:00"/>
    <d v="2025-03-31T00:00:00"/>
    <n v="30"/>
    <s v="P019"/>
    <d v="2024-06-23T00:00:00"/>
    <s v="NO"/>
    <x v="1"/>
  </r>
  <r>
    <s v="SummerSplash"/>
    <x v="19"/>
    <d v="2024-06-15T00:00:00"/>
    <d v="2024-07-15T00:00:00"/>
    <n v="30"/>
    <s v="P020"/>
    <d v="2024-09-09T00:00:00"/>
    <s v="NO"/>
    <x v="0"/>
  </r>
  <r>
    <s v="DailyWellness"/>
    <x v="20"/>
    <d v="2025-03-01T00:00:00"/>
    <d v="2025-03-31T00:00:00"/>
    <n v="30"/>
    <s v="P021"/>
    <d v="2025-01-04T00:00:00"/>
    <s v="NO"/>
    <x v="1"/>
  </r>
  <r>
    <s v="DailyWellness"/>
    <x v="21"/>
    <d v="2025-03-01T00:00:00"/>
    <d v="2025-03-31T00:00:00"/>
    <n v="30"/>
    <s v="P022"/>
    <d v="2025-02-27T00:00:00"/>
    <s v="NO"/>
    <x v="1"/>
  </r>
  <r>
    <s v="FestiveRadiance"/>
    <x v="22"/>
    <d v="2024-10-01T00:00:00"/>
    <d v="2024-10-31T00:00:00"/>
    <n v="30"/>
    <s v="P023"/>
    <d v="2024-11-06T00:00:00"/>
    <s v="NO"/>
    <x v="0"/>
  </r>
  <r>
    <s v="FestiveRadiance"/>
    <x v="22"/>
    <d v="2024-10-01T00:00:00"/>
    <d v="2024-10-31T00:00:00"/>
    <n v="30"/>
    <s v="P023"/>
    <d v="2024-11-06T00:00:00"/>
    <s v="NO"/>
    <x v="0"/>
  </r>
  <r>
    <s v="NewYearRefresh"/>
    <x v="23"/>
    <d v="2024-12-25T00:00:00"/>
    <d v="2025-01-10T00:00:00"/>
    <n v="16"/>
    <s v="P024"/>
    <d v="2025-01-23T00:00:00"/>
    <s v="NO"/>
    <x v="0"/>
  </r>
  <r>
    <m/>
    <x v="24"/>
    <m/>
    <m/>
    <m/>
    <m/>
    <m/>
    <s v="YES"/>
    <x v="3"/>
  </r>
  <r>
    <s v="FestiveRadiance"/>
    <x v="25"/>
    <d v="2024-10-01T00:00:00"/>
    <d v="2024-10-31T00:00:00"/>
    <n v="30"/>
    <s v="P026"/>
    <d v="2025-04-05T00:00:00"/>
    <s v="NO"/>
    <x v="0"/>
  </r>
  <r>
    <s v="DailyWellness"/>
    <x v="26"/>
    <d v="2025-03-01T00:00:00"/>
    <d v="2025-03-31T00:00:00"/>
    <n v="30"/>
    <s v="P027"/>
    <d v="2024-09-17T00:00:00"/>
    <s v="NO"/>
    <x v="1"/>
  </r>
  <r>
    <s v="DailyWellness"/>
    <x v="27"/>
    <d v="2025-03-01T00:00:00"/>
    <d v="2025-03-31T00:00:00"/>
    <n v="30"/>
    <s v="P028"/>
    <d v="2025-03-04T00:00:00"/>
    <s v="YES"/>
    <x v="2"/>
  </r>
  <r>
    <s v="NewYearRefresh"/>
    <x v="28"/>
    <d v="2024-12-25T00:00:00"/>
    <d v="2025-01-10T00:00:00"/>
    <n v="16"/>
    <s v="P029"/>
    <d v="2025-01-31T00:00:00"/>
    <s v="NO"/>
    <x v="0"/>
  </r>
  <r>
    <m/>
    <x v="29"/>
    <m/>
    <m/>
    <m/>
    <m/>
    <m/>
    <s v="YES"/>
    <x v="3"/>
  </r>
  <r>
    <s v="FestiveRadiance"/>
    <x v="30"/>
    <d v="2024-10-01T00:00:00"/>
    <d v="2024-10-31T00:00:00"/>
    <n v="30"/>
    <s v="P031"/>
    <d v="2024-12-16T00:00:00"/>
    <s v="NO"/>
    <x v="0"/>
  </r>
  <r>
    <s v="SummerSplash"/>
    <x v="31"/>
    <d v="2024-06-15T00:00:00"/>
    <d v="2024-07-15T00:00:00"/>
    <n v="30"/>
    <s v="P032"/>
    <d v="2024-07-31T00:00:00"/>
    <s v="NO"/>
    <x v="0"/>
  </r>
  <r>
    <s v="SummerSplash"/>
    <x v="32"/>
    <d v="2024-06-15T00:00:00"/>
    <d v="2024-07-15T00:00:00"/>
    <n v="30"/>
    <s v="P033"/>
    <d v="2024-08-21T00:00:00"/>
    <s v="NO"/>
    <x v="0"/>
  </r>
  <r>
    <s v="NewYearRefresh"/>
    <x v="33"/>
    <d v="2024-12-25T00:00:00"/>
    <d v="2025-01-10T00:00:00"/>
    <n v="16"/>
    <s v="P034"/>
    <d v="2025-03-26T00:00:00"/>
    <s v="NO"/>
    <x v="0"/>
  </r>
  <r>
    <s v="FestiveRadiance"/>
    <x v="34"/>
    <d v="2024-10-01T00:00:00"/>
    <d v="2024-10-31T00:00:00"/>
    <n v="30"/>
    <s v="P035"/>
    <d v="2024-11-30T00:00:00"/>
    <s v="NO"/>
    <x v="0"/>
  </r>
  <r>
    <s v="FestiveRadiance"/>
    <x v="35"/>
    <d v="2024-10-01T00:00:00"/>
    <d v="2024-10-31T00:00:00"/>
    <n v="30"/>
    <s v="P036"/>
    <d v="2025-04-19T00:00:00"/>
    <s v="NO"/>
    <x v="0"/>
  </r>
  <r>
    <s v="FestiveRadiance"/>
    <x v="36"/>
    <d v="2024-10-01T00:00:00"/>
    <d v="2024-10-31T00:00:00"/>
    <n v="30"/>
    <s v="P037"/>
    <d v="2025-01-06T00:00:00"/>
    <s v="NO"/>
    <x v="0"/>
  </r>
  <r>
    <s v="DailyWellness"/>
    <x v="37"/>
    <d v="2025-03-01T00:00:00"/>
    <d v="2025-03-31T00:00:00"/>
    <n v="30"/>
    <s v="P038"/>
    <d v="2025-02-17T00:00:00"/>
    <s v="NO"/>
    <x v="1"/>
  </r>
  <r>
    <m/>
    <x v="38"/>
    <m/>
    <m/>
    <m/>
    <m/>
    <m/>
    <s v="YES"/>
    <x v="3"/>
  </r>
  <r>
    <s v="DailyWellness"/>
    <x v="39"/>
    <d v="2025-03-01T00:00:00"/>
    <d v="2025-03-31T00:00:00"/>
    <n v="30"/>
    <s v="P040"/>
    <d v="2025-03-07T00:00:00"/>
    <s v="YES"/>
    <x v="2"/>
  </r>
  <r>
    <s v="DailyWellness"/>
    <x v="40"/>
    <d v="2025-03-01T00:00:00"/>
    <d v="2025-03-31T00:00:00"/>
    <n v="30"/>
    <s v="P041"/>
    <d v="2025-03-08T00:00:00"/>
    <s v="YES"/>
    <x v="2"/>
  </r>
  <r>
    <m/>
    <x v="41"/>
    <m/>
    <m/>
    <m/>
    <m/>
    <m/>
    <s v="YES"/>
    <x v="3"/>
  </r>
  <r>
    <s v="NewYearRefresh"/>
    <x v="42"/>
    <d v="2024-12-25T00:00:00"/>
    <d v="2025-01-10T00:00:00"/>
    <n v="16"/>
    <s v="P043"/>
    <d v="2024-12-14T00:00:00"/>
    <s v="NO"/>
    <x v="1"/>
  </r>
  <r>
    <m/>
    <x v="43"/>
    <m/>
    <m/>
    <m/>
    <m/>
    <m/>
    <s v="YES"/>
    <x v="3"/>
  </r>
  <r>
    <s v="SummerSplash"/>
    <x v="44"/>
    <d v="2024-06-15T00:00:00"/>
    <d v="2024-07-15T00:00:00"/>
    <n v="30"/>
    <s v="P045"/>
    <d v="2024-11-01T00:00:00"/>
    <s v="NO"/>
    <x v="0"/>
  </r>
  <r>
    <s v="DailyWellness"/>
    <x v="45"/>
    <d v="2025-03-01T00:00:00"/>
    <d v="2025-03-31T00:00:00"/>
    <n v="30"/>
    <s v="P046"/>
    <d v="2025-05-02T00:00:00"/>
    <s v="NO"/>
    <x v="0"/>
  </r>
  <r>
    <m/>
    <x v="46"/>
    <m/>
    <m/>
    <m/>
    <m/>
    <m/>
    <s v="YES"/>
    <x v="3"/>
  </r>
  <r>
    <m/>
    <x v="47"/>
    <m/>
    <m/>
    <m/>
    <m/>
    <m/>
    <s v="YES"/>
    <x v="3"/>
  </r>
  <r>
    <s v="DailyWellness"/>
    <x v="48"/>
    <d v="2025-03-01T00:00:00"/>
    <d v="2025-03-31T00:00:00"/>
    <n v="30"/>
    <s v="P049"/>
    <d v="2024-06-10T00:00:00"/>
    <s v="NO"/>
    <x v="1"/>
  </r>
  <r>
    <s v="NewYearRefresh"/>
    <x v="49"/>
    <d v="2024-12-25T00:00:00"/>
    <d v="2025-01-10T00:00:00"/>
    <n v="16"/>
    <s v="P050"/>
    <s v="P050"/>
    <s v="NO"/>
    <x v="0"/>
  </r>
  <r>
    <s v="FestiveRadiance"/>
    <x v="50"/>
    <d v="2024-10-01T00:00:00"/>
    <d v="2024-10-31T00:00:00"/>
    <n v="30"/>
    <s v="P051"/>
    <d v="2024-06-13T00:00:00"/>
    <s v="NO"/>
    <x v="1"/>
  </r>
  <r>
    <s v="DailyWellness"/>
    <x v="51"/>
    <d v="2025-03-01T00:00:00"/>
    <d v="2025-03-31T00:00:00"/>
    <n v="30"/>
    <s v="P052"/>
    <d v="2025-01-03T00:00:00"/>
    <s v="NO"/>
    <x v="1"/>
  </r>
  <r>
    <m/>
    <x v="52"/>
    <m/>
    <m/>
    <m/>
    <m/>
    <m/>
    <s v="YES"/>
    <x v="3"/>
  </r>
  <r>
    <m/>
    <x v="52"/>
    <m/>
    <m/>
    <m/>
    <m/>
    <m/>
    <s v="YES"/>
    <x v="3"/>
  </r>
  <r>
    <s v="FestiveRadiance"/>
    <x v="53"/>
    <d v="2024-10-01T00:00:00"/>
    <d v="2024-10-31T00:00:00"/>
    <n v="30"/>
    <s v="P054"/>
    <d v="2025-03-13T00:00:00"/>
    <s v="NO"/>
    <x v="0"/>
  </r>
  <r>
    <s v="DailyWellness"/>
    <x v="54"/>
    <d v="2025-03-01T00:00:00"/>
    <d v="2025-03-31T00:00:00"/>
    <n v="30"/>
    <s v="P055"/>
    <d v="2024-06-17T00:00:00"/>
    <s v="NO"/>
    <x v="1"/>
  </r>
  <r>
    <s v="NewYearRefresh"/>
    <x v="55"/>
    <d v="2024-12-25T00:00:00"/>
    <d v="2025-01-10T00:00:00"/>
    <n v="16"/>
    <s v="P056"/>
    <d v="2024-12-18T00:00:00"/>
    <s v="NO"/>
    <x v="1"/>
  </r>
  <r>
    <s v="SummerSplash"/>
    <x v="56"/>
    <d v="2024-06-15T00:00:00"/>
    <d v="2024-07-15T00:00:00"/>
    <n v="30"/>
    <s v="P057"/>
    <d v="2024-10-21T00:00:00"/>
    <s v="NO"/>
    <x v="0"/>
  </r>
  <r>
    <s v="DailyWellness"/>
    <x v="57"/>
    <d v="2025-03-01T00:00:00"/>
    <d v="2025-03-31T00:00:00"/>
    <n v="30"/>
    <s v="P058"/>
    <d v="2025-04-15T00:00:00"/>
    <s v="NO"/>
    <x v="0"/>
  </r>
  <r>
    <m/>
    <x v="58"/>
    <m/>
    <m/>
    <m/>
    <m/>
    <m/>
    <s v="YES"/>
    <x v="3"/>
  </r>
  <r>
    <s v="NewYearRefresh"/>
    <x v="59"/>
    <d v="2024-12-25T00:00:00"/>
    <d v="2025-01-10T00:00:00"/>
    <n v="16"/>
    <s v="P060"/>
    <d v="2025-01-28T00:00:00"/>
    <s v="NO"/>
    <x v="0"/>
  </r>
  <r>
    <s v="NewYearRefresh"/>
    <x v="59"/>
    <d v="2024-12-25T00:00:00"/>
    <d v="2025-01-10T00:00:00"/>
    <n v="16"/>
    <s v="P060"/>
    <d v="2025-01-28T00:00:00"/>
    <s v="NO"/>
    <x v="0"/>
  </r>
  <r>
    <s v="NewYearRefresh"/>
    <x v="59"/>
    <d v="2024-12-25T00:00:00"/>
    <d v="2025-01-10T00:00:00"/>
    <n v="16"/>
    <s v="P060"/>
    <d v="2025-01-28T00:00:00"/>
    <s v="NO"/>
    <x v="0"/>
  </r>
  <r>
    <s v="SummerSplash"/>
    <x v="60"/>
    <d v="2024-06-15T00:00:00"/>
    <d v="2024-07-15T00:00:00"/>
    <n v="30"/>
    <s v="P061"/>
    <d v="2024-09-05T00:00:00"/>
    <s v="NO"/>
    <x v="0"/>
  </r>
  <r>
    <s v="NewYearRefresh"/>
    <x v="61"/>
    <d v="2024-12-25T00:00:00"/>
    <d v="2025-01-10T00:00:00"/>
    <n v="16"/>
    <s v="P062"/>
    <d v="2024-11-22T00:00:00"/>
    <s v="NO"/>
    <x v="1"/>
  </r>
  <r>
    <s v="NewYearRefresh"/>
    <x v="62"/>
    <d v="2024-12-25T00:00:00"/>
    <d v="2025-01-10T00:00:00"/>
    <n v="16"/>
    <s v="P063"/>
    <d v="2024-07-31T00:00:00"/>
    <s v="NO"/>
    <x v="1"/>
  </r>
  <r>
    <s v="NewYearRefresh"/>
    <x v="63"/>
    <d v="2024-12-25T00:00:00"/>
    <d v="2025-01-10T00:00:00"/>
    <n v="16"/>
    <s v="P064"/>
    <d v="2024-08-17T00:00:00"/>
    <s v="NO"/>
    <x v="1"/>
  </r>
  <r>
    <m/>
    <x v="64"/>
    <m/>
    <m/>
    <m/>
    <m/>
    <m/>
    <s v="YES"/>
    <x v="3"/>
  </r>
  <r>
    <s v="SummerSplash"/>
    <x v="65"/>
    <d v="2024-06-15T00:00:00"/>
    <d v="2024-07-15T00:00:00"/>
    <n v="30"/>
    <s v="P066"/>
    <d v="2024-07-26T00:00:00"/>
    <s v="NO"/>
    <x v="0"/>
  </r>
  <r>
    <s v="NewYearRefresh"/>
    <x v="66"/>
    <d v="2024-12-25T00:00:00"/>
    <d v="2025-01-10T00:00:00"/>
    <n v="16"/>
    <s v="P067"/>
    <d v="2025-03-29T00:00:00"/>
    <s v="NO"/>
    <x v="0"/>
  </r>
  <r>
    <m/>
    <x v="67"/>
    <m/>
    <m/>
    <m/>
    <m/>
    <m/>
    <s v="YES"/>
    <x v="3"/>
  </r>
  <r>
    <s v="NewYearRefresh"/>
    <x v="68"/>
    <d v="2024-12-25T00:00:00"/>
    <d v="2025-01-10T00:00:00"/>
    <n v="16"/>
    <s v="P069"/>
    <d v="2025-03-08T00:00:00"/>
    <s v="NO"/>
    <x v="0"/>
  </r>
  <r>
    <m/>
    <x v="69"/>
    <m/>
    <m/>
    <m/>
    <m/>
    <m/>
    <s v="YES"/>
    <x v="3"/>
  </r>
  <r>
    <s v="FestiveRadiance"/>
    <x v="70"/>
    <d v="2024-10-01T00:00:00"/>
    <d v="2024-10-31T00:00:00"/>
    <n v="30"/>
    <s v="P071"/>
    <d v="2024-09-02T00:00:00"/>
    <s v="NO"/>
    <x v="1"/>
  </r>
  <r>
    <s v="FestiveRadiance"/>
    <x v="71"/>
    <d v="2024-10-01T00:00:00"/>
    <d v="2024-10-31T00:00:00"/>
    <n v="30"/>
    <s v="P072"/>
    <d v="2025-03-03T00:00:00"/>
    <s v="NO"/>
    <x v="0"/>
  </r>
  <r>
    <s v="DailyWellness"/>
    <x v="72"/>
    <d v="2025-03-01T00:00:00"/>
    <d v="2025-03-31T00:00:00"/>
    <n v="30"/>
    <s v="P073"/>
    <d v="2024-10-18T00:00:00"/>
    <s v="NO"/>
    <x v="1"/>
  </r>
  <r>
    <s v="NewYearRefresh"/>
    <x v="73"/>
    <d v="2024-12-25T00:00:00"/>
    <d v="2025-01-10T00:00:00"/>
    <n v="16"/>
    <s v="P074"/>
    <d v="2024-10-28T00:00:00"/>
    <s v="NO"/>
    <x v="1"/>
  </r>
  <r>
    <s v="DailyWellness"/>
    <x v="74"/>
    <d v="2025-03-01T00:00:00"/>
    <d v="2025-03-31T00:00:00"/>
    <n v="30"/>
    <s v="P075"/>
    <d v="2024-08-01T00:00:00"/>
    <s v="NO"/>
    <x v="1"/>
  </r>
  <r>
    <s v="DailyWellness"/>
    <x v="75"/>
    <d v="2025-03-01T00:00:00"/>
    <d v="2025-03-31T00:00:00"/>
    <n v="30"/>
    <s v="P076"/>
    <d v="2024-11-07T00:00:00"/>
    <s v="NO"/>
    <x v="1"/>
  </r>
  <r>
    <m/>
    <x v="76"/>
    <m/>
    <m/>
    <m/>
    <m/>
    <m/>
    <s v="YES"/>
    <x v="3"/>
  </r>
  <r>
    <s v="DailyWellness"/>
    <x v="77"/>
    <d v="2025-03-01T00:00:00"/>
    <d v="2025-03-31T00:00:00"/>
    <n v="30"/>
    <s v="P078"/>
    <d v="2024-06-17T00:00:00"/>
    <s v="NO"/>
    <x v="1"/>
  </r>
  <r>
    <s v="FestiveRadiance"/>
    <x v="78"/>
    <d v="2024-10-01T00:00:00"/>
    <d v="2024-10-31T00:00:00"/>
    <n v="30"/>
    <s v="P079"/>
    <d v="2024-10-09T00:00:00"/>
    <s v="YES"/>
    <x v="2"/>
  </r>
  <r>
    <m/>
    <x v="79"/>
    <m/>
    <m/>
    <m/>
    <m/>
    <m/>
    <s v="YES"/>
    <x v="3"/>
  </r>
  <r>
    <s v="NewYearRefresh"/>
    <x v="80"/>
    <d v="2024-12-25T00:00:00"/>
    <d v="2025-01-10T00:00:00"/>
    <n v="16"/>
    <s v="P081"/>
    <d v="2024-10-19T00:00:00"/>
    <s v="NO"/>
    <x v="1"/>
  </r>
  <r>
    <s v="NewYearRefresh"/>
    <x v="81"/>
    <d v="2024-12-25T00:00:00"/>
    <d v="2025-01-10T00:00:00"/>
    <n v="16"/>
    <s v="P082"/>
    <d v="2024-07-24T00:00:00"/>
    <s v="NO"/>
    <x v="1"/>
  </r>
  <r>
    <s v="NewYearRefresh"/>
    <x v="81"/>
    <d v="2024-12-25T00:00:00"/>
    <d v="2025-01-10T00:00:00"/>
    <n v="16"/>
    <s v="P082"/>
    <d v="2024-07-24T00:00:00"/>
    <s v="NO"/>
    <x v="1"/>
  </r>
  <r>
    <s v="NewYearRefresh"/>
    <x v="81"/>
    <d v="2024-12-25T00:00:00"/>
    <d v="2025-01-10T00:00:00"/>
    <n v="16"/>
    <s v="P082"/>
    <d v="2024-07-24T00:00:00"/>
    <s v="NO"/>
    <x v="1"/>
  </r>
  <r>
    <m/>
    <x v="82"/>
    <m/>
    <m/>
    <m/>
    <m/>
    <m/>
    <s v="YES"/>
    <x v="3"/>
  </r>
  <r>
    <s v="DailyWellness"/>
    <x v="83"/>
    <d v="2025-03-01T00:00:00"/>
    <d v="2025-03-31T00:00:00"/>
    <n v="30"/>
    <s v="P084"/>
    <d v="2024-12-09T00:00:00"/>
    <s v="NO"/>
    <x v="1"/>
  </r>
  <r>
    <s v="SummerSplash"/>
    <x v="84"/>
    <d v="2024-06-15T00:00:00"/>
    <d v="2024-07-15T00:00:00"/>
    <n v="30"/>
    <s v="P085"/>
    <d v="2025-04-19T00:00:00"/>
    <s v="NO"/>
    <x v="0"/>
  </r>
  <r>
    <s v="DailyWellness"/>
    <x v="85"/>
    <d v="2025-03-01T00:00:00"/>
    <d v="2025-03-31T00:00:00"/>
    <n v="30"/>
    <s v="P086"/>
    <d v="2025-01-27T00:00:00"/>
    <s v="NO"/>
    <x v="1"/>
  </r>
  <r>
    <s v="DailyWellness"/>
    <x v="85"/>
    <d v="2025-03-01T00:00:00"/>
    <d v="2025-03-31T00:00:00"/>
    <n v="30"/>
    <s v="P086"/>
    <d v="2025-01-27T00:00:00"/>
    <s v="NO"/>
    <x v="1"/>
  </r>
  <r>
    <s v="NewYearRefresh"/>
    <x v="86"/>
    <d v="2024-12-25T00:00:00"/>
    <d v="2025-01-10T00:00:00"/>
    <n v="16"/>
    <s v="P087"/>
    <d v="2024-06-06T00:00:00"/>
    <s v="NO"/>
    <x v="1"/>
  </r>
  <r>
    <s v="DailyWellness"/>
    <x v="87"/>
    <d v="2025-03-01T00:00:00"/>
    <d v="2025-03-31T00:00:00"/>
    <n v="30"/>
    <s v="P088"/>
    <d v="2024-07-07T00:00:00"/>
    <s v="NO"/>
    <x v="1"/>
  </r>
  <r>
    <m/>
    <x v="88"/>
    <m/>
    <m/>
    <m/>
    <m/>
    <m/>
    <s v="YES"/>
    <x v="3"/>
  </r>
  <r>
    <s v="DailyWellness"/>
    <x v="89"/>
    <d v="2025-03-01T00:00:00"/>
    <d v="2025-03-31T00:00:00"/>
    <n v="30"/>
    <s v="P090"/>
    <d v="2024-06-03T00:00:00"/>
    <s v="NO"/>
    <x v="1"/>
  </r>
  <r>
    <s v="DailyWellness"/>
    <x v="21"/>
    <d v="2025-03-01T00:00:00"/>
    <d v="2025-03-31T00:00:00"/>
    <n v="30"/>
    <s v="P091"/>
    <d v="2025-03-24T00:00:00"/>
    <s v="YES"/>
    <x v="2"/>
  </r>
  <r>
    <s v="NewYearRefresh"/>
    <x v="90"/>
    <d v="2024-12-25T00:00:00"/>
    <d v="2025-01-10T00:00:00"/>
    <n v="16"/>
    <s v="P092"/>
    <d v="2024-10-21T00:00:00"/>
    <s v="NO"/>
    <x v="1"/>
  </r>
  <r>
    <s v="NewYearRefresh"/>
    <x v="91"/>
    <d v="2024-12-25T00:00:00"/>
    <d v="2025-01-10T00:00:00"/>
    <n v="16"/>
    <s v="P093"/>
    <d v="2024-12-11T00:00:00"/>
    <s v="NO"/>
    <x v="1"/>
  </r>
  <r>
    <s v="NewYearRefresh"/>
    <x v="92"/>
    <d v="2024-12-25T00:00:00"/>
    <d v="2025-01-10T00:00:00"/>
    <n v="16"/>
    <s v="P094"/>
    <d v="2024-11-07T00:00:00"/>
    <s v="NO"/>
    <x v="1"/>
  </r>
  <r>
    <s v="DailyWellness"/>
    <x v="93"/>
    <d v="2025-03-01T00:00:00"/>
    <d v="2025-03-31T00:00:00"/>
    <n v="30"/>
    <s v="P095"/>
    <d v="2024-11-08T00:00:00"/>
    <s v="NO"/>
    <x v="1"/>
  </r>
  <r>
    <m/>
    <x v="94"/>
    <m/>
    <m/>
    <m/>
    <m/>
    <m/>
    <s v="YES"/>
    <x v="3"/>
  </r>
  <r>
    <s v="FestiveRadiance"/>
    <x v="95"/>
    <d v="2024-10-01T00:00:00"/>
    <d v="2024-10-31T00:00:00"/>
    <n v="30"/>
    <s v="P097"/>
    <d v="2024-08-13T00:00:00"/>
    <s v="NO"/>
    <x v="1"/>
  </r>
  <r>
    <s v="FestiveRadiance"/>
    <x v="95"/>
    <d v="2024-10-01T00:00:00"/>
    <d v="2024-10-31T00:00:00"/>
    <n v="30"/>
    <s v="P097"/>
    <d v="2024-08-13T00:00:00"/>
    <s v="NO"/>
    <x v="1"/>
  </r>
  <r>
    <s v="DailyWellness"/>
    <x v="96"/>
    <d v="2025-03-01T00:00:00"/>
    <d v="2025-03-31T00:00:00"/>
    <n v="30"/>
    <s v="P098"/>
    <d v="2024-06-10T00:00:00"/>
    <s v="NO"/>
    <x v="1"/>
  </r>
  <r>
    <s v="NewYearRefresh"/>
    <x v="97"/>
    <d v="2024-12-25T00:00:00"/>
    <d v="2025-01-10T00:00:00"/>
    <n v="16"/>
    <s v="P099"/>
    <d v="2024-07-02T00:00:00"/>
    <s v="NO"/>
    <x v="1"/>
  </r>
  <r>
    <m/>
    <x v="98"/>
    <m/>
    <m/>
    <m/>
    <m/>
    <m/>
    <s v="YES"/>
    <x v="3"/>
  </r>
  <r>
    <s v="NewYearRefresh"/>
    <x v="99"/>
    <d v="2024-12-25T00:00:00"/>
    <d v="2025-01-10T00:00:00"/>
    <n v="16"/>
    <s v="P101"/>
    <d v="2024-10-18T00:00:00"/>
    <s v="NO"/>
    <x v="1"/>
  </r>
  <r>
    <s v="FestiveRadiance"/>
    <x v="100"/>
    <d v="2024-10-01T00:00:00"/>
    <d v="2024-10-31T00:00:00"/>
    <n v="30"/>
    <s v="P102"/>
    <d v="2024-09-18T00:00:00"/>
    <s v="NO"/>
    <x v="1"/>
  </r>
  <r>
    <s v="FestiveRadiance"/>
    <x v="101"/>
    <d v="2024-10-01T00:00:00"/>
    <d v="2024-10-31T00:00:00"/>
    <n v="30"/>
    <s v="P103"/>
    <d v="2024-06-11T00:00:00"/>
    <s v="NO"/>
    <x v="1"/>
  </r>
  <r>
    <s v="NewYearRefresh"/>
    <x v="102"/>
    <d v="2024-12-25T00:00:00"/>
    <d v="2025-01-10T00:00:00"/>
    <n v="16"/>
    <s v="P104"/>
    <d v="2025-03-23T00:00:00"/>
    <s v="NO"/>
    <x v="0"/>
  </r>
  <r>
    <s v="SummerSplash"/>
    <x v="103"/>
    <d v="2024-06-15T00:00:00"/>
    <d v="2024-07-15T00:00:00"/>
    <n v="30"/>
    <s v="P105"/>
    <d v="2024-06-14T00:00:00"/>
    <s v="NO"/>
    <x v="1"/>
  </r>
  <r>
    <s v="DailyWellness"/>
    <x v="104"/>
    <d v="2025-03-01T00:00:00"/>
    <d v="2025-03-31T00:00:00"/>
    <n v="30"/>
    <s v="P106"/>
    <d v="2025-02-04T00:00:00"/>
    <s v="NO"/>
    <x v="1"/>
  </r>
  <r>
    <m/>
    <x v="105"/>
    <m/>
    <m/>
    <m/>
    <m/>
    <m/>
    <s v="YES"/>
    <x v="3"/>
  </r>
  <r>
    <s v="FestiveRadiance"/>
    <x v="106"/>
    <d v="2024-10-01T00:00:00"/>
    <d v="2024-10-31T00:00:00"/>
    <n v="30"/>
    <s v="P108"/>
    <d v="2025-03-25T00:00:00"/>
    <s v="NO"/>
    <x v="0"/>
  </r>
  <r>
    <s v="NewYearRefresh"/>
    <x v="107"/>
    <d v="2024-12-25T00:00:00"/>
    <d v="2025-01-10T00:00:00"/>
    <n v="16"/>
    <s v="P109"/>
    <d v="2024-08-08T00:00:00"/>
    <s v="NO"/>
    <x v="1"/>
  </r>
  <r>
    <s v="FestiveRadiance"/>
    <x v="108"/>
    <d v="2024-10-01T00:00:00"/>
    <d v="2024-10-31T00:00:00"/>
    <n v="30"/>
    <s v="P110"/>
    <d v="2024-07-29T00:00:00"/>
    <s v="NO"/>
    <x v="1"/>
  </r>
  <r>
    <s v="FestiveRadiance"/>
    <x v="109"/>
    <d v="2024-10-01T00:00:00"/>
    <d v="2024-10-31T00:00:00"/>
    <n v="30"/>
    <s v="P111"/>
    <d v="2024-11-23T00:00:00"/>
    <s v="NO"/>
    <x v="0"/>
  </r>
  <r>
    <s v="NewYearRefresh"/>
    <x v="110"/>
    <d v="2024-12-25T00:00:00"/>
    <d v="2025-01-10T00:00:00"/>
    <n v="16"/>
    <s v="P112"/>
    <d v="2024-10-05T00:00:00"/>
    <s v="NO"/>
    <x v="1"/>
  </r>
  <r>
    <s v="SummerSplash"/>
    <x v="111"/>
    <d v="2024-06-15T00:00:00"/>
    <d v="2024-07-15T00:00:00"/>
    <n v="30"/>
    <s v="P113"/>
    <d v="2024-10-02T00:00:00"/>
    <s v="NO"/>
    <x v="0"/>
  </r>
  <r>
    <s v="SummerSplash"/>
    <x v="112"/>
    <d v="2024-06-15T00:00:00"/>
    <d v="2024-07-15T00:00:00"/>
    <n v="30"/>
    <s v="P114"/>
    <d v="2024-11-14T00:00:00"/>
    <s v="NO"/>
    <x v="0"/>
  </r>
  <r>
    <s v="DailyWellness"/>
    <x v="113"/>
    <d v="2025-03-01T00:00:00"/>
    <d v="2025-03-31T00:00:00"/>
    <n v="30"/>
    <s v="P115"/>
    <d v="2025-05-11T00:00:00"/>
    <s v="NO"/>
    <x v="0"/>
  </r>
  <r>
    <s v="DailyWellness"/>
    <x v="113"/>
    <d v="2025-03-01T00:00:00"/>
    <d v="2025-03-31T00:00:00"/>
    <n v="30"/>
    <s v="P115"/>
    <d v="2025-05-11T00:00:00"/>
    <s v="NO"/>
    <x v="0"/>
  </r>
  <r>
    <m/>
    <x v="114"/>
    <m/>
    <m/>
    <m/>
    <m/>
    <m/>
    <s v="YES"/>
    <x v="3"/>
  </r>
  <r>
    <s v="DailyWellness"/>
    <x v="115"/>
    <d v="2025-03-01T00:00:00"/>
    <d v="2025-03-31T00:00:00"/>
    <n v="30"/>
    <s v="P117"/>
    <d v="2024-11-04T00:00:00"/>
    <s v="NO"/>
    <x v="1"/>
  </r>
  <r>
    <s v="NewYearRefresh"/>
    <x v="116"/>
    <d v="2024-12-25T00:00:00"/>
    <d v="2025-01-10T00:00:00"/>
    <n v="16"/>
    <s v="P118"/>
    <d v="2024-11-04T00:00:00"/>
    <s v="NO"/>
    <x v="1"/>
  </r>
  <r>
    <m/>
    <x v="117"/>
    <m/>
    <m/>
    <m/>
    <m/>
    <m/>
    <s v="YES"/>
    <x v="3"/>
  </r>
  <r>
    <s v="NewYearRefresh"/>
    <x v="118"/>
    <d v="2024-12-25T00:00:00"/>
    <d v="2025-01-10T00:00:00"/>
    <n v="16"/>
    <s v="P120"/>
    <d v="2024-10-21T00:00:00"/>
    <s v="NO"/>
    <x v="1"/>
  </r>
  <r>
    <m/>
    <x v="119"/>
    <m/>
    <m/>
    <m/>
    <m/>
    <m/>
    <s v="YES"/>
    <x v="3"/>
  </r>
  <r>
    <s v="FestiveRadiance"/>
    <x v="120"/>
    <d v="2024-10-01T00:00:00"/>
    <d v="2024-10-31T00:00:00"/>
    <n v="30"/>
    <s v="P122"/>
    <d v="2024-10-02T00:00:00"/>
    <s v="YES"/>
    <x v="2"/>
  </r>
  <r>
    <s v="SummerSplash"/>
    <x v="121"/>
    <d v="2024-06-15T00:00:00"/>
    <d v="2024-07-15T00:00:00"/>
    <n v="30"/>
    <s v="P123"/>
    <d v="2024-06-14T00:00:00"/>
    <s v="NO"/>
    <x v="1"/>
  </r>
  <r>
    <s v="SummerSplash"/>
    <x v="122"/>
    <d v="2024-06-15T00:00:00"/>
    <d v="2024-07-15T00:00:00"/>
    <n v="30"/>
    <s v="P124"/>
    <d v="2025-04-06T00:00:00"/>
    <s v="NO"/>
    <x v="0"/>
  </r>
  <r>
    <s v="DailyWellness"/>
    <x v="123"/>
    <d v="2025-03-01T00:00:00"/>
    <d v="2025-03-31T00:00:00"/>
    <n v="30"/>
    <s v="P125"/>
    <d v="2024-09-08T00:00:00"/>
    <s v="NO"/>
    <x v="1"/>
  </r>
  <r>
    <m/>
    <x v="124"/>
    <m/>
    <m/>
    <m/>
    <m/>
    <m/>
    <s v="YES"/>
    <x v="3"/>
  </r>
  <r>
    <s v="NewYearRefresh"/>
    <x v="125"/>
    <d v="2024-12-25T00:00:00"/>
    <d v="2025-01-10T00:00:00"/>
    <n v="16"/>
    <s v="P127"/>
    <d v="2025-01-27T00:00:00"/>
    <s v="NO"/>
    <x v="0"/>
  </r>
  <r>
    <m/>
    <x v="126"/>
    <m/>
    <m/>
    <m/>
    <m/>
    <m/>
    <s v="YES"/>
    <x v="3"/>
  </r>
  <r>
    <m/>
    <x v="127"/>
    <m/>
    <m/>
    <m/>
    <m/>
    <m/>
    <s v="YES"/>
    <x v="3"/>
  </r>
  <r>
    <s v="DailyWellness"/>
    <x v="128"/>
    <d v="2025-03-01T00:00:00"/>
    <d v="2025-03-31T00:00:00"/>
    <n v="30"/>
    <s v="P130"/>
    <d v="2024-09-29T00:00:00"/>
    <s v="NO"/>
    <x v="1"/>
  </r>
  <r>
    <s v="NewYearRefresh"/>
    <x v="129"/>
    <d v="2024-12-25T00:00:00"/>
    <d v="2025-01-10T00:00:00"/>
    <n v="16"/>
    <s v="P131"/>
    <d v="2024-10-21T00:00:00"/>
    <s v="NO"/>
    <x v="1"/>
  </r>
  <r>
    <s v="FestiveRadiance"/>
    <x v="130"/>
    <d v="2024-10-01T00:00:00"/>
    <d v="2024-10-31T00:00:00"/>
    <n v="30"/>
    <s v="P132"/>
    <d v="2025-03-04T00:00:00"/>
    <s v="NO"/>
    <x v="0"/>
  </r>
  <r>
    <s v="DailyWellness"/>
    <x v="131"/>
    <d v="2025-03-01T00:00:00"/>
    <d v="2025-03-31T00:00:00"/>
    <n v="30"/>
    <s v="P133"/>
    <d v="2025-02-06T00:00:00"/>
    <s v="NO"/>
    <x v="1"/>
  </r>
  <r>
    <s v="SummerSplash"/>
    <x v="132"/>
    <d v="2024-06-15T00:00:00"/>
    <d v="2024-07-15T00:00:00"/>
    <n v="30"/>
    <s v="P134"/>
    <d v="2025-04-24T00:00:00"/>
    <s v="NO"/>
    <x v="0"/>
  </r>
  <r>
    <s v="DailyWellness"/>
    <x v="133"/>
    <d v="2025-03-01T00:00:00"/>
    <d v="2025-03-31T00:00:00"/>
    <n v="30"/>
    <s v="P135"/>
    <d v="2024-11-28T00:00:00"/>
    <s v="NO"/>
    <x v="1"/>
  </r>
  <r>
    <s v="DailyWellness"/>
    <x v="134"/>
    <d v="2025-03-01T00:00:00"/>
    <d v="2025-03-31T00:00:00"/>
    <n v="30"/>
    <s v="P136"/>
    <d v="2024-07-11T00:00:00"/>
    <s v="NO"/>
    <x v="1"/>
  </r>
  <r>
    <m/>
    <x v="135"/>
    <m/>
    <m/>
    <m/>
    <m/>
    <m/>
    <s v="YES"/>
    <x v="3"/>
  </r>
  <r>
    <s v="NewYearRefresh"/>
    <x v="136"/>
    <d v="2024-12-25T00:00:00"/>
    <d v="2025-01-10T00:00:00"/>
    <n v="16"/>
    <s v="P138"/>
    <d v="2025-03-29T00:00:00"/>
    <s v="NO"/>
    <x v="0"/>
  </r>
  <r>
    <s v="SummerSplash"/>
    <x v="137"/>
    <d v="2024-06-15T00:00:00"/>
    <d v="2024-07-15T00:00:00"/>
    <n v="30"/>
    <s v="P139"/>
    <d v="2024-10-29T00:00:00"/>
    <s v="NO"/>
    <x v="0"/>
  </r>
  <r>
    <s v="FestiveRadiance"/>
    <x v="138"/>
    <d v="2024-10-01T00:00:00"/>
    <d v="2024-10-31T00:00:00"/>
    <n v="30"/>
    <s v="P140"/>
    <d v="2024-07-15T00:00:00"/>
    <s v="NO"/>
    <x v="1"/>
  </r>
  <r>
    <s v="FestiveRadiance"/>
    <x v="138"/>
    <d v="2024-10-01T00:00:00"/>
    <d v="2024-10-31T00:00:00"/>
    <n v="30"/>
    <s v="P140"/>
    <d v="2024-07-15T00:00:00"/>
    <s v="NO"/>
    <x v="1"/>
  </r>
  <r>
    <m/>
    <x v="139"/>
    <m/>
    <m/>
    <m/>
    <m/>
    <m/>
    <s v="YES"/>
    <x v="3"/>
  </r>
  <r>
    <s v="DailyWellness"/>
    <x v="140"/>
    <d v="2025-03-01T00:00:00"/>
    <d v="2025-03-31T00:00:00"/>
    <n v="30"/>
    <s v="P142"/>
    <d v="2025-03-25T00:00:00"/>
    <s v="YES"/>
    <x v="2"/>
  </r>
  <r>
    <s v="NewYearRefresh"/>
    <x v="141"/>
    <d v="2024-12-25T00:00:00"/>
    <d v="2025-01-10T00:00:00"/>
    <n v="16"/>
    <s v="P143"/>
    <d v="2024-10-02T00:00:00"/>
    <s v="NO"/>
    <x v="1"/>
  </r>
  <r>
    <s v="DailyWellness"/>
    <x v="142"/>
    <d v="2025-03-01T00:00:00"/>
    <d v="2025-03-31T00:00:00"/>
    <n v="30"/>
    <s v="P144"/>
    <d v="2024-10-28T00:00:00"/>
    <s v="NO"/>
    <x v="1"/>
  </r>
  <r>
    <s v="DailyWellness"/>
    <x v="143"/>
    <d v="2025-03-01T00:00:00"/>
    <d v="2025-03-31T00:00:00"/>
    <n v="30"/>
    <s v="P145"/>
    <d v="2024-08-12T00:00:00"/>
    <s v="NO"/>
    <x v="1"/>
  </r>
  <r>
    <m/>
    <x v="144"/>
    <m/>
    <m/>
    <m/>
    <m/>
    <m/>
    <s v="YES"/>
    <x v="3"/>
  </r>
  <r>
    <m/>
    <x v="144"/>
    <m/>
    <m/>
    <m/>
    <m/>
    <m/>
    <s v="YES"/>
    <x v="3"/>
  </r>
  <r>
    <s v="FestiveRadiance"/>
    <x v="132"/>
    <d v="2024-10-01T00:00:00"/>
    <d v="2024-10-31T00:00:00"/>
    <n v="30"/>
    <s v="P147"/>
    <d v="2024-10-21T00:00:00"/>
    <s v="YES"/>
    <x v="2"/>
  </r>
  <r>
    <s v="DailyWellness"/>
    <x v="145"/>
    <d v="2025-03-01T00:00:00"/>
    <d v="2025-03-31T00:00:00"/>
    <n v="30"/>
    <s v="P148"/>
    <d v="2025-04-15T00:00:00"/>
    <s v="NO"/>
    <x v="0"/>
  </r>
  <r>
    <s v="SummerSplash"/>
    <x v="146"/>
    <d v="2024-06-15T00:00:00"/>
    <d v="2024-07-15T00:00:00"/>
    <n v="30"/>
    <s v="P149"/>
    <d v="2024-06-16T00:00:00"/>
    <s v="YES"/>
    <x v="2"/>
  </r>
  <r>
    <s v="DailyWellness"/>
    <x v="147"/>
    <d v="2025-03-01T00:00:00"/>
    <d v="2025-03-31T00:00:00"/>
    <n v="30"/>
    <s v="P150"/>
    <d v="2024-08-22T00:00:00"/>
    <s v="NO"/>
    <x v="1"/>
  </r>
  <r>
    <s v="SummerSplash"/>
    <x v="148"/>
    <d v="2024-06-15T00:00:00"/>
    <d v="2024-07-15T00:00:00"/>
    <n v="30"/>
    <s v="P151"/>
    <d v="2024-07-26T00:00:00"/>
    <s v="NO"/>
    <x v="0"/>
  </r>
  <r>
    <s v="DailyWellness"/>
    <x v="149"/>
    <d v="2025-03-01T00:00:00"/>
    <d v="2025-03-31T00:00:00"/>
    <n v="30"/>
    <s v="P152"/>
    <d v="2025-04-22T00:00:00"/>
    <s v="NO"/>
    <x v="0"/>
  </r>
  <r>
    <s v="NewYearRefresh"/>
    <x v="150"/>
    <d v="2024-12-25T00:00:00"/>
    <d v="2025-01-10T00:00:00"/>
    <n v="16"/>
    <s v="P153"/>
    <d v="2025-01-01T00:00:00"/>
    <s v="YES"/>
    <x v="2"/>
  </r>
  <r>
    <s v="DailyWellness"/>
    <x v="151"/>
    <d v="2025-03-01T00:00:00"/>
    <d v="2025-03-31T00:00:00"/>
    <n v="30"/>
    <s v="P154"/>
    <d v="2024-10-09T00:00:00"/>
    <s v="NO"/>
    <x v="1"/>
  </r>
  <r>
    <s v="FestiveRadiance"/>
    <x v="152"/>
    <d v="2024-10-01T00:00:00"/>
    <d v="2024-10-31T00:00:00"/>
    <n v="30"/>
    <s v="P155"/>
    <d v="2024-12-21T00:00:00"/>
    <s v="NO"/>
    <x v="0"/>
  </r>
  <r>
    <s v="FestiveRadiance"/>
    <x v="153"/>
    <d v="2024-10-01T00:00:00"/>
    <d v="2024-10-31T00:00:00"/>
    <n v="30"/>
    <s v="P156"/>
    <d v="2024-10-22T00:00:00"/>
    <s v="YES"/>
    <x v="2"/>
  </r>
  <r>
    <s v="FestiveRadiance"/>
    <x v="154"/>
    <d v="2024-10-01T00:00:00"/>
    <d v="2024-10-31T00:00:00"/>
    <n v="30"/>
    <s v="P157"/>
    <d v="2024-07-23T00:00:00"/>
    <s v="NO"/>
    <x v="1"/>
  </r>
  <r>
    <s v="SummerSplash"/>
    <x v="155"/>
    <d v="2024-06-15T00:00:00"/>
    <d v="2024-07-15T00:00:00"/>
    <n v="30"/>
    <s v="P158"/>
    <d v="2024-08-11T00:00:00"/>
    <s v="NO"/>
    <x v="0"/>
  </r>
  <r>
    <s v="FestiveRadiance"/>
    <x v="156"/>
    <d v="2024-10-01T00:00:00"/>
    <d v="2024-10-31T00:00:00"/>
    <n v="30"/>
    <s v="P159"/>
    <d v="2024-11-25T00:00:00"/>
    <s v="NO"/>
    <x v="0"/>
  </r>
  <r>
    <m/>
    <x v="157"/>
    <m/>
    <m/>
    <m/>
    <m/>
    <m/>
    <s v="YES"/>
    <x v="3"/>
  </r>
  <r>
    <s v="DailyWellness"/>
    <x v="158"/>
    <d v="2025-03-01T00:00:00"/>
    <d v="2025-03-31T00:00:00"/>
    <n v="30"/>
    <s v="P161"/>
    <d v="2025-02-19T00:00:00"/>
    <s v="NO"/>
    <x v="1"/>
  </r>
  <r>
    <m/>
    <x v="159"/>
    <m/>
    <m/>
    <m/>
    <m/>
    <m/>
    <s v="YES"/>
    <x v="3"/>
  </r>
  <r>
    <s v="FestiveRadiance"/>
    <x v="160"/>
    <d v="2024-10-01T00:00:00"/>
    <d v="2024-10-31T00:00:00"/>
    <n v="30"/>
    <s v="P163"/>
    <d v="2025-04-08T00:00:00"/>
    <s v="NO"/>
    <x v="0"/>
  </r>
  <r>
    <s v="DailyWellness"/>
    <x v="161"/>
    <d v="2025-03-01T00:00:00"/>
    <d v="2025-03-31T00:00:00"/>
    <n v="30"/>
    <s v="P164"/>
    <d v="2025-02-27T00:00:00"/>
    <s v="NO"/>
    <x v="1"/>
  </r>
  <r>
    <s v="DailyWellness"/>
    <x v="161"/>
    <d v="2025-03-01T00:00:00"/>
    <d v="2025-03-31T00:00:00"/>
    <n v="30"/>
    <s v="P164"/>
    <d v="2025-02-27T00:00:00"/>
    <s v="NO"/>
    <x v="1"/>
  </r>
  <r>
    <s v="FestiveRadiance"/>
    <x v="162"/>
    <d v="2024-10-01T00:00:00"/>
    <d v="2024-10-31T00:00:00"/>
    <n v="30"/>
    <s v="P165"/>
    <d v="2024-12-11T00:00:00"/>
    <s v="NO"/>
    <x v="0"/>
  </r>
  <r>
    <s v="SummerSplash"/>
    <x v="163"/>
    <d v="2024-06-15T00:00:00"/>
    <d v="2024-07-15T00:00:00"/>
    <n v="30"/>
    <s v="P166"/>
    <d v="2025-02-16T00:00:00"/>
    <s v="NO"/>
    <x v="0"/>
  </r>
  <r>
    <m/>
    <x v="164"/>
    <m/>
    <m/>
    <m/>
    <m/>
    <m/>
    <s v="YES"/>
    <x v="3"/>
  </r>
  <r>
    <s v="SummerSplash"/>
    <x v="165"/>
    <d v="2024-06-15T00:00:00"/>
    <d v="2024-07-15T00:00:00"/>
    <n v="30"/>
    <s v="P168"/>
    <d v="2024-11-12T00:00:00"/>
    <s v="NO"/>
    <x v="0"/>
  </r>
  <r>
    <s v="SummerSplash"/>
    <x v="166"/>
    <d v="2024-06-15T00:00:00"/>
    <d v="2024-07-15T00:00:00"/>
    <n v="30"/>
    <s v="P169"/>
    <d v="2024-12-03T00:00:00"/>
    <s v="NO"/>
    <x v="0"/>
  </r>
  <r>
    <s v="NewYearRefresh"/>
    <x v="167"/>
    <d v="2024-12-25T00:00:00"/>
    <d v="2025-01-10T00:00:00"/>
    <n v="16"/>
    <s v="P170"/>
    <d v="2025-04-28T00:00:00"/>
    <s v="NO"/>
    <x v="0"/>
  </r>
  <r>
    <s v="FestiveRadiance"/>
    <x v="168"/>
    <d v="2024-10-01T00:00:00"/>
    <d v="2024-10-31T00:00:00"/>
    <n v="30"/>
    <s v="P171"/>
    <d v="2024-12-31T00:00:00"/>
    <s v="NO"/>
    <x v="0"/>
  </r>
  <r>
    <s v="NewYearRefresh"/>
    <x v="169"/>
    <d v="2024-12-25T00:00:00"/>
    <d v="2025-01-10T00:00:00"/>
    <n v="16"/>
    <s v="P172"/>
    <d v="2024-08-14T00:00:00"/>
    <s v="NO"/>
    <x v="1"/>
  </r>
  <r>
    <s v="NewYearRefresh"/>
    <x v="170"/>
    <d v="2024-12-25T00:00:00"/>
    <d v="2025-01-10T00:00:00"/>
    <n v="16"/>
    <s v="P173"/>
    <d v="2024-12-05T00:00:00"/>
    <s v="NO"/>
    <x v="1"/>
  </r>
  <r>
    <m/>
    <x v="171"/>
    <m/>
    <m/>
    <m/>
    <m/>
    <m/>
    <s v="YES"/>
    <x v="3"/>
  </r>
  <r>
    <s v="DailyWellness"/>
    <x v="172"/>
    <d v="2025-03-01T00:00:00"/>
    <d v="2025-03-31T00:00:00"/>
    <n v="30"/>
    <s v="P175"/>
    <d v="2025-01-17T00:00:00"/>
    <s v="NO"/>
    <x v="1"/>
  </r>
  <r>
    <s v="SummerSplash"/>
    <x v="173"/>
    <d v="2024-06-15T00:00:00"/>
    <d v="2024-07-15T00:00:00"/>
    <n v="30"/>
    <s v="P176"/>
    <d v="2024-06-20T00:00:00"/>
    <s v="YES"/>
    <x v="2"/>
  </r>
  <r>
    <s v="NewYearRefresh"/>
    <x v="174"/>
    <d v="2024-12-25T00:00:00"/>
    <d v="2025-01-10T00:00:00"/>
    <n v="16"/>
    <s v="P177"/>
    <d v="2024-07-10T00:00:00"/>
    <s v="NO"/>
    <x v="1"/>
  </r>
  <r>
    <s v="DailyWellness"/>
    <x v="175"/>
    <d v="2025-03-01T00:00:00"/>
    <d v="2025-03-31T00:00:00"/>
    <n v="30"/>
    <s v="P178"/>
    <d v="2024-11-07T00:00:00"/>
    <s v="NO"/>
    <x v="1"/>
  </r>
  <r>
    <m/>
    <x v="176"/>
    <m/>
    <m/>
    <m/>
    <m/>
    <m/>
    <s v="YES"/>
    <x v="3"/>
  </r>
  <r>
    <s v="SummerSplash"/>
    <x v="177"/>
    <d v="2024-06-15T00:00:00"/>
    <d v="2024-07-15T00:00:00"/>
    <n v="30"/>
    <s v="P180"/>
    <d v="2024-12-03T00:00:00"/>
    <s v="NO"/>
    <x v="0"/>
  </r>
  <r>
    <s v="NewYearRefresh"/>
    <x v="178"/>
    <d v="2024-12-25T00:00:00"/>
    <d v="2025-01-10T00:00:00"/>
    <n v="16"/>
    <s v="P181"/>
    <d v="2025-03-21T00:00:00"/>
    <s v="NO"/>
    <x v="0"/>
  </r>
  <r>
    <s v="DailyWellness"/>
    <x v="179"/>
    <d v="2025-03-01T00:00:00"/>
    <d v="2025-03-31T00:00:00"/>
    <n v="30"/>
    <s v="P182"/>
    <d v="2024-07-31T00:00:00"/>
    <s v="NO"/>
    <x v="1"/>
  </r>
  <r>
    <s v="FestiveRadiance"/>
    <x v="180"/>
    <d v="2024-10-01T00:00:00"/>
    <d v="2024-10-31T00:00:00"/>
    <n v="30"/>
    <s v="P183"/>
    <d v="2024-12-17T00:00:00"/>
    <s v="NO"/>
    <x v="0"/>
  </r>
  <r>
    <s v="SummerSplash"/>
    <x v="181"/>
    <d v="2024-06-15T00:00:00"/>
    <d v="2024-07-15T00:00:00"/>
    <n v="30"/>
    <s v="P184"/>
    <d v="2024-07-28T00:00:00"/>
    <s v="NO"/>
    <x v="0"/>
  </r>
  <r>
    <m/>
    <x v="182"/>
    <m/>
    <m/>
    <m/>
    <m/>
    <m/>
    <s v="YES"/>
    <x v="3"/>
  </r>
  <r>
    <s v="NewYearRefresh"/>
    <x v="183"/>
    <d v="2024-12-25T00:00:00"/>
    <d v="2025-01-10T00:00:00"/>
    <n v="16"/>
    <s v="P186"/>
    <d v="2024-08-24T00:00:00"/>
    <s v="NO"/>
    <x v="1"/>
  </r>
  <r>
    <s v="NewYearRefresh"/>
    <x v="184"/>
    <d v="2024-12-25T00:00:00"/>
    <d v="2025-01-10T00:00:00"/>
    <n v="16"/>
    <s v="P187"/>
    <d v="2024-12-22T00:00:00"/>
    <s v="NO"/>
    <x v="1"/>
  </r>
  <r>
    <s v="FestiveRadiance"/>
    <x v="185"/>
    <d v="2024-10-01T00:00:00"/>
    <d v="2024-10-31T00:00:00"/>
    <n v="30"/>
    <s v="P188"/>
    <d v="2024-06-06T00:00:00"/>
    <s v="NO"/>
    <x v="1"/>
  </r>
  <r>
    <s v="SummerSplash"/>
    <x v="186"/>
    <d v="2024-06-15T00:00:00"/>
    <d v="2024-07-15T00:00:00"/>
    <n v="30"/>
    <s v="P189"/>
    <d v="2025-03-24T00:00:00"/>
    <s v="NO"/>
    <x v="0"/>
  </r>
  <r>
    <m/>
    <x v="187"/>
    <m/>
    <m/>
    <m/>
    <m/>
    <m/>
    <s v="YES"/>
    <x v="3"/>
  </r>
  <r>
    <s v="NewYearRefresh"/>
    <x v="188"/>
    <d v="2024-12-25T00:00:00"/>
    <d v="2025-01-10T00:00:00"/>
    <n v="16"/>
    <s v="P191"/>
    <d v="2024-12-03T00:00:00"/>
    <s v="NO"/>
    <x v="1"/>
  </r>
  <r>
    <m/>
    <x v="189"/>
    <m/>
    <m/>
    <m/>
    <m/>
    <m/>
    <s v="YES"/>
    <x v="3"/>
  </r>
  <r>
    <s v="NewYearRefresh"/>
    <x v="190"/>
    <d v="2024-12-25T00:00:00"/>
    <d v="2025-01-10T00:00:00"/>
    <n v="16"/>
    <s v="P193"/>
    <d v="2024-09-11T00:00:00"/>
    <s v="NO"/>
    <x v="1"/>
  </r>
  <r>
    <s v="SummerSplash"/>
    <x v="191"/>
    <d v="2024-06-15T00:00:00"/>
    <d v="2024-07-15T00:00:00"/>
    <n v="30"/>
    <s v="P194"/>
    <d v="2024-10-02T00:00:00"/>
    <s v="NO"/>
    <x v="0"/>
  </r>
  <r>
    <s v="DailyWellness"/>
    <x v="192"/>
    <d v="2025-03-01T00:00:00"/>
    <d v="2025-03-31T00:00:00"/>
    <n v="30"/>
    <s v="P195"/>
    <d v="2024-08-15T00:00:00"/>
    <s v="NO"/>
    <x v="1"/>
  </r>
  <r>
    <s v="DailyWellness"/>
    <x v="192"/>
    <d v="2025-03-01T00:00:00"/>
    <d v="2025-03-31T00:00:00"/>
    <n v="30"/>
    <s v="P195"/>
    <d v="2024-08-15T00:00:00"/>
    <s v="NO"/>
    <x v="1"/>
  </r>
  <r>
    <s v="DailyWellness"/>
    <x v="192"/>
    <d v="2025-03-01T00:00:00"/>
    <d v="2025-03-31T00:00:00"/>
    <n v="30"/>
    <s v="P195"/>
    <d v="2024-08-15T00:00:00"/>
    <s v="NO"/>
    <x v="1"/>
  </r>
  <r>
    <s v="NewYearRefresh"/>
    <x v="193"/>
    <d v="2024-12-25T00:00:00"/>
    <d v="2025-01-10T00:00:00"/>
    <n v="16"/>
    <s v="P196"/>
    <d v="2024-12-19T00:00:00"/>
    <s v="NO"/>
    <x v="1"/>
  </r>
  <r>
    <s v="SummerSplash"/>
    <x v="194"/>
    <d v="2024-06-15T00:00:00"/>
    <d v="2024-07-15T00:00:00"/>
    <n v="30"/>
    <s v="P197"/>
    <d v="2024-10-22T00:00:00"/>
    <s v="NO"/>
    <x v="0"/>
  </r>
  <r>
    <s v="NewYearRefresh"/>
    <x v="195"/>
    <d v="2024-12-25T00:00:00"/>
    <d v="2025-01-10T00:00:00"/>
    <n v="16"/>
    <s v="P198"/>
    <d v="2024-09-14T00:00:00"/>
    <s v="NO"/>
    <x v="1"/>
  </r>
  <r>
    <s v="FestiveRadiance"/>
    <x v="196"/>
    <d v="2024-10-01T00:00:00"/>
    <d v="2024-10-31T00:00:00"/>
    <n v="30"/>
    <s v="P199"/>
    <d v="2024-11-30T00:00:00"/>
    <s v="NO"/>
    <x v="0"/>
  </r>
  <r>
    <s v="FestiveRadiance"/>
    <x v="197"/>
    <d v="2024-10-01T00:00:00"/>
    <d v="2024-10-31T00:00:00"/>
    <n v="30"/>
    <s v="P200"/>
    <d v="2025-04-07T00:00:00"/>
    <s v="NO"/>
    <x v="0"/>
  </r>
  <r>
    <s v="SummerSplash"/>
    <x v="198"/>
    <d v="2024-06-15T00:00:00"/>
    <d v="2024-07-15T00:00:00"/>
    <n v="30"/>
    <s v="P201"/>
    <d v="2025-01-15T00:00:00"/>
    <s v="NO"/>
    <x v="0"/>
  </r>
  <r>
    <s v="NewYearRefresh"/>
    <x v="199"/>
    <d v="2024-12-25T00:00:00"/>
    <d v="2025-01-10T00:00:00"/>
    <n v="16"/>
    <s v="P202"/>
    <d v="2024-06-02T00:00:00"/>
    <s v="NO"/>
    <x v="1"/>
  </r>
  <r>
    <s v="SummerSplash"/>
    <x v="200"/>
    <d v="2024-06-15T00:00:00"/>
    <d v="2024-07-15T00:00:00"/>
    <n v="30"/>
    <s v="P203"/>
    <d v="2024-11-21T00:00:00"/>
    <s v="NO"/>
    <x v="0"/>
  </r>
  <r>
    <s v="NewYearRefresh"/>
    <x v="201"/>
    <d v="2024-12-25T00:00:00"/>
    <d v="2025-01-10T00:00:00"/>
    <n v="16"/>
    <s v="P204"/>
    <d v="2025-01-01T00:00:00"/>
    <s v="YES"/>
    <x v="2"/>
  </r>
  <r>
    <s v="DailyWellness"/>
    <x v="202"/>
    <d v="2025-03-01T00:00:00"/>
    <d v="2025-03-31T00:00:00"/>
    <n v="30"/>
    <s v="P205"/>
    <d v="2025-04-24T00:00:00"/>
    <s v="NO"/>
    <x v="0"/>
  </r>
  <r>
    <s v="DailyWellness"/>
    <x v="202"/>
    <d v="2025-03-01T00:00:00"/>
    <d v="2025-03-31T00:00:00"/>
    <n v="30"/>
    <s v="P205"/>
    <d v="2025-04-24T00:00:00"/>
    <s v="NO"/>
    <x v="0"/>
  </r>
  <r>
    <s v="SummerSplash"/>
    <x v="203"/>
    <d v="2024-06-15T00:00:00"/>
    <d v="2024-07-15T00:00:00"/>
    <n v="30"/>
    <s v="P206"/>
    <d v="2024-06-24T00:00:00"/>
    <s v="YES"/>
    <x v="2"/>
  </r>
  <r>
    <s v="NewYearRefresh"/>
    <x v="204"/>
    <d v="2024-12-25T00:00:00"/>
    <d v="2025-01-10T00:00:00"/>
    <n v="16"/>
    <s v="P207"/>
    <d v="2024-12-29T00:00:00"/>
    <s v="YES"/>
    <x v="2"/>
  </r>
  <r>
    <s v="NewYearRefresh"/>
    <x v="204"/>
    <d v="2024-12-25T00:00:00"/>
    <d v="2025-01-10T00:00:00"/>
    <n v="16"/>
    <s v="P207"/>
    <d v="2024-12-29T00:00:00"/>
    <s v="YES"/>
    <x v="2"/>
  </r>
  <r>
    <s v="FestiveRadiance"/>
    <x v="205"/>
    <d v="2024-10-01T00:00:00"/>
    <d v="2024-10-31T00:00:00"/>
    <n v="30"/>
    <s v="P208"/>
    <d v="2024-06-24T00:00:00"/>
    <s v="NO"/>
    <x v="1"/>
  </r>
  <r>
    <s v="DailyWellness"/>
    <x v="206"/>
    <d v="2025-03-01T00:00:00"/>
    <d v="2025-03-31T00:00:00"/>
    <n v="30"/>
    <s v="P209"/>
    <d v="2025-03-19T00:00:00"/>
    <s v="YES"/>
    <x v="2"/>
  </r>
  <r>
    <s v="DailyWellness"/>
    <x v="206"/>
    <d v="2025-03-01T00:00:00"/>
    <d v="2025-03-31T00:00:00"/>
    <n v="30"/>
    <s v="P209"/>
    <d v="2025-03-19T00:00:00"/>
    <s v="YES"/>
    <x v="2"/>
  </r>
  <r>
    <s v="SummerSplash"/>
    <x v="207"/>
    <d v="2024-06-15T00:00:00"/>
    <d v="2024-07-15T00:00:00"/>
    <n v="30"/>
    <s v="P210"/>
    <d v="2025-02-19T00:00:00"/>
    <s v="NO"/>
    <x v="0"/>
  </r>
  <r>
    <s v="DailyWellness"/>
    <x v="208"/>
    <d v="2025-03-01T00:00:00"/>
    <d v="2025-03-31T00:00:00"/>
    <n v="30"/>
    <s v="P211"/>
    <d v="2024-07-18T00:00:00"/>
    <s v="NO"/>
    <x v="1"/>
  </r>
  <r>
    <s v="FestiveRadiance"/>
    <x v="209"/>
    <d v="2024-10-01T00:00:00"/>
    <d v="2024-10-31T00:00:00"/>
    <n v="30"/>
    <s v="P212"/>
    <d v="2025-03-03T00:00:00"/>
    <s v="NO"/>
    <x v="0"/>
  </r>
  <r>
    <s v="DailyWellness"/>
    <x v="210"/>
    <d v="2025-03-01T00:00:00"/>
    <d v="2025-03-31T00:00:00"/>
    <n v="30"/>
    <s v="P213"/>
    <d v="2025-05-01T00:00:00"/>
    <s v="NO"/>
    <x v="0"/>
  </r>
  <r>
    <s v="FestiveRadiance"/>
    <x v="211"/>
    <d v="2024-10-01T00:00:00"/>
    <d v="2024-10-31T00:00:00"/>
    <n v="30"/>
    <s v="P214"/>
    <d v="2024-12-23T00:00:00"/>
    <s v="NO"/>
    <x v="0"/>
  </r>
  <r>
    <s v="FestiveRadiance"/>
    <x v="212"/>
    <d v="2024-10-01T00:00:00"/>
    <d v="2024-10-31T00:00:00"/>
    <n v="30"/>
    <s v="P215"/>
    <d v="2025-05-06T00:00:00"/>
    <s v="NO"/>
    <x v="0"/>
  </r>
  <r>
    <s v="FestiveRadiance"/>
    <x v="213"/>
    <d v="2024-10-01T00:00:00"/>
    <d v="2024-10-31T00:00:00"/>
    <n v="30"/>
    <s v="P216"/>
    <d v="2024-07-29T00:00:00"/>
    <s v="NO"/>
    <x v="1"/>
  </r>
  <r>
    <m/>
    <x v="214"/>
    <m/>
    <m/>
    <m/>
    <m/>
    <m/>
    <s v="YES"/>
    <x v="3"/>
  </r>
  <r>
    <s v="DailyWellness"/>
    <x v="215"/>
    <d v="2025-03-01T00:00:00"/>
    <d v="2025-03-31T00:00:00"/>
    <n v="30"/>
    <s v="P218"/>
    <d v="2024-06-11T00:00:00"/>
    <s v="NO"/>
    <x v="1"/>
  </r>
  <r>
    <s v="DailyWellness"/>
    <x v="216"/>
    <d v="2025-03-01T00:00:00"/>
    <d v="2025-03-31T00:00:00"/>
    <n v="30"/>
    <s v="P219"/>
    <d v="2025-01-28T00:00:00"/>
    <s v="NO"/>
    <x v="1"/>
  </r>
  <r>
    <m/>
    <x v="217"/>
    <m/>
    <m/>
    <m/>
    <m/>
    <m/>
    <s v="YES"/>
    <x v="3"/>
  </r>
  <r>
    <m/>
    <x v="218"/>
    <m/>
    <m/>
    <m/>
    <m/>
    <m/>
    <s v="YES"/>
    <x v="3"/>
  </r>
  <r>
    <s v="SummerSplash"/>
    <x v="58"/>
    <d v="2024-06-15T00:00:00"/>
    <d v="2024-07-15T00:00:00"/>
    <n v="30"/>
    <s v="P222"/>
    <d v="2024-10-08T00:00:00"/>
    <s v="NO"/>
    <x v="0"/>
  </r>
  <r>
    <s v="SummerSplash"/>
    <x v="58"/>
    <d v="2024-06-15T00:00:00"/>
    <d v="2024-07-15T00:00:00"/>
    <n v="30"/>
    <s v="P222"/>
    <d v="2024-10-08T00:00:00"/>
    <s v="NO"/>
    <x v="0"/>
  </r>
  <r>
    <m/>
    <x v="219"/>
    <m/>
    <m/>
    <m/>
    <m/>
    <m/>
    <s v="YES"/>
    <x v="3"/>
  </r>
  <r>
    <s v="NewYearRefresh"/>
    <x v="54"/>
    <d v="2024-12-25T00:00:00"/>
    <d v="2025-01-10T00:00:00"/>
    <n v="16"/>
    <s v="P224"/>
    <d v="2025-05-13T00:00:00"/>
    <s v="NO"/>
    <x v="0"/>
  </r>
  <r>
    <m/>
    <x v="220"/>
    <m/>
    <m/>
    <m/>
    <m/>
    <m/>
    <s v="YES"/>
    <x v="3"/>
  </r>
  <r>
    <m/>
    <x v="221"/>
    <m/>
    <m/>
    <m/>
    <m/>
    <m/>
    <s v="YES"/>
    <x v="3"/>
  </r>
  <r>
    <s v="NewYearRefresh"/>
    <x v="222"/>
    <d v="2024-12-25T00:00:00"/>
    <d v="2025-01-10T00:00:00"/>
    <n v="16"/>
    <s v="P227"/>
    <d v="2024-06-12T00:00:00"/>
    <s v="NO"/>
    <x v="1"/>
  </r>
  <r>
    <s v="SummerSplash"/>
    <x v="223"/>
    <d v="2024-06-15T00:00:00"/>
    <d v="2024-07-15T00:00:00"/>
    <n v="30"/>
    <s v="P228"/>
    <d v="2024-07-01T00:00:00"/>
    <s v="YES"/>
    <x v="2"/>
  </r>
  <r>
    <m/>
    <x v="224"/>
    <m/>
    <m/>
    <m/>
    <m/>
    <m/>
    <s v="YES"/>
    <x v="3"/>
  </r>
  <r>
    <s v="NewYearRefresh"/>
    <x v="225"/>
    <d v="2024-12-25T00:00:00"/>
    <d v="2025-01-10T00:00:00"/>
    <n v="16"/>
    <s v="P230"/>
    <d v="2024-07-15T00:00:00"/>
    <s v="NO"/>
    <x v="1"/>
  </r>
  <r>
    <s v="SummerSplash"/>
    <x v="226"/>
    <d v="2024-06-15T00:00:00"/>
    <d v="2024-07-15T00:00:00"/>
    <n v="30"/>
    <s v="P231"/>
    <d v="2025-05-01T00:00:00"/>
    <s v="NO"/>
    <x v="0"/>
  </r>
  <r>
    <s v="DailyWellness"/>
    <x v="227"/>
    <d v="2025-03-01T00:00:00"/>
    <d v="2025-03-31T00:00:00"/>
    <n v="30"/>
    <s v="P232"/>
    <d v="2025-04-29T00:00:00"/>
    <s v="NO"/>
    <x v="0"/>
  </r>
  <r>
    <s v="DailyWellness"/>
    <x v="228"/>
    <d v="2025-03-01T00:00:00"/>
    <d v="2025-03-31T00:00:00"/>
    <n v="30"/>
    <s v="P233"/>
    <d v="2025-03-08T00:00:00"/>
    <s v="YES"/>
    <x v="2"/>
  </r>
  <r>
    <m/>
    <x v="229"/>
    <m/>
    <m/>
    <m/>
    <m/>
    <m/>
    <s v="YES"/>
    <x v="3"/>
  </r>
  <r>
    <s v="NewYearRefresh"/>
    <x v="230"/>
    <d v="2024-12-25T00:00:00"/>
    <d v="2025-01-10T00:00:00"/>
    <n v="16"/>
    <s v="P235"/>
    <d v="2024-12-22T00:00:00"/>
    <s v="NO"/>
    <x v="1"/>
  </r>
  <r>
    <s v="FestiveRadiance"/>
    <x v="231"/>
    <d v="2024-10-01T00:00:00"/>
    <d v="2024-10-31T00:00:00"/>
    <n v="30"/>
    <s v="P236"/>
    <d v="2024-08-19T00:00:00"/>
    <s v="NO"/>
    <x v="1"/>
  </r>
  <r>
    <s v="FestiveRadiance"/>
    <x v="231"/>
    <d v="2024-10-01T00:00:00"/>
    <d v="2024-10-31T00:00:00"/>
    <n v="30"/>
    <s v="P236"/>
    <d v="2024-08-19T00:00:00"/>
    <s v="NO"/>
    <x v="1"/>
  </r>
  <r>
    <s v="FestiveRadiance"/>
    <x v="231"/>
    <d v="2024-10-01T00:00:00"/>
    <d v="2024-10-31T00:00:00"/>
    <n v="30"/>
    <s v="P236"/>
    <d v="2024-08-19T00:00:00"/>
    <s v="NO"/>
    <x v="1"/>
  </r>
  <r>
    <s v="SummerSplash"/>
    <x v="232"/>
    <d v="2024-06-15T00:00:00"/>
    <d v="2024-07-15T00:00:00"/>
    <n v="30"/>
    <s v="P237"/>
    <d v="2024-10-22T00:00:00"/>
    <s v="NO"/>
    <x v="0"/>
  </r>
  <r>
    <s v="DailyWellness"/>
    <x v="233"/>
    <d v="2025-03-01T00:00:00"/>
    <d v="2025-03-31T00:00:00"/>
    <n v="30"/>
    <s v="P238"/>
    <d v="2024-07-16T00:00:00"/>
    <s v="NO"/>
    <x v="1"/>
  </r>
  <r>
    <m/>
    <x v="234"/>
    <m/>
    <m/>
    <m/>
    <m/>
    <m/>
    <s v="YES"/>
    <x v="3"/>
  </r>
  <r>
    <s v="NewYearRefresh"/>
    <x v="235"/>
    <d v="2024-12-25T00:00:00"/>
    <d v="2025-01-10T00:00:00"/>
    <n v="16"/>
    <s v="P240"/>
    <d v="2024-08-26T00:00:00"/>
    <s v="NO"/>
    <x v="1"/>
  </r>
  <r>
    <s v="NewYearRefresh"/>
    <x v="235"/>
    <d v="2024-12-25T00:00:00"/>
    <d v="2025-01-10T00:00:00"/>
    <n v="16"/>
    <s v="P240"/>
    <d v="2024-08-26T00:00:00"/>
    <s v="NO"/>
    <x v="1"/>
  </r>
  <r>
    <s v="NewYearRefresh"/>
    <x v="235"/>
    <d v="2024-12-25T00:00:00"/>
    <d v="2025-01-10T00:00:00"/>
    <n v="16"/>
    <s v="P240"/>
    <d v="2024-08-26T00:00:00"/>
    <s v="NO"/>
    <x v="1"/>
  </r>
  <r>
    <s v="DailyWellness"/>
    <x v="236"/>
    <d v="2025-03-01T00:00:00"/>
    <d v="2025-03-31T00:00:00"/>
    <n v="30"/>
    <s v="P241"/>
    <d v="2025-01-18T00:00:00"/>
    <s v="NO"/>
    <x v="1"/>
  </r>
  <r>
    <s v="NewYearRefresh"/>
    <x v="237"/>
    <d v="2024-12-25T00:00:00"/>
    <d v="2025-01-10T00:00:00"/>
    <n v="16"/>
    <s v="P242"/>
    <d v="2024-07-07T00:00:00"/>
    <s v="NO"/>
    <x v="1"/>
  </r>
  <r>
    <s v="DailyWellness"/>
    <x v="238"/>
    <d v="2025-03-01T00:00:00"/>
    <d v="2025-03-31T00:00:00"/>
    <n v="30"/>
    <s v="P243"/>
    <d v="2025-03-06T00:00:00"/>
    <s v="YES"/>
    <x v="2"/>
  </r>
  <r>
    <s v="NewYearRefresh"/>
    <x v="239"/>
    <d v="2024-12-25T00:00:00"/>
    <d v="2025-01-10T00:00:00"/>
    <n v="16"/>
    <s v="P244"/>
    <d v="2024-10-25T00:00:00"/>
    <s v="NO"/>
    <x v="1"/>
  </r>
  <r>
    <s v="SummerSplash"/>
    <x v="240"/>
    <d v="2024-06-15T00:00:00"/>
    <d v="2024-07-15T00:00:00"/>
    <n v="30"/>
    <s v="P245"/>
    <d v="2025-01-12T00:00:00"/>
    <s v="NO"/>
    <x v="0"/>
  </r>
  <r>
    <s v="FestiveRadiance"/>
    <x v="241"/>
    <d v="2024-10-01T00:00:00"/>
    <d v="2024-10-31T00:00:00"/>
    <n v="30"/>
    <s v="P246"/>
    <d v="2024-10-11T00:00:00"/>
    <s v="YES"/>
    <x v="2"/>
  </r>
  <r>
    <m/>
    <x v="242"/>
    <m/>
    <m/>
    <m/>
    <m/>
    <m/>
    <s v="YES"/>
    <x v="3"/>
  </r>
  <r>
    <m/>
    <x v="242"/>
    <m/>
    <m/>
    <m/>
    <m/>
    <m/>
    <s v="YES"/>
    <x v="3"/>
  </r>
  <r>
    <m/>
    <x v="242"/>
    <m/>
    <m/>
    <m/>
    <m/>
    <m/>
    <s v="YES"/>
    <x v="3"/>
  </r>
  <r>
    <m/>
    <x v="243"/>
    <m/>
    <m/>
    <m/>
    <m/>
    <m/>
    <s v="YES"/>
    <x v="3"/>
  </r>
  <r>
    <s v="FestiveRadiance"/>
    <x v="244"/>
    <d v="2024-10-01T00:00:00"/>
    <d v="2024-10-31T00:00:00"/>
    <n v="30"/>
    <s v="P249"/>
    <d v="2024-07-18T00:00:00"/>
    <s v="NO"/>
    <x v="1"/>
  </r>
  <r>
    <m/>
    <x v="16"/>
    <m/>
    <m/>
    <m/>
    <m/>
    <m/>
    <s v="YES"/>
    <x v="3"/>
  </r>
  <r>
    <m/>
    <x v="245"/>
    <m/>
    <m/>
    <m/>
    <m/>
    <m/>
    <s v="YES"/>
    <x v="3"/>
  </r>
  <r>
    <s v="NewYearRefresh"/>
    <x v="113"/>
    <d v="2024-12-25T00:00:00"/>
    <d v="2025-01-10T00:00:00"/>
    <n v="16"/>
    <s v="P252"/>
    <d v="2025-04-28T00:00:00"/>
    <s v="NO"/>
    <x v="0"/>
  </r>
  <r>
    <m/>
    <x v="246"/>
    <m/>
    <m/>
    <m/>
    <m/>
    <m/>
    <s v="YES"/>
    <x v="3"/>
  </r>
  <r>
    <s v="FestiveRadiance"/>
    <x v="247"/>
    <d v="2024-10-01T00:00:00"/>
    <d v="2024-10-31T00:00:00"/>
    <n v="30"/>
    <s v="P254"/>
    <d v="2025-01-14T00:00:00"/>
    <s v="NO"/>
    <x v="0"/>
  </r>
  <r>
    <s v="DailyWellness"/>
    <x v="248"/>
    <d v="2025-03-01T00:00:00"/>
    <d v="2025-03-31T00:00:00"/>
    <n v="30"/>
    <s v="P255"/>
    <d v="2025-04-03T00:00:00"/>
    <s v="NO"/>
    <x v="0"/>
  </r>
  <r>
    <s v="FestiveRadiance"/>
    <x v="249"/>
    <d v="2024-10-01T00:00:00"/>
    <d v="2024-10-31T00:00:00"/>
    <n v="30"/>
    <s v="P256"/>
    <d v="2024-09-18T00:00:00"/>
    <s v="NO"/>
    <x v="1"/>
  </r>
  <r>
    <s v="FestiveRadiance"/>
    <x v="250"/>
    <d v="2024-10-01T00:00:00"/>
    <d v="2024-10-31T00:00:00"/>
    <n v="30"/>
    <s v="P257"/>
    <d v="2025-04-06T00:00:00"/>
    <s v="NO"/>
    <x v="0"/>
  </r>
  <r>
    <s v="FestiveRadiance"/>
    <x v="250"/>
    <d v="2024-10-01T00:00:00"/>
    <d v="2024-10-31T00:00:00"/>
    <n v="30"/>
    <s v="P257"/>
    <d v="2025-04-06T00:00:00"/>
    <s v="NO"/>
    <x v="0"/>
  </r>
  <r>
    <s v="FestiveRadiance"/>
    <x v="250"/>
    <d v="2024-10-01T00:00:00"/>
    <d v="2024-10-31T00:00:00"/>
    <n v="30"/>
    <s v="P257"/>
    <d v="2025-04-06T00:00:00"/>
    <s v="NO"/>
    <x v="0"/>
  </r>
  <r>
    <s v="FestiveRadiance"/>
    <x v="251"/>
    <d v="2024-10-01T00:00:00"/>
    <d v="2024-10-31T00:00:00"/>
    <n v="30"/>
    <s v="P258"/>
    <d v="2024-08-05T00:00:00"/>
    <s v="NO"/>
    <x v="1"/>
  </r>
  <r>
    <s v="SummerSplash"/>
    <x v="252"/>
    <d v="2024-06-15T00:00:00"/>
    <d v="2024-07-15T00:00:00"/>
    <n v="30"/>
    <s v="P259"/>
    <d v="2025-02-10T00:00:00"/>
    <s v="NO"/>
    <x v="0"/>
  </r>
  <r>
    <s v="NewYearRefresh"/>
    <x v="253"/>
    <d v="2024-12-25T00:00:00"/>
    <d v="2025-01-10T00:00:00"/>
    <n v="16"/>
    <s v="P260"/>
    <d v="2025-02-12T00:00:00"/>
    <s v="NO"/>
    <x v="0"/>
  </r>
  <r>
    <s v="NewYearRefresh"/>
    <x v="253"/>
    <d v="2024-12-25T00:00:00"/>
    <d v="2025-01-10T00:00:00"/>
    <n v="16"/>
    <s v="P260"/>
    <d v="2025-02-12T00:00:00"/>
    <s v="NO"/>
    <x v="0"/>
  </r>
  <r>
    <s v="NewYearRefresh"/>
    <x v="253"/>
    <d v="2024-12-25T00:00:00"/>
    <d v="2025-01-10T00:00:00"/>
    <n v="16"/>
    <s v="P260"/>
    <d v="2025-02-12T00:00:00"/>
    <s v="NO"/>
    <x v="0"/>
  </r>
  <r>
    <s v="SummerSplash"/>
    <x v="254"/>
    <d v="2024-06-15T00:00:00"/>
    <d v="2024-07-15T00:00:00"/>
    <n v="30"/>
    <s v="P261"/>
    <d v="2024-10-27T00:00:00"/>
    <s v="NO"/>
    <x v="0"/>
  </r>
  <r>
    <m/>
    <x v="255"/>
    <m/>
    <m/>
    <m/>
    <m/>
    <m/>
    <s v="YES"/>
    <x v="3"/>
  </r>
  <r>
    <s v="FestiveRadiance"/>
    <x v="256"/>
    <d v="2024-10-01T00:00:00"/>
    <d v="2024-10-31T00:00:00"/>
    <n v="30"/>
    <s v="P263"/>
    <d v="2024-08-20T00:00:00"/>
    <s v="NO"/>
    <x v="1"/>
  </r>
  <r>
    <s v="FestiveRadiance"/>
    <x v="257"/>
    <d v="2024-10-01T00:00:00"/>
    <d v="2024-10-31T00:00:00"/>
    <n v="30"/>
    <s v="P264"/>
    <d v="2025-01-30T00:00:00"/>
    <s v="NO"/>
    <x v="0"/>
  </r>
  <r>
    <s v="DailyWellness"/>
    <x v="42"/>
    <d v="2025-03-01T00:00:00"/>
    <d v="2025-03-31T00:00:00"/>
    <n v="30"/>
    <s v="P265"/>
    <d v="2025-02-20T00:00:00"/>
    <s v="NO"/>
    <x v="1"/>
  </r>
  <r>
    <s v="NewYearRefresh"/>
    <x v="258"/>
    <d v="2024-12-25T00:00:00"/>
    <d v="2025-01-10T00:00:00"/>
    <n v="16"/>
    <s v="P266"/>
    <d v="2024-11-25T00:00:00"/>
    <s v="NO"/>
    <x v="1"/>
  </r>
  <r>
    <m/>
    <x v="259"/>
    <m/>
    <m/>
    <m/>
    <m/>
    <m/>
    <s v="YES"/>
    <x v="3"/>
  </r>
  <r>
    <s v="SummerSplash"/>
    <x v="260"/>
    <d v="2024-06-15T00:00:00"/>
    <d v="2024-07-15T00:00:00"/>
    <n v="30"/>
    <s v="P268"/>
    <d v="2025-04-13T00:00:00"/>
    <s v="NO"/>
    <x v="0"/>
  </r>
  <r>
    <s v="FestiveRadiance"/>
    <x v="261"/>
    <d v="2024-10-01T00:00:00"/>
    <d v="2024-10-31T00:00:00"/>
    <n v="30"/>
    <s v="P269"/>
    <d v="2024-11-05T00:00:00"/>
    <s v="NO"/>
    <x v="0"/>
  </r>
  <r>
    <s v="NewYearRefresh"/>
    <x v="262"/>
    <d v="2024-12-25T00:00:00"/>
    <d v="2025-01-10T00:00:00"/>
    <n v="16"/>
    <s v="P270"/>
    <d v="2025-01-15T00:00:00"/>
    <s v="NO"/>
    <x v="0"/>
  </r>
  <r>
    <s v="FestiveRadiance"/>
    <x v="263"/>
    <d v="2024-10-01T00:00:00"/>
    <d v="2024-10-31T00:00:00"/>
    <n v="30"/>
    <s v="P271"/>
    <d v="2024-10-17T00:00:00"/>
    <s v="YES"/>
    <x v="2"/>
  </r>
  <r>
    <s v="NewYearRefresh"/>
    <x v="264"/>
    <d v="2024-12-25T00:00:00"/>
    <d v="2025-01-10T00:00:00"/>
    <n v="16"/>
    <s v="P272"/>
    <d v="2025-03-27T00:00:00"/>
    <s v="NO"/>
    <x v="0"/>
  </r>
  <r>
    <s v="DailyWellness"/>
    <x v="265"/>
    <d v="2025-03-01T00:00:00"/>
    <d v="2025-03-31T00:00:00"/>
    <n v="30"/>
    <s v="P273"/>
    <d v="2024-10-12T00:00:00"/>
    <s v="NO"/>
    <x v="1"/>
  </r>
  <r>
    <s v="DailyWellness"/>
    <x v="266"/>
    <d v="2025-03-01T00:00:00"/>
    <d v="2025-03-31T00:00:00"/>
    <n v="30"/>
    <s v="P274"/>
    <d v="2025-01-01T00:00:00"/>
    <s v="NO"/>
    <x v="1"/>
  </r>
  <r>
    <s v="NewYearRefresh"/>
    <x v="267"/>
    <d v="2024-12-25T00:00:00"/>
    <d v="2025-01-10T00:00:00"/>
    <n v="16"/>
    <s v="P275"/>
    <d v="2024-08-05T00:00:00"/>
    <s v="NO"/>
    <x v="1"/>
  </r>
  <r>
    <s v="FestiveRadiance"/>
    <x v="268"/>
    <d v="2024-10-01T00:00:00"/>
    <d v="2024-10-31T00:00:00"/>
    <n v="30"/>
    <s v="P276"/>
    <d v="2024-06-07T00:00:00"/>
    <s v="NO"/>
    <x v="1"/>
  </r>
  <r>
    <s v="SummerSplash"/>
    <x v="269"/>
    <d v="2024-06-15T00:00:00"/>
    <d v="2024-07-15T00:00:00"/>
    <n v="30"/>
    <s v="P277"/>
    <d v="2025-04-06T00:00:00"/>
    <s v="NO"/>
    <x v="0"/>
  </r>
  <r>
    <s v="DailyWellness"/>
    <x v="270"/>
    <d v="2025-03-01T00:00:00"/>
    <d v="2025-03-31T00:00:00"/>
    <n v="30"/>
    <s v="P278"/>
    <d v="2024-11-26T00:00:00"/>
    <s v="NO"/>
    <x v="1"/>
  </r>
  <r>
    <s v="FestiveRadiance"/>
    <x v="271"/>
    <d v="2024-10-01T00:00:00"/>
    <d v="2024-10-31T00:00:00"/>
    <n v="30"/>
    <s v="P279"/>
    <d v="2024-09-02T00:00:00"/>
    <s v="NO"/>
    <x v="1"/>
  </r>
  <r>
    <s v="DailyWellness"/>
    <x v="272"/>
    <d v="2025-03-01T00:00:00"/>
    <d v="2025-03-31T00:00:00"/>
    <n v="30"/>
    <s v="P280"/>
    <d v="2024-10-21T00:00:00"/>
    <s v="NO"/>
    <x v="1"/>
  </r>
  <r>
    <s v="DailyWellness"/>
    <x v="272"/>
    <d v="2025-03-01T00:00:00"/>
    <d v="2025-03-31T00:00:00"/>
    <n v="30"/>
    <s v="P280"/>
    <d v="2024-10-21T00:00:00"/>
    <s v="NO"/>
    <x v="1"/>
  </r>
  <r>
    <s v="DailyWellness"/>
    <x v="272"/>
    <d v="2025-03-01T00:00:00"/>
    <d v="2025-03-31T00:00:00"/>
    <n v="30"/>
    <s v="P280"/>
    <d v="2024-10-21T00:00:00"/>
    <s v="NO"/>
    <x v="1"/>
  </r>
  <r>
    <s v="FestiveRadiance"/>
    <x v="273"/>
    <d v="2024-10-01T00:00:00"/>
    <d v="2024-10-31T00:00:00"/>
    <n v="30"/>
    <s v="P281"/>
    <d v="2025-03-22T00:00:00"/>
    <s v="NO"/>
    <x v="0"/>
  </r>
  <r>
    <s v="NewYearRefresh"/>
    <x v="274"/>
    <d v="2024-12-25T00:00:00"/>
    <d v="2025-01-10T00:00:00"/>
    <n v="16"/>
    <s v="P282"/>
    <d v="2024-10-03T00:00:00"/>
    <s v="NO"/>
    <x v="1"/>
  </r>
  <r>
    <s v="FestiveRadiance"/>
    <x v="275"/>
    <d v="2024-10-01T00:00:00"/>
    <d v="2024-10-31T00:00:00"/>
    <n v="30"/>
    <s v="P283"/>
    <d v="2025-05-09T00:00:00"/>
    <s v="NO"/>
    <x v="0"/>
  </r>
  <r>
    <s v="DailyWellness"/>
    <x v="276"/>
    <d v="2025-03-01T00:00:00"/>
    <d v="2025-03-31T00:00:00"/>
    <n v="30"/>
    <s v="P284"/>
    <d v="2024-09-17T00:00:00"/>
    <s v="NO"/>
    <x v="1"/>
  </r>
  <r>
    <m/>
    <x v="277"/>
    <m/>
    <m/>
    <m/>
    <m/>
    <m/>
    <s v="YES"/>
    <x v="3"/>
  </r>
  <r>
    <s v="NewYearRefresh"/>
    <x v="278"/>
    <d v="2024-12-25T00:00:00"/>
    <d v="2025-01-10T00:00:00"/>
    <n v="16"/>
    <s v="P286"/>
    <d v="2024-09-25T00:00:00"/>
    <s v="NO"/>
    <x v="1"/>
  </r>
  <r>
    <s v="SummerSplash"/>
    <x v="279"/>
    <d v="2024-06-15T00:00:00"/>
    <d v="2024-07-15T00:00:00"/>
    <n v="30"/>
    <s v="P287"/>
    <d v="2024-08-15T00:00:00"/>
    <s v="NO"/>
    <x v="0"/>
  </r>
  <r>
    <s v="NewYearRefresh"/>
    <x v="280"/>
    <d v="2024-12-25T00:00:00"/>
    <d v="2025-01-10T00:00:00"/>
    <n v="16"/>
    <s v="P288"/>
    <d v="2025-04-17T00:00:00"/>
    <s v="NO"/>
    <x v="0"/>
  </r>
  <r>
    <m/>
    <x v="281"/>
    <m/>
    <m/>
    <m/>
    <m/>
    <m/>
    <s v="YES"/>
    <x v="3"/>
  </r>
  <r>
    <s v="DailyWellness"/>
    <x v="282"/>
    <d v="2025-03-01T00:00:00"/>
    <d v="2025-03-31T00:00:00"/>
    <n v="30"/>
    <s v="P290"/>
    <d v="2024-12-20T00:00:00"/>
    <s v="NO"/>
    <x v="1"/>
  </r>
  <r>
    <s v="DailyWellness"/>
    <x v="283"/>
    <d v="2025-03-01T00:00:00"/>
    <d v="2025-03-31T00:00:00"/>
    <n v="30"/>
    <s v="P291"/>
    <d v="2024-11-06T00:00:00"/>
    <s v="NO"/>
    <x v="1"/>
  </r>
  <r>
    <m/>
    <x v="284"/>
    <m/>
    <m/>
    <m/>
    <m/>
    <m/>
    <s v="YES"/>
    <x v="3"/>
  </r>
  <r>
    <m/>
    <x v="284"/>
    <m/>
    <m/>
    <m/>
    <m/>
    <m/>
    <s v="YES"/>
    <x v="3"/>
  </r>
  <r>
    <s v="SummerSplash"/>
    <x v="285"/>
    <d v="2024-06-15T00:00:00"/>
    <d v="2024-07-15T00:00:00"/>
    <n v="30"/>
    <s v="P293"/>
    <d v="2025-05-14T00:00:00"/>
    <s v="NO"/>
    <x v="0"/>
  </r>
  <r>
    <s v="NewYearRefresh"/>
    <x v="286"/>
    <d v="2024-12-25T00:00:00"/>
    <d v="2025-01-10T00:00:00"/>
    <n v="16"/>
    <s v="P294"/>
    <d v="2024-06-19T00:00:00"/>
    <s v="NO"/>
    <x v="1"/>
  </r>
  <r>
    <s v="FestiveRadiance"/>
    <x v="287"/>
    <d v="2024-10-01T00:00:00"/>
    <d v="2024-10-31T00:00:00"/>
    <n v="30"/>
    <s v="P295"/>
    <d v="2025-05-06T00:00:00"/>
    <s v="NO"/>
    <x v="0"/>
  </r>
  <r>
    <s v="FestiveRadiance"/>
    <x v="287"/>
    <d v="2024-10-01T00:00:00"/>
    <d v="2024-10-31T00:00:00"/>
    <n v="30"/>
    <s v="P295"/>
    <d v="2025-05-06T00:00:00"/>
    <s v="NO"/>
    <x v="0"/>
  </r>
  <r>
    <s v="FestiveRadiance"/>
    <x v="287"/>
    <d v="2024-10-01T00:00:00"/>
    <d v="2024-10-31T00:00:00"/>
    <n v="30"/>
    <s v="P295"/>
    <d v="2025-05-06T00:00:00"/>
    <s v="NO"/>
    <x v="0"/>
  </r>
  <r>
    <s v="DailyWellness"/>
    <x v="288"/>
    <d v="2025-03-01T00:00:00"/>
    <d v="2025-03-31T00:00:00"/>
    <n v="30"/>
    <s v="P296"/>
    <d v="2025-02-11T00:00:00"/>
    <s v="NO"/>
    <x v="1"/>
  </r>
  <r>
    <s v="DailyWellness"/>
    <x v="288"/>
    <d v="2025-03-01T00:00:00"/>
    <d v="2025-03-31T00:00:00"/>
    <n v="30"/>
    <s v="P296"/>
    <d v="2025-02-11T00:00:00"/>
    <s v="NO"/>
    <x v="1"/>
  </r>
  <r>
    <s v="DailyWellness"/>
    <x v="289"/>
    <d v="2025-03-01T00:00:00"/>
    <d v="2025-03-31T00:00:00"/>
    <n v="30"/>
    <s v="P297"/>
    <d v="2024-12-24T00:00:00"/>
    <s v="NO"/>
    <x v="1"/>
  </r>
  <r>
    <s v="NewYearRefresh"/>
    <x v="290"/>
    <d v="2024-12-25T00:00:00"/>
    <d v="2025-01-10T00:00:00"/>
    <n v="16"/>
    <s v="P298"/>
    <d v="2024-10-24T00:00:00"/>
    <s v="NO"/>
    <x v="1"/>
  </r>
  <r>
    <s v="NewYearRefresh"/>
    <x v="291"/>
    <d v="2024-12-25T00:00:00"/>
    <d v="2025-01-10T00:00:00"/>
    <n v="16"/>
    <s v="P299"/>
    <d v="2024-08-26T00:00:00"/>
    <s v="NO"/>
    <x v="1"/>
  </r>
  <r>
    <s v="SummerSplash"/>
    <x v="292"/>
    <d v="2024-06-15T00:00:00"/>
    <d v="2024-07-15T00:00:00"/>
    <n v="30"/>
    <s v="P300"/>
    <d v="2024-08-31T00:00:00"/>
    <s v="NO"/>
    <x v="0"/>
  </r>
  <r>
    <s v="SummerSplash"/>
    <x v="292"/>
    <d v="2024-06-15T00:00:00"/>
    <d v="2024-07-15T00:00:00"/>
    <n v="30"/>
    <s v="P300"/>
    <d v="2024-08-31T00:00:00"/>
    <s v="NO"/>
    <x v="0"/>
  </r>
  <r>
    <s v="SummerSplash"/>
    <x v="292"/>
    <d v="2024-06-15T00:00:00"/>
    <d v="2024-07-15T00:00:00"/>
    <n v="30"/>
    <s v="P300"/>
    <d v="2024-08-31T00:00:00"/>
    <s v="NO"/>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4.9800000000000004E-2"/>
    <x v="0"/>
    <n v="9566"/>
  </r>
  <r>
    <d v="2024-06-10T00:00:00"/>
    <x v="0"/>
    <n v="2.3700000000000002E-2"/>
    <x v="0"/>
    <n v="7924"/>
  </r>
  <r>
    <d v="2024-06-17T00:00:00"/>
    <x v="0"/>
    <n v="8.1099999999999992E-2"/>
    <x v="0"/>
    <n v="46670"/>
  </r>
  <r>
    <d v="2024-06-24T00:00:00"/>
    <x v="0"/>
    <n v="9.1199999999999989E-2"/>
    <x v="0"/>
    <n v="30635"/>
  </r>
  <r>
    <d v="2024-07-01T00:00:00"/>
    <x v="0"/>
    <n v="4.4800000000000006E-2"/>
    <x v="0"/>
    <n v="42307"/>
  </r>
  <r>
    <d v="2024-07-08T00:00:00"/>
    <x v="0"/>
    <n v="1.9099999999999999E-2"/>
    <x v="0"/>
    <n v="38610"/>
  </r>
  <r>
    <d v="2024-07-15T00:00:00"/>
    <x v="0"/>
    <n v="6.4399999999999999E-2"/>
    <x v="0"/>
    <n v="43420"/>
  </r>
  <r>
    <d v="2024-07-22T00:00:00"/>
    <x v="0"/>
    <n v="7.8600000000000003E-2"/>
    <x v="0"/>
    <n v="26067"/>
  </r>
  <r>
    <d v="2024-07-29T00:00:00"/>
    <x v="0"/>
    <n v="7.7300000000000008E-2"/>
    <x v="0"/>
    <n v="4839"/>
  </r>
  <r>
    <d v="2024-08-05T00:00:00"/>
    <x v="0"/>
    <n v="6.1100000000000002E-2"/>
    <x v="0"/>
    <n v="26455"/>
  </r>
  <r>
    <d v="2024-08-12T00:00:00"/>
    <x v="0"/>
    <n v="6.0100000000000001E-2"/>
    <x v="0"/>
    <n v="37903"/>
  </r>
  <r>
    <d v="2024-08-19T00:00:00"/>
    <x v="0"/>
    <n v="8.8399999999999992E-2"/>
    <x v="0"/>
    <n v="14203"/>
  </r>
  <r>
    <d v="2024-08-26T00:00:00"/>
    <x v="0"/>
    <n v="9.0399999999999994E-2"/>
    <x v="0"/>
    <n v="26925"/>
  </r>
  <r>
    <d v="2024-09-02T00:00:00"/>
    <x v="0"/>
    <n v="6.4100000000000004E-2"/>
    <x v="0"/>
    <n v="24384"/>
  </r>
  <r>
    <d v="2024-09-09T00:00:00"/>
    <x v="0"/>
    <n v="1.7600000000000001E-2"/>
    <x v="0"/>
    <n v="40478"/>
  </r>
  <r>
    <d v="2024-09-16T00:00:00"/>
    <x v="0"/>
    <n v="9.1999999999999998E-2"/>
    <x v="0"/>
    <n v="47462"/>
  </r>
  <r>
    <d v="2024-09-23T00:00:00"/>
    <x v="0"/>
    <n v="7.3599999999999999E-2"/>
    <x v="0"/>
    <n v="11901"/>
  </r>
  <r>
    <d v="2024-09-30T00:00:00"/>
    <x v="0"/>
    <n v="1.77E-2"/>
    <x v="0"/>
    <n v="2315"/>
  </r>
  <r>
    <d v="2024-10-07T00:00:00"/>
    <x v="0"/>
    <n v="1.7500000000000002E-2"/>
    <x v="0"/>
    <n v="43836"/>
  </r>
  <r>
    <d v="2024-10-14T00:00:00"/>
    <x v="0"/>
    <n v="3.8800000000000001E-2"/>
    <x v="0"/>
    <n v="7285"/>
  </r>
  <r>
    <d v="2024-10-21T00:00:00"/>
    <x v="0"/>
    <n v="3.1600000000000003E-2"/>
    <x v="0"/>
    <n v="42824"/>
  </r>
  <r>
    <d v="2024-10-28T00:00:00"/>
    <x v="0"/>
    <n v="4.4600000000000001E-2"/>
    <x v="0"/>
    <n v="30214"/>
  </r>
  <r>
    <d v="2024-11-04T00:00:00"/>
    <x v="0"/>
    <n v="3.32E-2"/>
    <x v="0"/>
    <n v="4996"/>
  </r>
  <r>
    <d v="2024-11-11T00:00:00"/>
    <x v="0"/>
    <n v="8.6999999999999994E-2"/>
    <x v="0"/>
    <n v="38452"/>
  </r>
  <r>
    <d v="2024-11-18T00:00:00"/>
    <x v="0"/>
    <n v="2.6800000000000001E-2"/>
    <x v="0"/>
    <n v="39997"/>
  </r>
  <r>
    <d v="2024-11-25T00:00:00"/>
    <x v="0"/>
    <n v="6.2E-2"/>
    <x v="0"/>
    <n v="28498"/>
  </r>
  <r>
    <d v="2024-12-02T00:00:00"/>
    <x v="0"/>
    <n v="4.7899999999999998E-2"/>
    <x v="0"/>
    <n v="26103"/>
  </r>
  <r>
    <d v="2024-12-09T00:00:00"/>
    <x v="0"/>
    <n v="7.4700000000000003E-2"/>
    <x v="0"/>
    <n v="18601"/>
  </r>
  <r>
    <d v="2024-12-16T00:00:00"/>
    <x v="0"/>
    <n v="8.1099999999999992E-2"/>
    <x v="0"/>
    <n v="18656"/>
  </r>
  <r>
    <d v="2024-12-23T00:00:00"/>
    <x v="0"/>
    <n v="2.0199999999999999E-2"/>
    <x v="0"/>
    <n v="47502"/>
  </r>
  <r>
    <d v="2024-12-30T00:00:00"/>
    <x v="0"/>
    <n v="3.0899999999999997E-2"/>
    <x v="0"/>
    <n v="25140"/>
  </r>
  <r>
    <d v="2025-01-06T00:00:00"/>
    <x v="0"/>
    <n v="8.199999999999999E-2"/>
    <x v="1"/>
    <n v="17951"/>
  </r>
  <r>
    <d v="2025-01-13T00:00:00"/>
    <x v="0"/>
    <n v="5.6100000000000004E-2"/>
    <x v="1"/>
    <n v="45708"/>
  </r>
  <r>
    <d v="2025-01-20T00:00:00"/>
    <x v="0"/>
    <n v="4.5100000000000001E-2"/>
    <x v="1"/>
    <n v="23853"/>
  </r>
  <r>
    <d v="2025-01-27T00:00:00"/>
    <x v="0"/>
    <n v="6.3700000000000007E-2"/>
    <x v="1"/>
    <n v="20560"/>
  </r>
  <r>
    <d v="2025-02-03T00:00:00"/>
    <x v="0"/>
    <n v="8.6999999999999994E-2"/>
    <x v="1"/>
    <n v="40323"/>
  </r>
  <r>
    <d v="2025-02-10T00:00:00"/>
    <x v="0"/>
    <n v="8.0299999999999996E-2"/>
    <x v="1"/>
    <n v="23489"/>
  </r>
  <r>
    <d v="2025-02-17T00:00:00"/>
    <x v="0"/>
    <n v="3.85E-2"/>
    <x v="1"/>
    <n v="31853"/>
  </r>
  <r>
    <d v="2025-02-24T00:00:00"/>
    <x v="0"/>
    <n v="7.8E-2"/>
    <x v="1"/>
    <n v="22713"/>
  </r>
  <r>
    <d v="2025-03-03T00:00:00"/>
    <x v="0"/>
    <n v="4.5499999999999999E-2"/>
    <x v="1"/>
    <n v="20553"/>
  </r>
  <r>
    <d v="2025-03-10T00:00:00"/>
    <x v="0"/>
    <n v="9.3900000000000011E-2"/>
    <x v="1"/>
    <n v="21539"/>
  </r>
  <r>
    <d v="2025-03-17T00:00:00"/>
    <x v="0"/>
    <n v="4.9400000000000006E-2"/>
    <x v="1"/>
    <n v="29116"/>
  </r>
  <r>
    <d v="2025-03-24T00:00:00"/>
    <x v="0"/>
    <n v="8.5199999999999998E-2"/>
    <x v="1"/>
    <n v="21453"/>
  </r>
  <r>
    <d v="2025-03-31T00:00:00"/>
    <x v="0"/>
    <n v="9.4600000000000004E-2"/>
    <x v="1"/>
    <n v="23461"/>
  </r>
  <r>
    <d v="2025-04-07T00:00:00"/>
    <x v="0"/>
    <n v="2.4900000000000002E-2"/>
    <x v="1"/>
    <n v="47603"/>
  </r>
  <r>
    <d v="2025-04-14T00:00:00"/>
    <x v="0"/>
    <n v="4.8300000000000003E-2"/>
    <x v="1"/>
    <n v="25920"/>
  </r>
  <r>
    <d v="2025-04-21T00:00:00"/>
    <x v="0"/>
    <n v="2.6000000000000002E-2"/>
    <x v="1"/>
    <n v="7875"/>
  </r>
  <r>
    <d v="2025-04-28T00:00:00"/>
    <x v="0"/>
    <n v="3.8599999999999995E-2"/>
    <x v="1"/>
    <n v="3582"/>
  </r>
  <r>
    <d v="2025-05-05T00:00:00"/>
    <x v="0"/>
    <n v="5.5899999999999998E-2"/>
    <x v="1"/>
    <n v="48419"/>
  </r>
  <r>
    <d v="2025-05-12T00:00:00"/>
    <x v="0"/>
    <n v="0.04"/>
    <x v="1"/>
    <n v="49400"/>
  </r>
  <r>
    <d v="2024-06-03T00:00:00"/>
    <x v="1"/>
    <n v="8.0600000000000005E-2"/>
    <x v="0"/>
    <n v="5904"/>
  </r>
  <r>
    <d v="2024-06-10T00:00:00"/>
    <x v="1"/>
    <n v="9.0500000000000011E-2"/>
    <x v="0"/>
    <n v="9920"/>
  </r>
  <r>
    <d v="2024-06-17T00:00:00"/>
    <x v="1"/>
    <n v="2.46E-2"/>
    <x v="0"/>
    <n v="11329"/>
  </r>
  <r>
    <d v="2024-06-24T00:00:00"/>
    <x v="1"/>
    <n v="6.9199999999999998E-2"/>
    <x v="0"/>
    <n v="18050"/>
  </r>
  <r>
    <d v="2024-07-01T00:00:00"/>
    <x v="1"/>
    <n v="9.3599999999999989E-2"/>
    <x v="0"/>
    <n v="9566"/>
  </r>
  <r>
    <d v="2024-07-08T00:00:00"/>
    <x v="1"/>
    <n v="8.7400000000000005E-2"/>
    <x v="0"/>
    <n v="22728"/>
  </r>
  <r>
    <d v="2024-07-15T00:00:00"/>
    <x v="1"/>
    <n v="3.7400000000000003E-2"/>
    <x v="0"/>
    <n v="10740"/>
  </r>
  <r>
    <d v="2024-07-22T00:00:00"/>
    <x v="1"/>
    <n v="7.8799999999999995E-2"/>
    <x v="0"/>
    <n v="17328"/>
  </r>
  <r>
    <d v="2024-07-29T00:00:00"/>
    <x v="1"/>
    <n v="4.0500000000000001E-2"/>
    <x v="0"/>
    <n v="15353"/>
  </r>
  <r>
    <d v="2024-08-05T00:00:00"/>
    <x v="1"/>
    <n v="7.8299999999999995E-2"/>
    <x v="0"/>
    <n v="49303"/>
  </r>
  <r>
    <d v="2024-08-12T00:00:00"/>
    <x v="1"/>
    <n v="6.2300000000000001E-2"/>
    <x v="0"/>
    <n v="47101"/>
  </r>
  <r>
    <d v="2024-08-19T00:00:00"/>
    <x v="1"/>
    <n v="3.2500000000000001E-2"/>
    <x v="0"/>
    <n v="35501"/>
  </r>
  <r>
    <d v="2024-08-26T00:00:00"/>
    <x v="1"/>
    <n v="5.7099999999999998E-2"/>
    <x v="0"/>
    <n v="24913"/>
  </r>
  <r>
    <d v="2024-09-02T00:00:00"/>
    <x v="1"/>
    <n v="7.1599999999999997E-2"/>
    <x v="0"/>
    <n v="37829"/>
  </r>
  <r>
    <d v="2024-09-09T00:00:00"/>
    <x v="1"/>
    <n v="9.0899999999999995E-2"/>
    <x v="0"/>
    <n v="26663"/>
  </r>
  <r>
    <d v="2024-09-16T00:00:00"/>
    <x v="1"/>
    <n v="3.4000000000000002E-2"/>
    <x v="0"/>
    <n v="21939"/>
  </r>
  <r>
    <d v="2024-09-23T00:00:00"/>
    <x v="1"/>
    <n v="2.3599999999999999E-2"/>
    <x v="0"/>
    <n v="1083"/>
  </r>
  <r>
    <d v="2024-09-30T00:00:00"/>
    <x v="1"/>
    <n v="3.3000000000000002E-2"/>
    <x v="0"/>
    <n v="30575"/>
  </r>
  <r>
    <d v="2024-10-07T00:00:00"/>
    <x v="1"/>
    <n v="6.25E-2"/>
    <x v="0"/>
    <n v="41215"/>
  </r>
  <r>
    <d v="2024-10-14T00:00:00"/>
    <x v="1"/>
    <n v="8.900000000000001E-2"/>
    <x v="0"/>
    <n v="36397"/>
  </r>
  <r>
    <d v="2024-10-21T00:00:00"/>
    <x v="1"/>
    <n v="6.5000000000000002E-2"/>
    <x v="0"/>
    <n v="32478"/>
  </r>
  <r>
    <d v="2024-10-28T00:00:00"/>
    <x v="1"/>
    <n v="5.8499999999999996E-2"/>
    <x v="0"/>
    <n v="13116"/>
  </r>
  <r>
    <d v="2024-11-04T00:00:00"/>
    <x v="1"/>
    <n v="6.8499999999999991E-2"/>
    <x v="0"/>
    <n v="36484"/>
  </r>
  <r>
    <d v="2024-11-11T00:00:00"/>
    <x v="1"/>
    <n v="4.6600000000000003E-2"/>
    <x v="0"/>
    <n v="47812"/>
  </r>
  <r>
    <d v="2024-11-18T00:00:00"/>
    <x v="1"/>
    <n v="9.4100000000000003E-2"/>
    <x v="0"/>
    <n v="29533"/>
  </r>
  <r>
    <d v="2024-11-25T00:00:00"/>
    <x v="1"/>
    <n v="5.1699999999999996E-2"/>
    <x v="0"/>
    <n v="1810"/>
  </r>
  <r>
    <d v="2024-12-02T00:00:00"/>
    <x v="1"/>
    <n v="3.7900000000000003E-2"/>
    <x v="0"/>
    <n v="36103"/>
  </r>
  <r>
    <d v="2024-12-09T00:00:00"/>
    <x v="1"/>
    <n v="1.8100000000000002E-2"/>
    <x v="0"/>
    <n v="22724"/>
  </r>
  <r>
    <d v="2024-12-16T00:00:00"/>
    <x v="1"/>
    <n v="3.32E-2"/>
    <x v="0"/>
    <n v="20692"/>
  </r>
  <r>
    <d v="2024-12-23T00:00:00"/>
    <x v="1"/>
    <n v="8.4399999999999989E-2"/>
    <x v="0"/>
    <n v="4683"/>
  </r>
  <r>
    <d v="2024-12-30T00:00:00"/>
    <x v="1"/>
    <n v="1.7600000000000001E-2"/>
    <x v="0"/>
    <n v="4313"/>
  </r>
  <r>
    <d v="2025-01-06T00:00:00"/>
    <x v="1"/>
    <n v="5.2999999999999999E-2"/>
    <x v="1"/>
    <n v="37132"/>
  </r>
  <r>
    <d v="2025-01-13T00:00:00"/>
    <x v="1"/>
    <n v="3.3000000000000002E-2"/>
    <x v="1"/>
    <n v="14548"/>
  </r>
  <r>
    <d v="2025-01-20T00:00:00"/>
    <x v="1"/>
    <n v="9.2399999999999996E-2"/>
    <x v="1"/>
    <n v="43122"/>
  </r>
  <r>
    <d v="2025-01-27T00:00:00"/>
    <x v="1"/>
    <n v="9.2300000000000007E-2"/>
    <x v="1"/>
    <n v="25525"/>
  </r>
  <r>
    <d v="2025-02-03T00:00:00"/>
    <x v="1"/>
    <n v="3.8900000000000004E-2"/>
    <x v="1"/>
    <n v="10825"/>
  </r>
  <r>
    <d v="2025-02-10T00:00:00"/>
    <x v="1"/>
    <n v="4.6100000000000002E-2"/>
    <x v="1"/>
    <n v="3314"/>
  </r>
  <r>
    <d v="2025-02-17T00:00:00"/>
    <x v="1"/>
    <n v="2.86E-2"/>
    <x v="1"/>
    <n v="44097"/>
  </r>
  <r>
    <d v="2025-02-24T00:00:00"/>
    <x v="1"/>
    <n v="4.3400000000000001E-2"/>
    <x v="1"/>
    <n v="49772"/>
  </r>
  <r>
    <d v="2025-03-03T00:00:00"/>
    <x v="1"/>
    <n v="8.6199999999999999E-2"/>
    <x v="1"/>
    <n v="33799"/>
  </r>
  <r>
    <d v="2025-03-10T00:00:00"/>
    <x v="1"/>
    <n v="7.2300000000000003E-2"/>
    <x v="1"/>
    <n v="6296"/>
  </r>
  <r>
    <d v="2025-03-17T00:00:00"/>
    <x v="1"/>
    <n v="7.7399999999999997E-2"/>
    <x v="1"/>
    <n v="9480"/>
  </r>
  <r>
    <d v="2025-03-24T00:00:00"/>
    <x v="1"/>
    <n v="1.5300000000000001E-2"/>
    <x v="1"/>
    <n v="49077"/>
  </r>
  <r>
    <d v="2025-03-31T00:00:00"/>
    <x v="1"/>
    <n v="6.2699999999999992E-2"/>
    <x v="1"/>
    <n v="23140"/>
  </r>
  <r>
    <d v="2025-04-07T00:00:00"/>
    <x v="1"/>
    <n v="3.1899999999999998E-2"/>
    <x v="1"/>
    <n v="2436"/>
  </r>
  <r>
    <d v="2025-04-14T00:00:00"/>
    <x v="1"/>
    <n v="6.7299999999999999E-2"/>
    <x v="1"/>
    <n v="2293"/>
  </r>
  <r>
    <d v="2025-04-21T00:00:00"/>
    <x v="1"/>
    <n v="6.8000000000000005E-2"/>
    <x v="1"/>
    <n v="18693"/>
  </r>
  <r>
    <d v="2025-04-28T00:00:00"/>
    <x v="1"/>
    <n v="5.6900000000000006E-2"/>
    <x v="1"/>
    <n v="14216"/>
  </r>
  <r>
    <d v="2025-05-05T00:00:00"/>
    <x v="1"/>
    <n v="6.0899999999999996E-2"/>
    <x v="1"/>
    <n v="33381"/>
  </r>
  <r>
    <d v="2025-05-12T00:00:00"/>
    <x v="1"/>
    <n v="1.8200000000000001E-2"/>
    <x v="1"/>
    <n v="20042"/>
  </r>
  <r>
    <d v="2024-06-03T00:00:00"/>
    <x v="2"/>
    <n v="8.3100000000000007E-2"/>
    <x v="0"/>
    <n v="26752"/>
  </r>
  <r>
    <d v="2024-06-10T00:00:00"/>
    <x v="2"/>
    <n v="4.0099999999999997E-2"/>
    <x v="0"/>
    <n v="8912"/>
  </r>
  <r>
    <d v="2024-06-17T00:00:00"/>
    <x v="2"/>
    <n v="8.1900000000000001E-2"/>
    <x v="0"/>
    <n v="22482"/>
  </r>
  <r>
    <d v="2024-06-24T00:00:00"/>
    <x v="2"/>
    <n v="3.5000000000000003E-2"/>
    <x v="0"/>
    <n v="31280"/>
  </r>
  <r>
    <d v="2024-07-01T00:00:00"/>
    <x v="2"/>
    <n v="6.1900000000000004E-2"/>
    <x v="0"/>
    <n v="5914"/>
  </r>
  <r>
    <d v="2024-07-08T00:00:00"/>
    <x v="2"/>
    <n v="4.6600000000000003E-2"/>
    <x v="0"/>
    <n v="2932"/>
  </r>
  <r>
    <d v="2024-07-15T00:00:00"/>
    <x v="2"/>
    <n v="8.5600000000000009E-2"/>
    <x v="0"/>
    <n v="32393"/>
  </r>
  <r>
    <d v="2024-07-22T00:00:00"/>
    <x v="2"/>
    <n v="5.3399999999999996E-2"/>
    <x v="0"/>
    <n v="32763"/>
  </r>
  <r>
    <d v="2024-07-29T00:00:00"/>
    <x v="2"/>
    <n v="4.36E-2"/>
    <x v="0"/>
    <n v="39272"/>
  </r>
  <r>
    <d v="2024-08-05T00:00:00"/>
    <x v="2"/>
    <n v="9.4299999999999995E-2"/>
    <x v="0"/>
    <n v="12384"/>
  </r>
  <r>
    <d v="2024-08-12T00:00:00"/>
    <x v="2"/>
    <n v="8.5500000000000007E-2"/>
    <x v="0"/>
    <n v="33258"/>
  </r>
  <r>
    <d v="2024-08-19T00:00:00"/>
    <x v="2"/>
    <n v="7.2400000000000006E-2"/>
    <x v="0"/>
    <n v="22206"/>
  </r>
  <r>
    <d v="2024-08-26T00:00:00"/>
    <x v="2"/>
    <n v="3.9100000000000003E-2"/>
    <x v="0"/>
    <n v="9942"/>
  </r>
  <r>
    <d v="2024-09-02T00:00:00"/>
    <x v="2"/>
    <n v="8.0199999999999994E-2"/>
    <x v="0"/>
    <n v="25797"/>
  </r>
  <r>
    <d v="2024-09-09T00:00:00"/>
    <x v="2"/>
    <n v="9.2399999999999996E-2"/>
    <x v="0"/>
    <n v="15476"/>
  </r>
  <r>
    <d v="2024-09-16T00:00:00"/>
    <x v="2"/>
    <n v="8.5900000000000004E-2"/>
    <x v="0"/>
    <n v="30270"/>
  </r>
  <r>
    <d v="2024-09-23T00:00:00"/>
    <x v="2"/>
    <n v="8.5500000000000007E-2"/>
    <x v="0"/>
    <n v="24018"/>
  </r>
  <r>
    <d v="2024-09-30T00:00:00"/>
    <x v="2"/>
    <n v="2.0899999999999998E-2"/>
    <x v="0"/>
    <n v="12148"/>
  </r>
  <r>
    <d v="2024-10-07T00:00:00"/>
    <x v="2"/>
    <n v="4.9699999999999994E-2"/>
    <x v="0"/>
    <n v="4509"/>
  </r>
  <r>
    <d v="2024-10-14T00:00:00"/>
    <x v="2"/>
    <n v="5.9000000000000004E-2"/>
    <x v="0"/>
    <n v="33174"/>
  </r>
  <r>
    <d v="2024-10-21T00:00:00"/>
    <x v="2"/>
    <n v="8.2500000000000004E-2"/>
    <x v="0"/>
    <n v="21208"/>
  </r>
  <r>
    <d v="2024-10-28T00:00:00"/>
    <x v="2"/>
    <n v="5.2199999999999996E-2"/>
    <x v="0"/>
    <n v="15827"/>
  </r>
  <r>
    <d v="2024-11-04T00:00:00"/>
    <x v="2"/>
    <n v="5.6799999999999996E-2"/>
    <x v="0"/>
    <n v="36095"/>
  </r>
  <r>
    <d v="2024-11-11T00:00:00"/>
    <x v="2"/>
    <n v="2.46E-2"/>
    <x v="0"/>
    <n v="30428"/>
  </r>
  <r>
    <d v="2024-11-18T00:00:00"/>
    <x v="2"/>
    <n v="7.3200000000000001E-2"/>
    <x v="0"/>
    <n v="5391"/>
  </r>
  <r>
    <d v="2024-11-25T00:00:00"/>
    <x v="2"/>
    <n v="2.69E-2"/>
    <x v="0"/>
    <n v="39530"/>
  </r>
  <r>
    <d v="2024-12-02T00:00:00"/>
    <x v="2"/>
    <n v="6.3700000000000007E-2"/>
    <x v="0"/>
    <n v="3455"/>
  </r>
  <r>
    <d v="2024-12-09T00:00:00"/>
    <x v="2"/>
    <n v="4.2000000000000003E-2"/>
    <x v="0"/>
    <n v="20861"/>
  </r>
  <r>
    <d v="2024-12-16T00:00:00"/>
    <x v="2"/>
    <n v="6.6600000000000006E-2"/>
    <x v="0"/>
    <n v="13316"/>
  </r>
  <r>
    <d v="2024-12-23T00:00:00"/>
    <x v="2"/>
    <n v="7.7399999999999997E-2"/>
    <x v="0"/>
    <n v="35359"/>
  </r>
  <r>
    <d v="2024-12-30T00:00:00"/>
    <x v="2"/>
    <n v="4.6799999999999994E-2"/>
    <x v="0"/>
    <n v="9118"/>
  </r>
  <r>
    <d v="2025-01-06T00:00:00"/>
    <x v="2"/>
    <n v="2.2200000000000001E-2"/>
    <x v="1"/>
    <n v="2798"/>
  </r>
  <r>
    <d v="2025-01-13T00:00:00"/>
    <x v="2"/>
    <n v="2.5600000000000001E-2"/>
    <x v="1"/>
    <n v="12350"/>
  </r>
  <r>
    <d v="2025-01-20T00:00:00"/>
    <x v="2"/>
    <n v="5.2300000000000006E-2"/>
    <x v="1"/>
    <n v="45380"/>
  </r>
  <r>
    <d v="2025-01-27T00:00:00"/>
    <x v="2"/>
    <n v="2.0099999999999996E-2"/>
    <x v="1"/>
    <n v="19119"/>
  </r>
  <r>
    <d v="2025-02-03T00:00:00"/>
    <x v="2"/>
    <n v="6.9500000000000006E-2"/>
    <x v="1"/>
    <n v="48270"/>
  </r>
  <r>
    <d v="2025-02-10T00:00:00"/>
    <x v="2"/>
    <n v="6.9900000000000004E-2"/>
    <x v="1"/>
    <n v="42832"/>
  </r>
  <r>
    <d v="2025-02-17T00:00:00"/>
    <x v="2"/>
    <n v="7.2999999999999995E-2"/>
    <x v="1"/>
    <n v="37636"/>
  </r>
  <r>
    <d v="2025-02-24T00:00:00"/>
    <x v="2"/>
    <n v="3.85E-2"/>
    <x v="1"/>
    <n v="8718"/>
  </r>
  <r>
    <d v="2025-03-03T00:00:00"/>
    <x v="2"/>
    <n v="8.3299999999999999E-2"/>
    <x v="1"/>
    <n v="10002"/>
  </r>
  <r>
    <d v="2025-03-10T00:00:00"/>
    <x v="2"/>
    <n v="5.1200000000000002E-2"/>
    <x v="1"/>
    <n v="14722"/>
  </r>
  <r>
    <d v="2025-03-17T00:00:00"/>
    <x v="2"/>
    <n v="1.8000000000000002E-2"/>
    <x v="1"/>
    <n v="14068"/>
  </r>
  <r>
    <d v="2025-03-24T00:00:00"/>
    <x v="2"/>
    <n v="5.5300000000000002E-2"/>
    <x v="1"/>
    <n v="21061"/>
  </r>
  <r>
    <d v="2025-03-31T00:00:00"/>
    <x v="2"/>
    <n v="7.4999999999999997E-2"/>
    <x v="1"/>
    <n v="11805"/>
  </r>
  <r>
    <d v="2025-04-07T00:00:00"/>
    <x v="2"/>
    <n v="4.4999999999999998E-2"/>
    <x v="1"/>
    <n v="42964"/>
  </r>
  <r>
    <d v="2025-04-14T00:00:00"/>
    <x v="2"/>
    <n v="5.2999999999999999E-2"/>
    <x v="1"/>
    <n v="11035"/>
  </r>
  <r>
    <d v="2025-04-21T00:00:00"/>
    <x v="2"/>
    <n v="2.4399999999999998E-2"/>
    <x v="1"/>
    <n v="8471"/>
  </r>
  <r>
    <d v="2025-04-28T00:00:00"/>
    <x v="2"/>
    <n v="3.1600000000000003E-2"/>
    <x v="1"/>
    <n v="32500"/>
  </r>
  <r>
    <d v="2025-05-05T00:00:00"/>
    <x v="2"/>
    <n v="3.5499999999999997E-2"/>
    <x v="1"/>
    <n v="16149"/>
  </r>
  <r>
    <d v="2025-05-12T00:00:00"/>
    <x v="2"/>
    <n v="7.5700000000000003E-2"/>
    <x v="1"/>
    <n v="4007"/>
  </r>
  <r>
    <d v="2024-06-03T00:00:00"/>
    <x v="3"/>
    <n v="4.1100000000000005E-2"/>
    <x v="0"/>
    <n v="30671"/>
  </r>
  <r>
    <d v="2024-06-10T00:00:00"/>
    <x v="3"/>
    <n v="3.1600000000000003E-2"/>
    <x v="0"/>
    <n v="21205"/>
  </r>
  <r>
    <d v="2024-06-17T00:00:00"/>
    <x v="3"/>
    <n v="3.49E-2"/>
    <x v="0"/>
    <n v="24313"/>
  </r>
  <r>
    <d v="2024-06-24T00:00:00"/>
    <x v="3"/>
    <n v="2.6200000000000001E-2"/>
    <x v="0"/>
    <n v="1783"/>
  </r>
  <r>
    <d v="2024-07-01T00:00:00"/>
    <x v="3"/>
    <n v="8.72E-2"/>
    <x v="0"/>
    <n v="30060"/>
  </r>
  <r>
    <d v="2024-07-08T00:00:00"/>
    <x v="3"/>
    <n v="2.8799999999999999E-2"/>
    <x v="0"/>
    <n v="15071"/>
  </r>
  <r>
    <d v="2024-07-15T00:00:00"/>
    <x v="3"/>
    <n v="4.5599999999999995E-2"/>
    <x v="0"/>
    <n v="28474"/>
  </r>
  <r>
    <d v="2024-07-22T00:00:00"/>
    <x v="3"/>
    <n v="5.5199999999999999E-2"/>
    <x v="0"/>
    <n v="26452"/>
  </r>
  <r>
    <d v="2024-07-29T00:00:00"/>
    <x v="3"/>
    <n v="3.4799999999999998E-2"/>
    <x v="0"/>
    <n v="16804"/>
  </r>
  <r>
    <d v="2024-08-05T00:00:00"/>
    <x v="3"/>
    <n v="4.0399999999999998E-2"/>
    <x v="0"/>
    <n v="49372"/>
  </r>
  <r>
    <d v="2024-08-12T00:00:00"/>
    <x v="3"/>
    <n v="5.4199999999999998E-2"/>
    <x v="0"/>
    <n v="6915"/>
  </r>
  <r>
    <d v="2024-08-19T00:00:00"/>
    <x v="3"/>
    <n v="6.1900000000000004E-2"/>
    <x v="0"/>
    <n v="10283"/>
  </r>
  <r>
    <d v="2024-08-26T00:00:00"/>
    <x v="3"/>
    <n v="7.8299999999999995E-2"/>
    <x v="0"/>
    <n v="32929"/>
  </r>
  <r>
    <d v="2024-09-02T00:00:00"/>
    <x v="3"/>
    <n v="3.8599999999999995E-2"/>
    <x v="0"/>
    <n v="12646"/>
  </r>
  <r>
    <d v="2024-09-09T00:00:00"/>
    <x v="3"/>
    <n v="8.9900000000000008E-2"/>
    <x v="0"/>
    <n v="10217"/>
  </r>
  <r>
    <d v="2024-09-16T00:00:00"/>
    <x v="3"/>
    <n v="3.5000000000000003E-2"/>
    <x v="0"/>
    <n v="5442"/>
  </r>
  <r>
    <d v="2024-09-23T00:00:00"/>
    <x v="3"/>
    <n v="8.1300000000000011E-2"/>
    <x v="0"/>
    <n v="38883"/>
  </r>
  <r>
    <d v="2024-09-30T00:00:00"/>
    <x v="3"/>
    <n v="7.3599999999999999E-2"/>
    <x v="0"/>
    <n v="36851"/>
  </r>
  <r>
    <d v="2024-10-07T00:00:00"/>
    <x v="3"/>
    <n v="9.3000000000000013E-2"/>
    <x v="0"/>
    <n v="27822"/>
  </r>
  <r>
    <d v="2024-10-14T00:00:00"/>
    <x v="3"/>
    <n v="1.5300000000000001E-2"/>
    <x v="0"/>
    <n v="6742"/>
  </r>
  <r>
    <d v="2024-10-21T00:00:00"/>
    <x v="3"/>
    <n v="5.4100000000000002E-2"/>
    <x v="0"/>
    <n v="44321"/>
  </r>
  <r>
    <d v="2024-10-28T00:00:00"/>
    <x v="3"/>
    <n v="1.9900000000000001E-2"/>
    <x v="0"/>
    <n v="46643"/>
  </r>
  <r>
    <d v="2024-11-04T00:00:00"/>
    <x v="3"/>
    <n v="6.08E-2"/>
    <x v="0"/>
    <n v="16443"/>
  </r>
  <r>
    <d v="2024-11-11T00:00:00"/>
    <x v="3"/>
    <n v="7.9699999999999993E-2"/>
    <x v="0"/>
    <n v="9269"/>
  </r>
  <r>
    <d v="2024-11-18T00:00:00"/>
    <x v="3"/>
    <n v="4.6799999999999994E-2"/>
    <x v="0"/>
    <n v="22373"/>
  </r>
  <r>
    <d v="2024-11-25T00:00:00"/>
    <x v="3"/>
    <n v="8.900000000000001E-2"/>
    <x v="0"/>
    <n v="37876"/>
  </r>
  <r>
    <d v="2024-12-02T00:00:00"/>
    <x v="3"/>
    <n v="2.6499999999999999E-2"/>
    <x v="0"/>
    <n v="40888"/>
  </r>
  <r>
    <d v="2024-12-09T00:00:00"/>
    <x v="3"/>
    <n v="5.4299999999999994E-2"/>
    <x v="0"/>
    <n v="46625"/>
  </r>
  <r>
    <d v="2024-12-16T00:00:00"/>
    <x v="3"/>
    <n v="8.09E-2"/>
    <x v="0"/>
    <n v="49558"/>
  </r>
  <r>
    <d v="2024-12-23T00:00:00"/>
    <x v="3"/>
    <n v="2.8900000000000002E-2"/>
    <x v="0"/>
    <n v="14154"/>
  </r>
  <r>
    <d v="2024-12-30T00:00:00"/>
    <x v="3"/>
    <n v="4.4800000000000006E-2"/>
    <x v="0"/>
    <n v="39931"/>
  </r>
  <r>
    <d v="2025-01-06T00:00:00"/>
    <x v="3"/>
    <n v="8.3299999999999999E-2"/>
    <x v="1"/>
    <n v="15045"/>
  </r>
  <r>
    <d v="2025-01-13T00:00:00"/>
    <x v="3"/>
    <n v="3.2899999999999999E-2"/>
    <x v="1"/>
    <n v="40868"/>
  </r>
  <r>
    <d v="2025-01-20T00:00:00"/>
    <x v="3"/>
    <n v="4.6799999999999994E-2"/>
    <x v="1"/>
    <n v="7705"/>
  </r>
  <r>
    <d v="2025-01-27T00:00:00"/>
    <x v="3"/>
    <n v="3.7200000000000004E-2"/>
    <x v="1"/>
    <n v="43999"/>
  </r>
  <r>
    <d v="2025-02-03T00:00:00"/>
    <x v="3"/>
    <n v="9.4800000000000009E-2"/>
    <x v="1"/>
    <n v="18001"/>
  </r>
  <r>
    <d v="2025-02-10T00:00:00"/>
    <x v="3"/>
    <n v="9.0299999999999991E-2"/>
    <x v="1"/>
    <n v="24494"/>
  </r>
  <r>
    <d v="2025-02-17T00:00:00"/>
    <x v="3"/>
    <n v="9.0800000000000006E-2"/>
    <x v="1"/>
    <n v="22996"/>
  </r>
  <r>
    <d v="2025-02-24T00:00:00"/>
    <x v="3"/>
    <n v="6.5799999999999997E-2"/>
    <x v="1"/>
    <n v="39031"/>
  </r>
  <r>
    <d v="2025-03-03T00:00:00"/>
    <x v="3"/>
    <n v="9.4E-2"/>
    <x v="1"/>
    <n v="30987"/>
  </r>
  <r>
    <d v="2025-03-10T00:00:00"/>
    <x v="3"/>
    <n v="6.1100000000000002E-2"/>
    <x v="1"/>
    <n v="11383"/>
  </r>
  <r>
    <d v="2025-03-17T00:00:00"/>
    <x v="3"/>
    <n v="8.6400000000000005E-2"/>
    <x v="1"/>
    <n v="35801"/>
  </r>
  <r>
    <d v="2025-03-24T00:00:00"/>
    <x v="3"/>
    <n v="1.8700000000000001E-2"/>
    <x v="1"/>
    <n v="20059"/>
  </r>
  <r>
    <d v="2025-03-31T00:00:00"/>
    <x v="3"/>
    <n v="4.7300000000000002E-2"/>
    <x v="1"/>
    <n v="15969"/>
  </r>
  <r>
    <d v="2025-04-07T00:00:00"/>
    <x v="3"/>
    <n v="6.4899999999999999E-2"/>
    <x v="1"/>
    <n v="39923"/>
  </r>
  <r>
    <d v="2025-04-14T00:00:00"/>
    <x v="3"/>
    <n v="6.54E-2"/>
    <x v="1"/>
    <n v="20733"/>
  </r>
  <r>
    <d v="2025-04-21T00:00:00"/>
    <x v="3"/>
    <n v="3.0899999999999997E-2"/>
    <x v="1"/>
    <n v="14090"/>
  </r>
  <r>
    <d v="2025-04-28T00:00:00"/>
    <x v="3"/>
    <n v="1.6E-2"/>
    <x v="1"/>
    <n v="6832"/>
  </r>
  <r>
    <d v="2025-05-05T00:00:00"/>
    <x v="3"/>
    <n v="5.21E-2"/>
    <x v="1"/>
    <n v="7541"/>
  </r>
  <r>
    <d v="2025-05-12T00:00:00"/>
    <x v="3"/>
    <n v="6.8099999999999994E-2"/>
    <x v="1"/>
    <n v="1217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4.9800000000000004E-2"/>
    <x v="0"/>
  </r>
  <r>
    <d v="2024-06-10T00:00:00"/>
    <x v="0"/>
    <n v="2.3700000000000002E-2"/>
    <x v="0"/>
  </r>
  <r>
    <d v="2024-06-17T00:00:00"/>
    <x v="0"/>
    <n v="8.1099999999999992E-2"/>
    <x v="0"/>
  </r>
  <r>
    <d v="2024-06-24T00:00:00"/>
    <x v="0"/>
    <n v="9.1199999999999989E-2"/>
    <x v="0"/>
  </r>
  <r>
    <d v="2024-07-01T00:00:00"/>
    <x v="0"/>
    <n v="4.4800000000000006E-2"/>
    <x v="0"/>
  </r>
  <r>
    <d v="2024-07-08T00:00:00"/>
    <x v="0"/>
    <n v="1.9099999999999999E-2"/>
    <x v="0"/>
  </r>
  <r>
    <d v="2024-07-15T00:00:00"/>
    <x v="0"/>
    <n v="6.4399999999999999E-2"/>
    <x v="0"/>
  </r>
  <r>
    <d v="2024-07-22T00:00:00"/>
    <x v="0"/>
    <n v="7.8600000000000003E-2"/>
    <x v="0"/>
  </r>
  <r>
    <d v="2024-07-29T00:00:00"/>
    <x v="0"/>
    <n v="7.7300000000000008E-2"/>
    <x v="0"/>
  </r>
  <r>
    <d v="2024-08-05T00:00:00"/>
    <x v="0"/>
    <n v="6.1100000000000002E-2"/>
    <x v="0"/>
  </r>
  <r>
    <d v="2024-08-12T00:00:00"/>
    <x v="0"/>
    <n v="6.0100000000000001E-2"/>
    <x v="0"/>
  </r>
  <r>
    <d v="2024-08-19T00:00:00"/>
    <x v="0"/>
    <n v="8.8399999999999992E-2"/>
    <x v="0"/>
  </r>
  <r>
    <d v="2024-08-26T00:00:00"/>
    <x v="0"/>
    <n v="9.0399999999999994E-2"/>
    <x v="0"/>
  </r>
  <r>
    <d v="2024-09-02T00:00:00"/>
    <x v="0"/>
    <n v="6.4100000000000004E-2"/>
    <x v="0"/>
  </r>
  <r>
    <d v="2024-09-09T00:00:00"/>
    <x v="0"/>
    <n v="1.7600000000000001E-2"/>
    <x v="0"/>
  </r>
  <r>
    <d v="2024-09-16T00:00:00"/>
    <x v="0"/>
    <n v="9.1999999999999998E-2"/>
    <x v="0"/>
  </r>
  <r>
    <d v="2024-09-23T00:00:00"/>
    <x v="0"/>
    <n v="7.3599999999999999E-2"/>
    <x v="0"/>
  </r>
  <r>
    <d v="2024-09-30T00:00:00"/>
    <x v="0"/>
    <n v="1.77E-2"/>
    <x v="0"/>
  </r>
  <r>
    <d v="2024-10-07T00:00:00"/>
    <x v="0"/>
    <n v="1.7500000000000002E-2"/>
    <x v="0"/>
  </r>
  <r>
    <d v="2024-10-14T00:00:00"/>
    <x v="0"/>
    <n v="3.8800000000000001E-2"/>
    <x v="0"/>
  </r>
  <r>
    <d v="2024-10-21T00:00:00"/>
    <x v="0"/>
    <n v="3.1600000000000003E-2"/>
    <x v="0"/>
  </r>
  <r>
    <d v="2024-10-28T00:00:00"/>
    <x v="0"/>
    <n v="4.4600000000000001E-2"/>
    <x v="0"/>
  </r>
  <r>
    <d v="2024-11-04T00:00:00"/>
    <x v="0"/>
    <n v="3.32E-2"/>
    <x v="0"/>
  </r>
  <r>
    <d v="2024-11-11T00:00:00"/>
    <x v="0"/>
    <n v="8.6999999999999994E-2"/>
    <x v="0"/>
  </r>
  <r>
    <d v="2024-11-18T00:00:00"/>
    <x v="0"/>
    <n v="2.6800000000000001E-2"/>
    <x v="0"/>
  </r>
  <r>
    <d v="2024-11-25T00:00:00"/>
    <x v="0"/>
    <n v="6.2E-2"/>
    <x v="0"/>
  </r>
  <r>
    <d v="2024-12-02T00:00:00"/>
    <x v="0"/>
    <n v="4.7899999999999998E-2"/>
    <x v="0"/>
  </r>
  <r>
    <d v="2024-12-09T00:00:00"/>
    <x v="0"/>
    <n v="7.4700000000000003E-2"/>
    <x v="0"/>
  </r>
  <r>
    <d v="2024-12-16T00:00:00"/>
    <x v="0"/>
    <n v="8.1099999999999992E-2"/>
    <x v="0"/>
  </r>
  <r>
    <d v="2024-12-23T00:00:00"/>
    <x v="0"/>
    <n v="2.0199999999999999E-2"/>
    <x v="0"/>
  </r>
  <r>
    <d v="2024-12-30T00:00:00"/>
    <x v="0"/>
    <n v="3.0899999999999997E-2"/>
    <x v="0"/>
  </r>
  <r>
    <d v="2025-01-06T00:00:00"/>
    <x v="0"/>
    <n v="8.199999999999999E-2"/>
    <x v="1"/>
  </r>
  <r>
    <d v="2025-01-13T00:00:00"/>
    <x v="0"/>
    <n v="5.6100000000000004E-2"/>
    <x v="1"/>
  </r>
  <r>
    <d v="2025-01-20T00:00:00"/>
    <x v="0"/>
    <n v="4.5100000000000001E-2"/>
    <x v="1"/>
  </r>
  <r>
    <d v="2025-01-27T00:00:00"/>
    <x v="0"/>
    <n v="6.3700000000000007E-2"/>
    <x v="1"/>
  </r>
  <r>
    <d v="2025-02-03T00:00:00"/>
    <x v="0"/>
    <n v="8.6999999999999994E-2"/>
    <x v="1"/>
  </r>
  <r>
    <d v="2025-02-10T00:00:00"/>
    <x v="0"/>
    <n v="8.0299999999999996E-2"/>
    <x v="1"/>
  </r>
  <r>
    <d v="2025-02-17T00:00:00"/>
    <x v="0"/>
    <n v="3.85E-2"/>
    <x v="1"/>
  </r>
  <r>
    <d v="2025-02-24T00:00:00"/>
    <x v="0"/>
    <n v="7.8E-2"/>
    <x v="1"/>
  </r>
  <r>
    <d v="2025-03-03T00:00:00"/>
    <x v="0"/>
    <n v="4.5499999999999999E-2"/>
    <x v="1"/>
  </r>
  <r>
    <d v="2025-03-10T00:00:00"/>
    <x v="0"/>
    <n v="9.3900000000000011E-2"/>
    <x v="1"/>
  </r>
  <r>
    <d v="2025-03-17T00:00:00"/>
    <x v="0"/>
    <n v="4.9400000000000006E-2"/>
    <x v="1"/>
  </r>
  <r>
    <d v="2025-03-24T00:00:00"/>
    <x v="0"/>
    <n v="8.5199999999999998E-2"/>
    <x v="1"/>
  </r>
  <r>
    <d v="2025-03-31T00:00:00"/>
    <x v="0"/>
    <n v="9.4600000000000004E-2"/>
    <x v="1"/>
  </r>
  <r>
    <d v="2025-04-07T00:00:00"/>
    <x v="0"/>
    <n v="2.4900000000000002E-2"/>
    <x v="1"/>
  </r>
  <r>
    <d v="2025-04-14T00:00:00"/>
    <x v="0"/>
    <n v="4.8300000000000003E-2"/>
    <x v="1"/>
  </r>
  <r>
    <d v="2025-04-21T00:00:00"/>
    <x v="0"/>
    <n v="2.6000000000000002E-2"/>
    <x v="1"/>
  </r>
  <r>
    <d v="2025-04-28T00:00:00"/>
    <x v="0"/>
    <n v="3.8599999999999995E-2"/>
    <x v="1"/>
  </r>
  <r>
    <d v="2025-05-05T00:00:00"/>
    <x v="0"/>
    <n v="5.5899999999999998E-2"/>
    <x v="1"/>
  </r>
  <r>
    <d v="2025-05-12T00:00:00"/>
    <x v="0"/>
    <n v="0.04"/>
    <x v="1"/>
  </r>
  <r>
    <d v="2024-06-03T00:00:00"/>
    <x v="1"/>
    <n v="8.0600000000000005E-2"/>
    <x v="0"/>
  </r>
  <r>
    <d v="2024-06-10T00:00:00"/>
    <x v="1"/>
    <n v="9.0500000000000011E-2"/>
    <x v="0"/>
  </r>
  <r>
    <d v="2024-06-17T00:00:00"/>
    <x v="1"/>
    <n v="2.46E-2"/>
    <x v="0"/>
  </r>
  <r>
    <d v="2024-06-24T00:00:00"/>
    <x v="1"/>
    <n v="6.9199999999999998E-2"/>
    <x v="0"/>
  </r>
  <r>
    <d v="2024-07-01T00:00:00"/>
    <x v="1"/>
    <n v="9.3599999999999989E-2"/>
    <x v="0"/>
  </r>
  <r>
    <d v="2024-07-08T00:00:00"/>
    <x v="1"/>
    <n v="8.7400000000000005E-2"/>
    <x v="0"/>
  </r>
  <r>
    <d v="2024-07-15T00:00:00"/>
    <x v="1"/>
    <n v="3.7400000000000003E-2"/>
    <x v="0"/>
  </r>
  <r>
    <d v="2024-07-22T00:00:00"/>
    <x v="1"/>
    <n v="7.8799999999999995E-2"/>
    <x v="0"/>
  </r>
  <r>
    <d v="2024-07-29T00:00:00"/>
    <x v="1"/>
    <n v="4.0500000000000001E-2"/>
    <x v="0"/>
  </r>
  <r>
    <d v="2024-08-05T00:00:00"/>
    <x v="1"/>
    <n v="7.8299999999999995E-2"/>
    <x v="0"/>
  </r>
  <r>
    <d v="2024-08-12T00:00:00"/>
    <x v="1"/>
    <n v="6.2300000000000001E-2"/>
    <x v="0"/>
  </r>
  <r>
    <d v="2024-08-19T00:00:00"/>
    <x v="1"/>
    <n v="3.2500000000000001E-2"/>
    <x v="0"/>
  </r>
  <r>
    <d v="2024-08-26T00:00:00"/>
    <x v="1"/>
    <n v="5.7099999999999998E-2"/>
    <x v="0"/>
  </r>
  <r>
    <d v="2024-09-02T00:00:00"/>
    <x v="1"/>
    <n v="7.1599999999999997E-2"/>
    <x v="0"/>
  </r>
  <r>
    <d v="2024-09-09T00:00:00"/>
    <x v="1"/>
    <n v="9.0899999999999995E-2"/>
    <x v="0"/>
  </r>
  <r>
    <d v="2024-09-16T00:00:00"/>
    <x v="1"/>
    <n v="3.4000000000000002E-2"/>
    <x v="0"/>
  </r>
  <r>
    <d v="2024-09-23T00:00:00"/>
    <x v="1"/>
    <n v="2.3599999999999999E-2"/>
    <x v="0"/>
  </r>
  <r>
    <d v="2024-09-30T00:00:00"/>
    <x v="1"/>
    <n v="3.3000000000000002E-2"/>
    <x v="0"/>
  </r>
  <r>
    <d v="2024-10-07T00:00:00"/>
    <x v="1"/>
    <n v="6.25E-2"/>
    <x v="0"/>
  </r>
  <r>
    <d v="2024-10-14T00:00:00"/>
    <x v="1"/>
    <n v="8.900000000000001E-2"/>
    <x v="0"/>
  </r>
  <r>
    <d v="2024-10-21T00:00:00"/>
    <x v="1"/>
    <n v="6.5000000000000002E-2"/>
    <x v="0"/>
  </r>
  <r>
    <d v="2024-10-28T00:00:00"/>
    <x v="1"/>
    <n v="5.8499999999999996E-2"/>
    <x v="0"/>
  </r>
  <r>
    <d v="2024-11-04T00:00:00"/>
    <x v="1"/>
    <n v="6.8499999999999991E-2"/>
    <x v="0"/>
  </r>
  <r>
    <d v="2024-11-11T00:00:00"/>
    <x v="1"/>
    <n v="4.6600000000000003E-2"/>
    <x v="0"/>
  </r>
  <r>
    <d v="2024-11-18T00:00:00"/>
    <x v="1"/>
    <n v="9.4100000000000003E-2"/>
    <x v="0"/>
  </r>
  <r>
    <d v="2024-11-25T00:00:00"/>
    <x v="1"/>
    <n v="5.1699999999999996E-2"/>
    <x v="0"/>
  </r>
  <r>
    <d v="2024-12-02T00:00:00"/>
    <x v="1"/>
    <n v="3.7900000000000003E-2"/>
    <x v="0"/>
  </r>
  <r>
    <d v="2024-12-09T00:00:00"/>
    <x v="1"/>
    <n v="1.8100000000000002E-2"/>
    <x v="0"/>
  </r>
  <r>
    <d v="2024-12-16T00:00:00"/>
    <x v="1"/>
    <n v="3.32E-2"/>
    <x v="0"/>
  </r>
  <r>
    <d v="2024-12-23T00:00:00"/>
    <x v="1"/>
    <n v="8.4399999999999989E-2"/>
    <x v="0"/>
  </r>
  <r>
    <d v="2024-12-30T00:00:00"/>
    <x v="1"/>
    <n v="1.7600000000000001E-2"/>
    <x v="0"/>
  </r>
  <r>
    <d v="2025-01-06T00:00:00"/>
    <x v="1"/>
    <n v="5.2999999999999999E-2"/>
    <x v="1"/>
  </r>
  <r>
    <d v="2025-01-13T00:00:00"/>
    <x v="1"/>
    <n v="3.3000000000000002E-2"/>
    <x v="1"/>
  </r>
  <r>
    <d v="2025-01-20T00:00:00"/>
    <x v="1"/>
    <n v="9.2399999999999996E-2"/>
    <x v="1"/>
  </r>
  <r>
    <d v="2025-01-27T00:00:00"/>
    <x v="1"/>
    <n v="9.2300000000000007E-2"/>
    <x v="1"/>
  </r>
  <r>
    <d v="2025-02-03T00:00:00"/>
    <x v="1"/>
    <n v="3.8900000000000004E-2"/>
    <x v="1"/>
  </r>
  <r>
    <d v="2025-02-10T00:00:00"/>
    <x v="1"/>
    <n v="4.6100000000000002E-2"/>
    <x v="1"/>
  </r>
  <r>
    <d v="2025-02-17T00:00:00"/>
    <x v="1"/>
    <n v="2.86E-2"/>
    <x v="1"/>
  </r>
  <r>
    <d v="2025-02-24T00:00:00"/>
    <x v="1"/>
    <n v="4.3400000000000001E-2"/>
    <x v="1"/>
  </r>
  <r>
    <d v="2025-03-03T00:00:00"/>
    <x v="1"/>
    <n v="8.6199999999999999E-2"/>
    <x v="1"/>
  </r>
  <r>
    <d v="2025-03-10T00:00:00"/>
    <x v="1"/>
    <n v="7.2300000000000003E-2"/>
    <x v="1"/>
  </r>
  <r>
    <d v="2025-03-17T00:00:00"/>
    <x v="1"/>
    <n v="7.7399999999999997E-2"/>
    <x v="1"/>
  </r>
  <r>
    <d v="2025-03-24T00:00:00"/>
    <x v="1"/>
    <n v="1.5300000000000001E-2"/>
    <x v="1"/>
  </r>
  <r>
    <d v="2025-03-31T00:00:00"/>
    <x v="1"/>
    <n v="6.2699999999999992E-2"/>
    <x v="1"/>
  </r>
  <r>
    <d v="2025-04-07T00:00:00"/>
    <x v="1"/>
    <n v="3.1899999999999998E-2"/>
    <x v="1"/>
  </r>
  <r>
    <d v="2025-04-14T00:00:00"/>
    <x v="1"/>
    <n v="6.7299999999999999E-2"/>
    <x v="1"/>
  </r>
  <r>
    <d v="2025-04-21T00:00:00"/>
    <x v="1"/>
    <n v="6.8000000000000005E-2"/>
    <x v="1"/>
  </r>
  <r>
    <d v="2025-04-28T00:00:00"/>
    <x v="1"/>
    <n v="5.6900000000000006E-2"/>
    <x v="1"/>
  </r>
  <r>
    <d v="2025-05-05T00:00:00"/>
    <x v="1"/>
    <n v="6.0899999999999996E-2"/>
    <x v="1"/>
  </r>
  <r>
    <d v="2025-05-12T00:00:00"/>
    <x v="1"/>
    <n v="1.8200000000000001E-2"/>
    <x v="1"/>
  </r>
  <r>
    <d v="2024-06-03T00:00:00"/>
    <x v="2"/>
    <n v="8.3100000000000007E-2"/>
    <x v="0"/>
  </r>
  <r>
    <d v="2024-06-10T00:00:00"/>
    <x v="2"/>
    <n v="4.0099999999999997E-2"/>
    <x v="0"/>
  </r>
  <r>
    <d v="2024-06-17T00:00:00"/>
    <x v="2"/>
    <n v="8.1900000000000001E-2"/>
    <x v="0"/>
  </r>
  <r>
    <d v="2024-06-24T00:00:00"/>
    <x v="2"/>
    <n v="3.5000000000000003E-2"/>
    <x v="0"/>
  </r>
  <r>
    <d v="2024-07-01T00:00:00"/>
    <x v="2"/>
    <n v="6.1900000000000004E-2"/>
    <x v="0"/>
  </r>
  <r>
    <d v="2024-07-08T00:00:00"/>
    <x v="2"/>
    <n v="4.6600000000000003E-2"/>
    <x v="0"/>
  </r>
  <r>
    <d v="2024-07-15T00:00:00"/>
    <x v="2"/>
    <n v="8.5600000000000009E-2"/>
    <x v="0"/>
  </r>
  <r>
    <d v="2024-07-22T00:00:00"/>
    <x v="2"/>
    <n v="5.3399999999999996E-2"/>
    <x v="0"/>
  </r>
  <r>
    <d v="2024-07-29T00:00:00"/>
    <x v="2"/>
    <n v="4.36E-2"/>
    <x v="0"/>
  </r>
  <r>
    <d v="2024-08-05T00:00:00"/>
    <x v="2"/>
    <n v="9.4299999999999995E-2"/>
    <x v="0"/>
  </r>
  <r>
    <d v="2024-08-12T00:00:00"/>
    <x v="2"/>
    <n v="8.5500000000000007E-2"/>
    <x v="0"/>
  </r>
  <r>
    <d v="2024-08-19T00:00:00"/>
    <x v="2"/>
    <n v="7.2400000000000006E-2"/>
    <x v="0"/>
  </r>
  <r>
    <d v="2024-08-26T00:00:00"/>
    <x v="2"/>
    <n v="3.9100000000000003E-2"/>
    <x v="0"/>
  </r>
  <r>
    <d v="2024-09-02T00:00:00"/>
    <x v="2"/>
    <n v="8.0199999999999994E-2"/>
    <x v="0"/>
  </r>
  <r>
    <d v="2024-09-09T00:00:00"/>
    <x v="2"/>
    <n v="9.2399999999999996E-2"/>
    <x v="0"/>
  </r>
  <r>
    <d v="2024-09-16T00:00:00"/>
    <x v="2"/>
    <n v="8.5900000000000004E-2"/>
    <x v="0"/>
  </r>
  <r>
    <d v="2024-09-23T00:00:00"/>
    <x v="2"/>
    <n v="8.5500000000000007E-2"/>
    <x v="0"/>
  </r>
  <r>
    <d v="2024-09-30T00:00:00"/>
    <x v="2"/>
    <n v="2.0899999999999998E-2"/>
    <x v="0"/>
  </r>
  <r>
    <d v="2024-10-07T00:00:00"/>
    <x v="2"/>
    <n v="4.9699999999999994E-2"/>
    <x v="0"/>
  </r>
  <r>
    <d v="2024-10-14T00:00:00"/>
    <x v="2"/>
    <n v="5.9000000000000004E-2"/>
    <x v="0"/>
  </r>
  <r>
    <d v="2024-10-21T00:00:00"/>
    <x v="2"/>
    <n v="8.2500000000000004E-2"/>
    <x v="0"/>
  </r>
  <r>
    <d v="2024-10-28T00:00:00"/>
    <x v="2"/>
    <n v="5.2199999999999996E-2"/>
    <x v="0"/>
  </r>
  <r>
    <d v="2024-11-04T00:00:00"/>
    <x v="2"/>
    <n v="5.6799999999999996E-2"/>
    <x v="0"/>
  </r>
  <r>
    <d v="2024-11-11T00:00:00"/>
    <x v="2"/>
    <n v="2.46E-2"/>
    <x v="0"/>
  </r>
  <r>
    <d v="2024-11-18T00:00:00"/>
    <x v="2"/>
    <n v="7.3200000000000001E-2"/>
    <x v="0"/>
  </r>
  <r>
    <d v="2024-11-25T00:00:00"/>
    <x v="2"/>
    <n v="2.69E-2"/>
    <x v="0"/>
  </r>
  <r>
    <d v="2024-12-02T00:00:00"/>
    <x v="2"/>
    <n v="6.3700000000000007E-2"/>
    <x v="0"/>
  </r>
  <r>
    <d v="2024-12-09T00:00:00"/>
    <x v="2"/>
    <n v="4.2000000000000003E-2"/>
    <x v="0"/>
  </r>
  <r>
    <d v="2024-12-16T00:00:00"/>
    <x v="2"/>
    <n v="6.6600000000000006E-2"/>
    <x v="0"/>
  </r>
  <r>
    <d v="2024-12-23T00:00:00"/>
    <x v="2"/>
    <n v="7.7399999999999997E-2"/>
    <x v="0"/>
  </r>
  <r>
    <d v="2024-12-30T00:00:00"/>
    <x v="2"/>
    <n v="4.6799999999999994E-2"/>
    <x v="0"/>
  </r>
  <r>
    <d v="2025-01-06T00:00:00"/>
    <x v="2"/>
    <n v="2.2200000000000001E-2"/>
    <x v="1"/>
  </r>
  <r>
    <d v="2025-01-13T00:00:00"/>
    <x v="2"/>
    <n v="2.5600000000000001E-2"/>
    <x v="1"/>
  </r>
  <r>
    <d v="2025-01-20T00:00:00"/>
    <x v="2"/>
    <n v="5.2300000000000006E-2"/>
    <x v="1"/>
  </r>
  <r>
    <d v="2025-01-27T00:00:00"/>
    <x v="2"/>
    <n v="2.0099999999999996E-2"/>
    <x v="1"/>
  </r>
  <r>
    <d v="2025-02-03T00:00:00"/>
    <x v="2"/>
    <n v="6.9500000000000006E-2"/>
    <x v="1"/>
  </r>
  <r>
    <d v="2025-02-10T00:00:00"/>
    <x v="2"/>
    <n v="6.9900000000000004E-2"/>
    <x v="1"/>
  </r>
  <r>
    <d v="2025-02-17T00:00:00"/>
    <x v="2"/>
    <n v="7.2999999999999995E-2"/>
    <x v="1"/>
  </r>
  <r>
    <d v="2025-02-24T00:00:00"/>
    <x v="2"/>
    <n v="3.85E-2"/>
    <x v="1"/>
  </r>
  <r>
    <d v="2025-03-03T00:00:00"/>
    <x v="2"/>
    <n v="8.3299999999999999E-2"/>
    <x v="1"/>
  </r>
  <r>
    <d v="2025-03-10T00:00:00"/>
    <x v="2"/>
    <n v="5.1200000000000002E-2"/>
    <x v="1"/>
  </r>
  <r>
    <d v="2025-03-17T00:00:00"/>
    <x v="2"/>
    <n v="1.8000000000000002E-2"/>
    <x v="1"/>
  </r>
  <r>
    <d v="2025-03-24T00:00:00"/>
    <x v="2"/>
    <n v="5.5300000000000002E-2"/>
    <x v="1"/>
  </r>
  <r>
    <d v="2025-03-31T00:00:00"/>
    <x v="2"/>
    <n v="7.4999999999999997E-2"/>
    <x v="1"/>
  </r>
  <r>
    <d v="2025-04-07T00:00:00"/>
    <x v="2"/>
    <n v="4.4999999999999998E-2"/>
    <x v="1"/>
  </r>
  <r>
    <d v="2025-04-14T00:00:00"/>
    <x v="2"/>
    <n v="5.2999999999999999E-2"/>
    <x v="1"/>
  </r>
  <r>
    <d v="2025-04-21T00:00:00"/>
    <x v="2"/>
    <n v="2.4399999999999998E-2"/>
    <x v="1"/>
  </r>
  <r>
    <d v="2025-04-28T00:00:00"/>
    <x v="2"/>
    <n v="3.1600000000000003E-2"/>
    <x v="1"/>
  </r>
  <r>
    <d v="2025-05-05T00:00:00"/>
    <x v="2"/>
    <n v="3.5499999999999997E-2"/>
    <x v="1"/>
  </r>
  <r>
    <d v="2025-05-12T00:00:00"/>
    <x v="2"/>
    <n v="7.5700000000000003E-2"/>
    <x v="1"/>
  </r>
  <r>
    <d v="2024-06-03T00:00:00"/>
    <x v="3"/>
    <n v="4.1100000000000005E-2"/>
    <x v="0"/>
  </r>
  <r>
    <d v="2024-06-10T00:00:00"/>
    <x v="3"/>
    <n v="3.1600000000000003E-2"/>
    <x v="0"/>
  </r>
  <r>
    <d v="2024-06-17T00:00:00"/>
    <x v="3"/>
    <n v="3.49E-2"/>
    <x v="0"/>
  </r>
  <r>
    <d v="2024-06-24T00:00:00"/>
    <x v="3"/>
    <n v="2.6200000000000001E-2"/>
    <x v="0"/>
  </r>
  <r>
    <d v="2024-07-01T00:00:00"/>
    <x v="3"/>
    <n v="8.72E-2"/>
    <x v="0"/>
  </r>
  <r>
    <d v="2024-07-08T00:00:00"/>
    <x v="3"/>
    <n v="2.8799999999999999E-2"/>
    <x v="0"/>
  </r>
  <r>
    <d v="2024-07-15T00:00:00"/>
    <x v="3"/>
    <n v="4.5599999999999995E-2"/>
    <x v="0"/>
  </r>
  <r>
    <d v="2024-07-22T00:00:00"/>
    <x v="3"/>
    <n v="5.5199999999999999E-2"/>
    <x v="0"/>
  </r>
  <r>
    <d v="2024-07-29T00:00:00"/>
    <x v="3"/>
    <n v="3.4799999999999998E-2"/>
    <x v="0"/>
  </r>
  <r>
    <d v="2024-08-05T00:00:00"/>
    <x v="3"/>
    <n v="4.0399999999999998E-2"/>
    <x v="0"/>
  </r>
  <r>
    <d v="2024-08-12T00:00:00"/>
    <x v="3"/>
    <n v="5.4199999999999998E-2"/>
    <x v="0"/>
  </r>
  <r>
    <d v="2024-08-19T00:00:00"/>
    <x v="3"/>
    <n v="6.1900000000000004E-2"/>
    <x v="0"/>
  </r>
  <r>
    <d v="2024-08-26T00:00:00"/>
    <x v="3"/>
    <n v="7.8299999999999995E-2"/>
    <x v="0"/>
  </r>
  <r>
    <d v="2024-09-02T00:00:00"/>
    <x v="3"/>
    <n v="3.8599999999999995E-2"/>
    <x v="0"/>
  </r>
  <r>
    <d v="2024-09-09T00:00:00"/>
    <x v="3"/>
    <n v="8.9900000000000008E-2"/>
    <x v="0"/>
  </r>
  <r>
    <d v="2024-09-16T00:00:00"/>
    <x v="3"/>
    <n v="3.5000000000000003E-2"/>
    <x v="0"/>
  </r>
  <r>
    <d v="2024-09-23T00:00:00"/>
    <x v="3"/>
    <n v="8.1300000000000011E-2"/>
    <x v="0"/>
  </r>
  <r>
    <d v="2024-09-30T00:00:00"/>
    <x v="3"/>
    <n v="7.3599999999999999E-2"/>
    <x v="0"/>
  </r>
  <r>
    <d v="2024-10-07T00:00:00"/>
    <x v="3"/>
    <n v="9.3000000000000013E-2"/>
    <x v="0"/>
  </r>
  <r>
    <d v="2024-10-14T00:00:00"/>
    <x v="3"/>
    <n v="1.5300000000000001E-2"/>
    <x v="0"/>
  </r>
  <r>
    <d v="2024-10-21T00:00:00"/>
    <x v="3"/>
    <n v="5.4100000000000002E-2"/>
    <x v="0"/>
  </r>
  <r>
    <d v="2024-10-28T00:00:00"/>
    <x v="3"/>
    <n v="1.9900000000000001E-2"/>
    <x v="0"/>
  </r>
  <r>
    <d v="2024-11-04T00:00:00"/>
    <x v="3"/>
    <n v="6.08E-2"/>
    <x v="0"/>
  </r>
  <r>
    <d v="2024-11-11T00:00:00"/>
    <x v="3"/>
    <n v="7.9699999999999993E-2"/>
    <x v="0"/>
  </r>
  <r>
    <d v="2024-11-18T00:00:00"/>
    <x v="3"/>
    <n v="4.6799999999999994E-2"/>
    <x v="0"/>
  </r>
  <r>
    <d v="2024-11-25T00:00:00"/>
    <x v="3"/>
    <n v="8.900000000000001E-2"/>
    <x v="0"/>
  </r>
  <r>
    <d v="2024-12-02T00:00:00"/>
    <x v="3"/>
    <n v="2.6499999999999999E-2"/>
    <x v="0"/>
  </r>
  <r>
    <d v="2024-12-09T00:00:00"/>
    <x v="3"/>
    <n v="5.4299999999999994E-2"/>
    <x v="0"/>
  </r>
  <r>
    <d v="2024-12-16T00:00:00"/>
    <x v="3"/>
    <n v="8.09E-2"/>
    <x v="0"/>
  </r>
  <r>
    <d v="2024-12-23T00:00:00"/>
    <x v="3"/>
    <n v="2.8900000000000002E-2"/>
    <x v="0"/>
  </r>
  <r>
    <d v="2024-12-30T00:00:00"/>
    <x v="3"/>
    <n v="4.4800000000000006E-2"/>
    <x v="0"/>
  </r>
  <r>
    <d v="2025-01-06T00:00:00"/>
    <x v="3"/>
    <n v="8.3299999999999999E-2"/>
    <x v="1"/>
  </r>
  <r>
    <d v="2025-01-13T00:00:00"/>
    <x v="3"/>
    <n v="3.2899999999999999E-2"/>
    <x v="1"/>
  </r>
  <r>
    <d v="2025-01-20T00:00:00"/>
    <x v="3"/>
    <n v="4.6799999999999994E-2"/>
    <x v="1"/>
  </r>
  <r>
    <d v="2025-01-27T00:00:00"/>
    <x v="3"/>
    <n v="3.7200000000000004E-2"/>
    <x v="1"/>
  </r>
  <r>
    <d v="2025-02-03T00:00:00"/>
    <x v="3"/>
    <n v="9.4800000000000009E-2"/>
    <x v="1"/>
  </r>
  <r>
    <d v="2025-02-10T00:00:00"/>
    <x v="3"/>
    <n v="9.0299999999999991E-2"/>
    <x v="1"/>
  </r>
  <r>
    <d v="2025-02-17T00:00:00"/>
    <x v="3"/>
    <n v="9.0800000000000006E-2"/>
    <x v="1"/>
  </r>
  <r>
    <d v="2025-02-24T00:00:00"/>
    <x v="3"/>
    <n v="6.5799999999999997E-2"/>
    <x v="1"/>
  </r>
  <r>
    <d v="2025-03-03T00:00:00"/>
    <x v="3"/>
    <n v="9.4E-2"/>
    <x v="1"/>
  </r>
  <r>
    <d v="2025-03-10T00:00:00"/>
    <x v="3"/>
    <n v="6.1100000000000002E-2"/>
    <x v="1"/>
  </r>
  <r>
    <d v="2025-03-17T00:00:00"/>
    <x v="3"/>
    <n v="8.6400000000000005E-2"/>
    <x v="1"/>
  </r>
  <r>
    <d v="2025-03-24T00:00:00"/>
    <x v="3"/>
    <n v="1.8700000000000001E-2"/>
    <x v="1"/>
  </r>
  <r>
    <d v="2025-03-31T00:00:00"/>
    <x v="3"/>
    <n v="4.7300000000000002E-2"/>
    <x v="1"/>
  </r>
  <r>
    <d v="2025-04-07T00:00:00"/>
    <x v="3"/>
    <n v="6.4899999999999999E-2"/>
    <x v="1"/>
  </r>
  <r>
    <d v="2025-04-14T00:00:00"/>
    <x v="3"/>
    <n v="6.54E-2"/>
    <x v="1"/>
  </r>
  <r>
    <d v="2025-04-21T00:00:00"/>
    <x v="3"/>
    <n v="3.0899999999999997E-2"/>
    <x v="1"/>
  </r>
  <r>
    <d v="2025-04-28T00:00:00"/>
    <x v="3"/>
    <n v="1.6E-2"/>
    <x v="1"/>
  </r>
  <r>
    <d v="2025-05-05T00:00:00"/>
    <x v="3"/>
    <n v="5.21E-2"/>
    <x v="1"/>
  </r>
  <r>
    <d v="2025-05-12T00:00:00"/>
    <x v="3"/>
    <n v="6.8099999999999994E-2"/>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312"/>
    <n v="310"/>
    <n v="42654"/>
    <n v="4.9800000000000004E-2"/>
    <n v="9566"/>
    <x v="0"/>
    <n v="6"/>
    <n v="1"/>
    <n v="1002"/>
  </r>
  <r>
    <d v="2024-06-10T00:00:00"/>
    <x v="0"/>
    <n v="1697"/>
    <n v="414"/>
    <n v="316555"/>
    <n v="2.3700000000000002E-2"/>
    <n v="7924"/>
    <x v="0"/>
    <n v="6"/>
    <n v="2"/>
    <n v="1283"/>
  </r>
  <r>
    <d v="2024-06-17T00:00:00"/>
    <x v="0"/>
    <n v="1753"/>
    <n v="371"/>
    <n v="169496"/>
    <n v="8.1099999999999992E-2"/>
    <n v="46670"/>
    <x v="0"/>
    <n v="6"/>
    <n v="3"/>
    <n v="1382"/>
  </r>
  <r>
    <d v="2024-06-24T00:00:00"/>
    <x v="0"/>
    <n v="1779"/>
    <n v="109"/>
    <n v="26295"/>
    <n v="9.1199999999999989E-2"/>
    <n v="30635"/>
    <x v="0"/>
    <n v="6"/>
    <n v="4"/>
    <n v="1670"/>
  </r>
  <r>
    <d v="2024-07-01T00:00:00"/>
    <x v="0"/>
    <n v="505"/>
    <n v="441"/>
    <n v="220020"/>
    <n v="4.4800000000000006E-2"/>
    <n v="42307"/>
    <x v="0"/>
    <n v="7"/>
    <n v="1"/>
    <n v="64"/>
  </r>
  <r>
    <d v="2024-07-08T00:00:00"/>
    <x v="0"/>
    <n v="350"/>
    <n v="41"/>
    <n v="251694"/>
    <n v="1.9099999999999999E-2"/>
    <n v="38610"/>
    <x v="0"/>
    <n v="7"/>
    <n v="2"/>
    <n v="309"/>
  </r>
  <r>
    <d v="2024-07-15T00:00:00"/>
    <x v="0"/>
    <n v="170"/>
    <n v="334"/>
    <n v="334626"/>
    <n v="6.4399999999999999E-2"/>
    <n v="43420"/>
    <x v="0"/>
    <n v="7"/>
    <n v="3"/>
    <n v="-164"/>
  </r>
  <r>
    <d v="2024-07-22T00:00:00"/>
    <x v="0"/>
    <n v="1391"/>
    <n v="430"/>
    <n v="295032"/>
    <n v="7.8600000000000003E-2"/>
    <n v="26067"/>
    <x v="0"/>
    <n v="7"/>
    <n v="4"/>
    <n v="961"/>
  </r>
  <r>
    <d v="2024-07-29T00:00:00"/>
    <x v="0"/>
    <n v="160"/>
    <n v="478"/>
    <n v="435034"/>
    <n v="7.7300000000000008E-2"/>
    <n v="4839"/>
    <x v="0"/>
    <n v="7"/>
    <n v="5"/>
    <n v="-318"/>
  </r>
  <r>
    <d v="2024-08-05T00:00:00"/>
    <x v="0"/>
    <n v="214"/>
    <n v="411"/>
    <n v="125034"/>
    <n v="6.1100000000000002E-2"/>
    <n v="26455"/>
    <x v="0"/>
    <n v="8"/>
    <n v="1"/>
    <n v="-197"/>
  </r>
  <r>
    <d v="2024-08-12T00:00:00"/>
    <x v="0"/>
    <n v="1534"/>
    <n v="200"/>
    <n v="307612"/>
    <n v="6.0100000000000001E-2"/>
    <n v="37903"/>
    <x v="0"/>
    <n v="8"/>
    <n v="2"/>
    <n v="1334"/>
  </r>
  <r>
    <d v="2024-08-19T00:00:00"/>
    <x v="0"/>
    <n v="1078"/>
    <n v="20"/>
    <n v="183924"/>
    <n v="8.8399999999999992E-2"/>
    <n v="14203"/>
    <x v="0"/>
    <n v="8"/>
    <n v="3"/>
    <n v="1058"/>
  </r>
  <r>
    <d v="2024-08-26T00:00:00"/>
    <x v="0"/>
    <n v="248"/>
    <n v="211"/>
    <n v="379380"/>
    <n v="9.0399999999999994E-2"/>
    <n v="26925"/>
    <x v="0"/>
    <n v="8"/>
    <n v="4"/>
    <n v="37"/>
  </r>
  <r>
    <d v="2024-09-02T00:00:00"/>
    <x v="0"/>
    <n v="1520"/>
    <n v="475"/>
    <n v="496982"/>
    <n v="6.4100000000000004E-2"/>
    <n v="24384"/>
    <x v="0"/>
    <n v="9"/>
    <n v="1"/>
    <n v="1045"/>
  </r>
  <r>
    <d v="2024-09-09T00:00:00"/>
    <x v="0"/>
    <n v="1842"/>
    <n v="414"/>
    <n v="307524"/>
    <n v="1.7600000000000001E-2"/>
    <n v="40478"/>
    <x v="0"/>
    <n v="9"/>
    <n v="2"/>
    <n v="1428"/>
  </r>
  <r>
    <d v="2024-09-16T00:00:00"/>
    <x v="0"/>
    <n v="443"/>
    <n v="345"/>
    <n v="474162"/>
    <n v="9.1999999999999998E-2"/>
    <n v="47462"/>
    <x v="0"/>
    <n v="9"/>
    <n v="3"/>
    <n v="98"/>
  </r>
  <r>
    <d v="2024-09-23T00:00:00"/>
    <x v="0"/>
    <n v="198"/>
    <n v="217"/>
    <n v="239753"/>
    <n v="7.3599999999999999E-2"/>
    <n v="11901"/>
    <x v="0"/>
    <n v="9"/>
    <n v="4"/>
    <n v="-19"/>
  </r>
  <r>
    <d v="2024-09-30T00:00:00"/>
    <x v="0"/>
    <n v="250"/>
    <n v="429"/>
    <n v="453423"/>
    <n v="1.77E-2"/>
    <n v="2315"/>
    <x v="0"/>
    <n v="9"/>
    <n v="5"/>
    <n v="-179"/>
  </r>
  <r>
    <d v="2024-10-07T00:00:00"/>
    <x v="0"/>
    <n v="1929"/>
    <n v="267"/>
    <n v="379363"/>
    <n v="1.7500000000000002E-2"/>
    <n v="43836"/>
    <x v="0"/>
    <n v="10"/>
    <n v="1"/>
    <n v="1662"/>
  </r>
  <r>
    <d v="2024-10-14T00:00:00"/>
    <x v="0"/>
    <n v="643"/>
    <n v="358"/>
    <n v="157599"/>
    <n v="3.8800000000000001E-2"/>
    <n v="7285"/>
    <x v="0"/>
    <n v="10"/>
    <n v="2"/>
    <n v="285"/>
  </r>
  <r>
    <d v="2024-10-21T00:00:00"/>
    <x v="0"/>
    <n v="508"/>
    <n v="69"/>
    <n v="23492"/>
    <n v="3.1600000000000003E-2"/>
    <n v="42824"/>
    <x v="0"/>
    <n v="10"/>
    <n v="3"/>
    <n v="439"/>
  </r>
  <r>
    <d v="2024-10-28T00:00:00"/>
    <x v="0"/>
    <n v="859"/>
    <n v="473"/>
    <n v="209987"/>
    <n v="4.4600000000000001E-2"/>
    <n v="30214"/>
    <x v="0"/>
    <n v="10"/>
    <n v="4"/>
    <n v="386"/>
  </r>
  <r>
    <d v="2024-11-04T00:00:00"/>
    <x v="0"/>
    <n v="947"/>
    <n v="407"/>
    <n v="319186"/>
    <n v="3.32E-2"/>
    <n v="4996"/>
    <x v="0"/>
    <n v="11"/>
    <n v="1"/>
    <n v="540"/>
  </r>
  <r>
    <d v="2024-11-11T00:00:00"/>
    <x v="0"/>
    <n v="171"/>
    <n v="277"/>
    <n v="309483"/>
    <n v="8.6999999999999994E-2"/>
    <n v="38452"/>
    <x v="0"/>
    <n v="11"/>
    <n v="2"/>
    <n v="-106"/>
  </r>
  <r>
    <d v="2024-11-18T00:00:00"/>
    <x v="0"/>
    <n v="513"/>
    <n v="441"/>
    <n v="338847"/>
    <n v="2.6800000000000001E-2"/>
    <n v="39997"/>
    <x v="0"/>
    <n v="11"/>
    <n v="3"/>
    <n v="72"/>
  </r>
  <r>
    <d v="2024-11-25T00:00:00"/>
    <x v="0"/>
    <n v="1710"/>
    <n v="378"/>
    <n v="336661"/>
    <n v="6.2E-2"/>
    <n v="28498"/>
    <x v="0"/>
    <n v="11"/>
    <n v="4"/>
    <n v="1332"/>
  </r>
  <r>
    <d v="2024-12-02T00:00:00"/>
    <x v="0"/>
    <n v="1902"/>
    <n v="196"/>
    <n v="470269"/>
    <n v="4.7899999999999998E-2"/>
    <n v="26103"/>
    <x v="0"/>
    <n v="12"/>
    <n v="1"/>
    <n v="1706"/>
  </r>
  <r>
    <d v="2024-12-09T00:00:00"/>
    <x v="0"/>
    <n v="1514"/>
    <n v="141"/>
    <n v="35842"/>
    <n v="7.4700000000000003E-2"/>
    <n v="18601"/>
    <x v="0"/>
    <n v="12"/>
    <n v="2"/>
    <n v="1373"/>
  </r>
  <r>
    <d v="2024-12-16T00:00:00"/>
    <x v="0"/>
    <n v="1623"/>
    <n v="246"/>
    <n v="415815"/>
    <n v="8.1099999999999992E-2"/>
    <n v="18656"/>
    <x v="0"/>
    <n v="12"/>
    <n v="3"/>
    <n v="1377"/>
  </r>
  <r>
    <d v="2024-12-23T00:00:00"/>
    <x v="0"/>
    <n v="1155"/>
    <n v="425"/>
    <n v="93347"/>
    <n v="2.0199999999999999E-2"/>
    <n v="47502"/>
    <x v="0"/>
    <n v="12"/>
    <n v="4"/>
    <n v="730"/>
  </r>
  <r>
    <d v="2024-12-30T00:00:00"/>
    <x v="0"/>
    <n v="1980"/>
    <n v="204"/>
    <n v="379431"/>
    <n v="3.0899999999999997E-2"/>
    <n v="25140"/>
    <x v="0"/>
    <n v="12"/>
    <n v="5"/>
    <n v="1776"/>
  </r>
  <r>
    <d v="2025-01-06T00:00:00"/>
    <x v="0"/>
    <n v="816"/>
    <n v="196"/>
    <n v="95728"/>
    <n v="8.199999999999999E-2"/>
    <n v="17951"/>
    <x v="1"/>
    <n v="1"/>
    <n v="1"/>
    <n v="620"/>
  </r>
  <r>
    <d v="2025-01-13T00:00:00"/>
    <x v="0"/>
    <n v="651"/>
    <n v="353"/>
    <n v="224699"/>
    <n v="5.6100000000000004E-2"/>
    <n v="45708"/>
    <x v="1"/>
    <n v="1"/>
    <n v="2"/>
    <n v="298"/>
  </r>
  <r>
    <d v="2025-01-20T00:00:00"/>
    <x v="0"/>
    <n v="663"/>
    <n v="236"/>
    <n v="479490"/>
    <n v="4.5100000000000001E-2"/>
    <n v="23853"/>
    <x v="1"/>
    <n v="1"/>
    <n v="3"/>
    <n v="427"/>
  </r>
  <r>
    <d v="2025-01-27T00:00:00"/>
    <x v="0"/>
    <n v="1249"/>
    <n v="351"/>
    <n v="321307"/>
    <n v="6.3700000000000007E-2"/>
    <n v="20560"/>
    <x v="1"/>
    <n v="1"/>
    <n v="4"/>
    <n v="898"/>
  </r>
  <r>
    <d v="2025-02-03T00:00:00"/>
    <x v="0"/>
    <n v="1159"/>
    <n v="411"/>
    <n v="135987"/>
    <n v="8.6999999999999994E-2"/>
    <n v="40323"/>
    <x v="1"/>
    <n v="2"/>
    <n v="1"/>
    <n v="748"/>
  </r>
  <r>
    <d v="2025-02-10T00:00:00"/>
    <x v="0"/>
    <n v="1294"/>
    <n v="382"/>
    <n v="309914"/>
    <n v="8.0299999999999996E-2"/>
    <n v="23489"/>
    <x v="1"/>
    <n v="2"/>
    <n v="2"/>
    <n v="912"/>
  </r>
  <r>
    <d v="2025-02-17T00:00:00"/>
    <x v="0"/>
    <n v="1895"/>
    <n v="305"/>
    <n v="104967"/>
    <n v="3.85E-2"/>
    <n v="31853"/>
    <x v="1"/>
    <n v="2"/>
    <n v="3"/>
    <n v="1590"/>
  </r>
  <r>
    <d v="2025-02-24T00:00:00"/>
    <x v="0"/>
    <n v="1884"/>
    <n v="177"/>
    <n v="230448"/>
    <n v="7.8E-2"/>
    <n v="22713"/>
    <x v="1"/>
    <n v="2"/>
    <n v="4"/>
    <n v="1707"/>
  </r>
  <r>
    <d v="2025-03-03T00:00:00"/>
    <x v="0"/>
    <n v="345"/>
    <n v="464"/>
    <n v="366881"/>
    <n v="4.5499999999999999E-2"/>
    <n v="20553"/>
    <x v="1"/>
    <n v="3"/>
    <n v="1"/>
    <n v="-119"/>
  </r>
  <r>
    <d v="2025-03-10T00:00:00"/>
    <x v="0"/>
    <n v="1098"/>
    <n v="190"/>
    <n v="340842"/>
    <n v="9.3900000000000011E-2"/>
    <n v="21539"/>
    <x v="1"/>
    <n v="3"/>
    <n v="2"/>
    <n v="908"/>
  </r>
  <r>
    <d v="2025-03-17T00:00:00"/>
    <x v="0"/>
    <n v="1358"/>
    <n v="242"/>
    <n v="342129"/>
    <n v="4.9400000000000006E-2"/>
    <n v="29116"/>
    <x v="1"/>
    <n v="3"/>
    <n v="3"/>
    <n v="1116"/>
  </r>
  <r>
    <d v="2025-03-24T00:00:00"/>
    <x v="0"/>
    <n v="609"/>
    <n v="135"/>
    <n v="373606"/>
    <n v="8.5199999999999998E-2"/>
    <n v="21453"/>
    <x v="1"/>
    <n v="3"/>
    <n v="4"/>
    <n v="474"/>
  </r>
  <r>
    <d v="2025-03-31T00:00:00"/>
    <x v="0"/>
    <n v="988"/>
    <n v="474"/>
    <n v="370070"/>
    <n v="9.4600000000000004E-2"/>
    <n v="23461"/>
    <x v="1"/>
    <n v="3"/>
    <n v="5"/>
    <n v="514"/>
  </r>
  <r>
    <d v="2025-04-07T00:00:00"/>
    <x v="0"/>
    <n v="1307"/>
    <n v="278"/>
    <n v="98596"/>
    <n v="2.4900000000000002E-2"/>
    <n v="47603"/>
    <x v="1"/>
    <n v="4"/>
    <n v="1"/>
    <n v="1029"/>
  </r>
  <r>
    <d v="2025-04-14T00:00:00"/>
    <x v="0"/>
    <n v="198"/>
    <n v="373"/>
    <n v="70707"/>
    <n v="4.8300000000000003E-2"/>
    <n v="25920"/>
    <x v="1"/>
    <n v="4"/>
    <n v="2"/>
    <n v="-175"/>
  </r>
  <r>
    <d v="2025-04-21T00:00:00"/>
    <x v="0"/>
    <n v="1375"/>
    <n v="330"/>
    <n v="377382"/>
    <n v="2.6000000000000002E-2"/>
    <n v="7875"/>
    <x v="1"/>
    <n v="4"/>
    <n v="3"/>
    <n v="1045"/>
  </r>
  <r>
    <d v="2025-04-28T00:00:00"/>
    <x v="0"/>
    <n v="833"/>
    <n v="380"/>
    <n v="224830"/>
    <n v="3.8599999999999995E-2"/>
    <n v="3582"/>
    <x v="1"/>
    <n v="4"/>
    <n v="4"/>
    <n v="453"/>
  </r>
  <r>
    <d v="2025-05-05T00:00:00"/>
    <x v="0"/>
    <n v="405"/>
    <n v="66"/>
    <n v="418696"/>
    <n v="5.5899999999999998E-2"/>
    <n v="48419"/>
    <x v="1"/>
    <n v="5"/>
    <n v="1"/>
    <n v="339"/>
  </r>
  <r>
    <d v="2025-05-12T00:00:00"/>
    <x v="0"/>
    <n v="837"/>
    <n v="430"/>
    <n v="364820"/>
    <n v="0.04"/>
    <n v="49400"/>
    <x v="1"/>
    <n v="5"/>
    <n v="2"/>
    <n v="407"/>
  </r>
  <r>
    <d v="2024-06-03T00:00:00"/>
    <x v="1"/>
    <n v="1135"/>
    <n v="88"/>
    <n v="344084"/>
    <n v="8.0600000000000005E-2"/>
    <n v="5904"/>
    <x v="0"/>
    <n v="6"/>
    <n v="1"/>
    <n v="1047"/>
  </r>
  <r>
    <d v="2024-06-10T00:00:00"/>
    <x v="1"/>
    <n v="656"/>
    <n v="139"/>
    <n v="49157"/>
    <n v="9.0500000000000011E-2"/>
    <n v="9920"/>
    <x v="0"/>
    <n v="6"/>
    <n v="2"/>
    <n v="517"/>
  </r>
  <r>
    <d v="2024-06-17T00:00:00"/>
    <x v="1"/>
    <n v="1048"/>
    <n v="155"/>
    <n v="456946"/>
    <n v="2.46E-2"/>
    <n v="11329"/>
    <x v="0"/>
    <n v="6"/>
    <n v="3"/>
    <n v="893"/>
  </r>
  <r>
    <d v="2024-06-24T00:00:00"/>
    <x v="1"/>
    <n v="911"/>
    <n v="282"/>
    <n v="35664"/>
    <n v="6.9199999999999998E-2"/>
    <n v="18050"/>
    <x v="0"/>
    <n v="6"/>
    <n v="4"/>
    <n v="629"/>
  </r>
  <r>
    <d v="2024-07-01T00:00:00"/>
    <x v="1"/>
    <n v="226"/>
    <n v="445"/>
    <n v="419447"/>
    <n v="9.3599999999999989E-2"/>
    <n v="9566"/>
    <x v="0"/>
    <n v="7"/>
    <n v="1"/>
    <n v="-219"/>
  </r>
  <r>
    <d v="2024-07-08T00:00:00"/>
    <x v="1"/>
    <n v="1757"/>
    <n v="85"/>
    <n v="58223"/>
    <n v="8.7400000000000005E-2"/>
    <n v="22728"/>
    <x v="0"/>
    <n v="7"/>
    <n v="2"/>
    <n v="1672"/>
  </r>
  <r>
    <d v="2024-07-15T00:00:00"/>
    <x v="1"/>
    <n v="1960"/>
    <n v="115"/>
    <n v="154169"/>
    <n v="3.7400000000000003E-2"/>
    <n v="10740"/>
    <x v="0"/>
    <n v="7"/>
    <n v="3"/>
    <n v="1845"/>
  </r>
  <r>
    <d v="2024-07-22T00:00:00"/>
    <x v="1"/>
    <n v="508"/>
    <n v="349"/>
    <n v="473812"/>
    <n v="7.8799999999999995E-2"/>
    <n v="17328"/>
    <x v="0"/>
    <n v="7"/>
    <n v="4"/>
    <n v="159"/>
  </r>
  <r>
    <d v="2024-07-29T00:00:00"/>
    <x v="1"/>
    <n v="653"/>
    <n v="112"/>
    <n v="23664"/>
    <n v="4.0500000000000001E-2"/>
    <n v="15353"/>
    <x v="0"/>
    <n v="7"/>
    <n v="5"/>
    <n v="541"/>
  </r>
  <r>
    <d v="2024-08-05T00:00:00"/>
    <x v="1"/>
    <n v="645"/>
    <n v="293"/>
    <n v="437968"/>
    <n v="7.8299999999999995E-2"/>
    <n v="49303"/>
    <x v="0"/>
    <n v="8"/>
    <n v="1"/>
    <n v="352"/>
  </r>
  <r>
    <d v="2024-08-12T00:00:00"/>
    <x v="1"/>
    <n v="1528"/>
    <n v="203"/>
    <n v="489188"/>
    <n v="6.2300000000000001E-2"/>
    <n v="47101"/>
    <x v="0"/>
    <n v="8"/>
    <n v="2"/>
    <n v="1325"/>
  </r>
  <r>
    <d v="2024-08-19T00:00:00"/>
    <x v="1"/>
    <n v="215"/>
    <n v="139"/>
    <n v="325444"/>
    <n v="3.2500000000000001E-2"/>
    <n v="35501"/>
    <x v="0"/>
    <n v="8"/>
    <n v="3"/>
    <n v="76"/>
  </r>
  <r>
    <d v="2024-08-26T00:00:00"/>
    <x v="1"/>
    <n v="1685"/>
    <n v="76"/>
    <n v="453799"/>
    <n v="5.7099999999999998E-2"/>
    <n v="24913"/>
    <x v="0"/>
    <n v="8"/>
    <n v="4"/>
    <n v="1609"/>
  </r>
  <r>
    <d v="2024-09-02T00:00:00"/>
    <x v="1"/>
    <n v="1429"/>
    <n v="182"/>
    <n v="101332"/>
    <n v="7.1599999999999997E-2"/>
    <n v="37829"/>
    <x v="0"/>
    <n v="9"/>
    <n v="1"/>
    <n v="1247"/>
  </r>
  <r>
    <d v="2024-09-09T00:00:00"/>
    <x v="1"/>
    <n v="1592"/>
    <n v="20"/>
    <n v="378054"/>
    <n v="9.0899999999999995E-2"/>
    <n v="26663"/>
    <x v="0"/>
    <n v="9"/>
    <n v="2"/>
    <n v="1572"/>
  </r>
  <r>
    <d v="2024-09-16T00:00:00"/>
    <x v="1"/>
    <n v="778"/>
    <n v="401"/>
    <n v="50793"/>
    <n v="3.4000000000000002E-2"/>
    <n v="21939"/>
    <x v="0"/>
    <n v="9"/>
    <n v="3"/>
    <n v="377"/>
  </r>
  <r>
    <d v="2024-09-23T00:00:00"/>
    <x v="1"/>
    <n v="817"/>
    <n v="151"/>
    <n v="422625"/>
    <n v="2.3599999999999999E-2"/>
    <n v="1083"/>
    <x v="0"/>
    <n v="9"/>
    <n v="4"/>
    <n v="666"/>
  </r>
  <r>
    <d v="2024-09-30T00:00:00"/>
    <x v="1"/>
    <n v="1433"/>
    <n v="408"/>
    <n v="370269"/>
    <n v="3.3000000000000002E-2"/>
    <n v="30575"/>
    <x v="0"/>
    <n v="9"/>
    <n v="5"/>
    <n v="1025"/>
  </r>
  <r>
    <d v="2024-10-07T00:00:00"/>
    <x v="1"/>
    <n v="1939"/>
    <n v="67"/>
    <n v="187183"/>
    <n v="6.25E-2"/>
    <n v="41215"/>
    <x v="0"/>
    <n v="10"/>
    <n v="1"/>
    <n v="1872"/>
  </r>
  <r>
    <d v="2024-10-14T00:00:00"/>
    <x v="1"/>
    <n v="1527"/>
    <n v="303"/>
    <n v="388555"/>
    <n v="8.900000000000001E-2"/>
    <n v="36397"/>
    <x v="0"/>
    <n v="10"/>
    <n v="2"/>
    <n v="1224"/>
  </r>
  <r>
    <d v="2024-10-21T00:00:00"/>
    <x v="1"/>
    <n v="703"/>
    <n v="441"/>
    <n v="357089"/>
    <n v="6.5000000000000002E-2"/>
    <n v="32478"/>
    <x v="0"/>
    <n v="10"/>
    <n v="3"/>
    <n v="262"/>
  </r>
  <r>
    <d v="2024-10-28T00:00:00"/>
    <x v="1"/>
    <n v="642"/>
    <n v="66"/>
    <n v="346522"/>
    <n v="5.8499999999999996E-2"/>
    <n v="13116"/>
    <x v="0"/>
    <n v="10"/>
    <n v="4"/>
    <n v="576"/>
  </r>
  <r>
    <d v="2024-11-04T00:00:00"/>
    <x v="1"/>
    <n v="1466"/>
    <n v="69"/>
    <n v="54935"/>
    <n v="6.8499999999999991E-2"/>
    <n v="36484"/>
    <x v="0"/>
    <n v="11"/>
    <n v="1"/>
    <n v="1397"/>
  </r>
  <r>
    <d v="2024-11-11T00:00:00"/>
    <x v="1"/>
    <n v="1075"/>
    <n v="173"/>
    <n v="51395"/>
    <n v="4.6600000000000003E-2"/>
    <n v="47812"/>
    <x v="0"/>
    <n v="11"/>
    <n v="2"/>
    <n v="902"/>
  </r>
  <r>
    <d v="2024-11-18T00:00:00"/>
    <x v="1"/>
    <n v="187"/>
    <n v="236"/>
    <n v="51087"/>
    <n v="9.4100000000000003E-2"/>
    <n v="29533"/>
    <x v="0"/>
    <n v="11"/>
    <n v="3"/>
    <n v="-49"/>
  </r>
  <r>
    <d v="2024-11-25T00:00:00"/>
    <x v="1"/>
    <n v="1854"/>
    <n v="161"/>
    <n v="282466"/>
    <n v="5.1699999999999996E-2"/>
    <n v="1810"/>
    <x v="0"/>
    <n v="11"/>
    <n v="4"/>
    <n v="1693"/>
  </r>
  <r>
    <d v="2024-12-02T00:00:00"/>
    <x v="1"/>
    <n v="1696"/>
    <n v="71"/>
    <n v="421957"/>
    <n v="3.7900000000000003E-2"/>
    <n v="36103"/>
    <x v="0"/>
    <n v="12"/>
    <n v="1"/>
    <n v="1625"/>
  </r>
  <r>
    <d v="2024-12-09T00:00:00"/>
    <x v="1"/>
    <n v="1494"/>
    <n v="375"/>
    <n v="220616"/>
    <n v="1.8100000000000002E-2"/>
    <n v="22724"/>
    <x v="0"/>
    <n v="12"/>
    <n v="2"/>
    <n v="1119"/>
  </r>
  <r>
    <d v="2024-12-16T00:00:00"/>
    <x v="1"/>
    <n v="1502"/>
    <n v="70"/>
    <n v="465553"/>
    <n v="3.32E-2"/>
    <n v="20692"/>
    <x v="0"/>
    <n v="12"/>
    <n v="3"/>
    <n v="1432"/>
  </r>
  <r>
    <d v="2024-12-23T00:00:00"/>
    <x v="1"/>
    <n v="1092"/>
    <n v="408"/>
    <n v="280795"/>
    <n v="8.4399999999999989E-2"/>
    <n v="4683"/>
    <x v="0"/>
    <n v="12"/>
    <n v="4"/>
    <n v="684"/>
  </r>
  <r>
    <d v="2024-12-30T00:00:00"/>
    <x v="1"/>
    <n v="1814"/>
    <n v="49"/>
    <n v="140804"/>
    <n v="1.7600000000000001E-2"/>
    <n v="4313"/>
    <x v="0"/>
    <n v="12"/>
    <n v="5"/>
    <n v="1765"/>
  </r>
  <r>
    <d v="2025-01-06T00:00:00"/>
    <x v="1"/>
    <n v="1013"/>
    <n v="110"/>
    <n v="466382"/>
    <n v="5.2999999999999999E-2"/>
    <n v="37132"/>
    <x v="1"/>
    <n v="1"/>
    <n v="1"/>
    <n v="903"/>
  </r>
  <r>
    <d v="2025-01-13T00:00:00"/>
    <x v="1"/>
    <n v="1855"/>
    <n v="133"/>
    <n v="349413"/>
    <n v="3.3000000000000002E-2"/>
    <n v="14548"/>
    <x v="1"/>
    <n v="1"/>
    <n v="2"/>
    <n v="1722"/>
  </r>
  <r>
    <d v="2025-01-20T00:00:00"/>
    <x v="1"/>
    <n v="1748"/>
    <n v="176"/>
    <n v="383681"/>
    <n v="9.2399999999999996E-2"/>
    <n v="43122"/>
    <x v="1"/>
    <n v="1"/>
    <n v="3"/>
    <n v="1572"/>
  </r>
  <r>
    <d v="2025-01-27T00:00:00"/>
    <x v="1"/>
    <n v="115"/>
    <n v="281"/>
    <n v="357265"/>
    <n v="9.2300000000000007E-2"/>
    <n v="25525"/>
    <x v="1"/>
    <n v="1"/>
    <n v="4"/>
    <n v="-166"/>
  </r>
  <r>
    <d v="2025-02-03T00:00:00"/>
    <x v="1"/>
    <n v="1556"/>
    <n v="476"/>
    <n v="351556"/>
    <n v="3.8900000000000004E-2"/>
    <n v="10825"/>
    <x v="1"/>
    <n v="2"/>
    <n v="1"/>
    <n v="1080"/>
  </r>
  <r>
    <d v="2025-02-10T00:00:00"/>
    <x v="1"/>
    <n v="1957"/>
    <n v="234"/>
    <n v="222126"/>
    <n v="4.6100000000000002E-2"/>
    <n v="3314"/>
    <x v="1"/>
    <n v="2"/>
    <n v="2"/>
    <n v="1723"/>
  </r>
  <r>
    <d v="2025-02-17T00:00:00"/>
    <x v="1"/>
    <n v="1138"/>
    <n v="173"/>
    <n v="453243"/>
    <n v="2.86E-2"/>
    <n v="44097"/>
    <x v="1"/>
    <n v="2"/>
    <n v="3"/>
    <n v="965"/>
  </r>
  <r>
    <d v="2025-02-24T00:00:00"/>
    <x v="1"/>
    <n v="1440"/>
    <n v="65"/>
    <n v="126524"/>
    <n v="4.3400000000000001E-2"/>
    <n v="49772"/>
    <x v="1"/>
    <n v="2"/>
    <n v="4"/>
    <n v="1375"/>
  </r>
  <r>
    <d v="2025-03-03T00:00:00"/>
    <x v="1"/>
    <n v="1371"/>
    <n v="56"/>
    <n v="257579"/>
    <n v="8.6199999999999999E-2"/>
    <n v="33799"/>
    <x v="1"/>
    <n v="3"/>
    <n v="1"/>
    <n v="1315"/>
  </r>
  <r>
    <d v="2025-03-10T00:00:00"/>
    <x v="1"/>
    <n v="393"/>
    <n v="181"/>
    <n v="462142"/>
    <n v="7.2300000000000003E-2"/>
    <n v="6296"/>
    <x v="1"/>
    <n v="3"/>
    <n v="2"/>
    <n v="212"/>
  </r>
  <r>
    <d v="2025-03-17T00:00:00"/>
    <x v="1"/>
    <n v="1102"/>
    <n v="422"/>
    <n v="410330"/>
    <n v="7.7399999999999997E-2"/>
    <n v="9480"/>
    <x v="1"/>
    <n v="3"/>
    <n v="3"/>
    <n v="680"/>
  </r>
  <r>
    <d v="2025-03-24T00:00:00"/>
    <x v="1"/>
    <n v="490"/>
    <n v="29"/>
    <n v="364810"/>
    <n v="1.5300000000000001E-2"/>
    <n v="49077"/>
    <x v="1"/>
    <n v="3"/>
    <n v="4"/>
    <n v="461"/>
  </r>
  <r>
    <d v="2025-03-31T00:00:00"/>
    <x v="1"/>
    <n v="1033"/>
    <n v="392"/>
    <n v="282780"/>
    <n v="6.2699999999999992E-2"/>
    <n v="23140"/>
    <x v="1"/>
    <n v="3"/>
    <n v="5"/>
    <n v="641"/>
  </r>
  <r>
    <d v="2025-04-07T00:00:00"/>
    <x v="1"/>
    <n v="559"/>
    <n v="392"/>
    <n v="78789"/>
    <n v="3.1899999999999998E-2"/>
    <n v="2436"/>
    <x v="1"/>
    <n v="4"/>
    <n v="1"/>
    <n v="167"/>
  </r>
  <r>
    <d v="2025-04-14T00:00:00"/>
    <x v="1"/>
    <n v="198"/>
    <n v="358"/>
    <n v="66682"/>
    <n v="6.7299999999999999E-2"/>
    <n v="2293"/>
    <x v="1"/>
    <n v="4"/>
    <n v="2"/>
    <n v="-160"/>
  </r>
  <r>
    <d v="2025-04-21T00:00:00"/>
    <x v="1"/>
    <n v="961"/>
    <n v="358"/>
    <n v="62942"/>
    <n v="6.8000000000000005E-2"/>
    <n v="18693"/>
    <x v="1"/>
    <n v="4"/>
    <n v="3"/>
    <n v="603"/>
  </r>
  <r>
    <d v="2025-04-28T00:00:00"/>
    <x v="1"/>
    <n v="1693"/>
    <n v="154"/>
    <n v="445944"/>
    <n v="5.6900000000000006E-2"/>
    <n v="14216"/>
    <x v="1"/>
    <n v="4"/>
    <n v="4"/>
    <n v="1539"/>
  </r>
  <r>
    <d v="2025-05-05T00:00:00"/>
    <x v="1"/>
    <n v="1957"/>
    <n v="76"/>
    <n v="447902"/>
    <n v="6.0899999999999996E-2"/>
    <n v="33381"/>
    <x v="1"/>
    <n v="5"/>
    <n v="1"/>
    <n v="1881"/>
  </r>
  <r>
    <d v="2025-05-12T00:00:00"/>
    <x v="1"/>
    <n v="1765"/>
    <n v="109"/>
    <n v="468301"/>
    <n v="1.8200000000000001E-2"/>
    <n v="20042"/>
    <x v="1"/>
    <n v="5"/>
    <n v="2"/>
    <n v="1656"/>
  </r>
  <r>
    <d v="2024-06-03T00:00:00"/>
    <x v="2"/>
    <n v="584"/>
    <n v="169"/>
    <n v="146834"/>
    <n v="8.3100000000000007E-2"/>
    <n v="26752"/>
    <x v="0"/>
    <n v="6"/>
    <n v="1"/>
    <n v="415"/>
  </r>
  <r>
    <d v="2024-06-10T00:00:00"/>
    <x v="2"/>
    <n v="436"/>
    <n v="250"/>
    <n v="254347"/>
    <n v="4.0099999999999997E-2"/>
    <n v="8912"/>
    <x v="0"/>
    <n v="6"/>
    <n v="2"/>
    <n v="186"/>
  </r>
  <r>
    <d v="2024-06-17T00:00:00"/>
    <x v="2"/>
    <n v="1335"/>
    <n v="40"/>
    <n v="122732"/>
    <n v="8.1900000000000001E-2"/>
    <n v="22482"/>
    <x v="0"/>
    <n v="6"/>
    <n v="3"/>
    <n v="1295"/>
  </r>
  <r>
    <d v="2024-06-24T00:00:00"/>
    <x v="2"/>
    <n v="1238"/>
    <n v="403"/>
    <n v="298421"/>
    <n v="3.5000000000000003E-2"/>
    <n v="31280"/>
    <x v="0"/>
    <n v="6"/>
    <n v="4"/>
    <n v="835"/>
  </r>
  <r>
    <d v="2024-07-01T00:00:00"/>
    <x v="2"/>
    <n v="1420"/>
    <n v="63"/>
    <n v="315305"/>
    <n v="6.1900000000000004E-2"/>
    <n v="5914"/>
    <x v="0"/>
    <n v="7"/>
    <n v="1"/>
    <n v="1357"/>
  </r>
  <r>
    <d v="2024-07-08T00:00:00"/>
    <x v="2"/>
    <n v="987"/>
    <n v="440"/>
    <n v="389810"/>
    <n v="4.6600000000000003E-2"/>
    <n v="2932"/>
    <x v="0"/>
    <n v="7"/>
    <n v="2"/>
    <n v="547"/>
  </r>
  <r>
    <d v="2024-07-15T00:00:00"/>
    <x v="2"/>
    <n v="704"/>
    <n v="275"/>
    <n v="226002"/>
    <n v="8.5600000000000009E-2"/>
    <n v="32393"/>
    <x v="0"/>
    <n v="7"/>
    <n v="3"/>
    <n v="429"/>
  </r>
  <r>
    <d v="2024-07-22T00:00:00"/>
    <x v="2"/>
    <n v="1701"/>
    <n v="385"/>
    <n v="198278"/>
    <n v="5.3399999999999996E-2"/>
    <n v="32763"/>
    <x v="0"/>
    <n v="7"/>
    <n v="4"/>
    <n v="1316"/>
  </r>
  <r>
    <d v="2024-07-29T00:00:00"/>
    <x v="2"/>
    <n v="1756"/>
    <n v="261"/>
    <n v="287574"/>
    <n v="4.36E-2"/>
    <n v="39272"/>
    <x v="0"/>
    <n v="7"/>
    <n v="5"/>
    <n v="1495"/>
  </r>
  <r>
    <d v="2024-08-05T00:00:00"/>
    <x v="2"/>
    <n v="826"/>
    <n v="498"/>
    <n v="449994"/>
    <n v="9.4299999999999995E-2"/>
    <n v="12384"/>
    <x v="0"/>
    <n v="8"/>
    <n v="1"/>
    <n v="328"/>
  </r>
  <r>
    <d v="2024-08-12T00:00:00"/>
    <x v="2"/>
    <n v="485"/>
    <n v="448"/>
    <n v="434883"/>
    <n v="8.5500000000000007E-2"/>
    <n v="33258"/>
    <x v="0"/>
    <n v="8"/>
    <n v="2"/>
    <n v="37"/>
  </r>
  <r>
    <d v="2024-08-19T00:00:00"/>
    <x v="2"/>
    <n v="1751"/>
    <n v="86"/>
    <n v="188655"/>
    <n v="7.2400000000000006E-2"/>
    <n v="22206"/>
    <x v="0"/>
    <n v="8"/>
    <n v="3"/>
    <n v="1665"/>
  </r>
  <r>
    <d v="2024-08-26T00:00:00"/>
    <x v="2"/>
    <n v="1300"/>
    <n v="71"/>
    <n v="186454"/>
    <n v="3.9100000000000003E-2"/>
    <n v="9942"/>
    <x v="0"/>
    <n v="8"/>
    <n v="4"/>
    <n v="1229"/>
  </r>
  <r>
    <d v="2024-09-02T00:00:00"/>
    <x v="2"/>
    <n v="557"/>
    <n v="360"/>
    <n v="318779"/>
    <n v="8.0199999999999994E-2"/>
    <n v="25797"/>
    <x v="0"/>
    <n v="9"/>
    <n v="1"/>
    <n v="197"/>
  </r>
  <r>
    <d v="2024-09-09T00:00:00"/>
    <x v="2"/>
    <n v="751"/>
    <n v="491"/>
    <n v="434047"/>
    <n v="9.2399999999999996E-2"/>
    <n v="15476"/>
    <x v="0"/>
    <n v="9"/>
    <n v="2"/>
    <n v="260"/>
  </r>
  <r>
    <d v="2024-09-16T00:00:00"/>
    <x v="2"/>
    <n v="1472"/>
    <n v="347"/>
    <n v="392355"/>
    <n v="8.5900000000000004E-2"/>
    <n v="30270"/>
    <x v="0"/>
    <n v="9"/>
    <n v="3"/>
    <n v="1125"/>
  </r>
  <r>
    <d v="2024-09-23T00:00:00"/>
    <x v="2"/>
    <n v="1911"/>
    <n v="231"/>
    <n v="268516"/>
    <n v="8.5500000000000007E-2"/>
    <n v="24018"/>
    <x v="0"/>
    <n v="9"/>
    <n v="4"/>
    <n v="1680"/>
  </r>
  <r>
    <d v="2024-09-30T00:00:00"/>
    <x v="2"/>
    <n v="752"/>
    <n v="153"/>
    <n v="64906"/>
    <n v="2.0899999999999998E-2"/>
    <n v="12148"/>
    <x v="0"/>
    <n v="9"/>
    <n v="5"/>
    <n v="599"/>
  </r>
  <r>
    <d v="2024-10-07T00:00:00"/>
    <x v="2"/>
    <n v="437"/>
    <n v="330"/>
    <n v="476486"/>
    <n v="4.9699999999999994E-2"/>
    <n v="4509"/>
    <x v="0"/>
    <n v="10"/>
    <n v="1"/>
    <n v="107"/>
  </r>
  <r>
    <d v="2024-10-14T00:00:00"/>
    <x v="2"/>
    <n v="201"/>
    <n v="221"/>
    <n v="309772"/>
    <n v="5.9000000000000004E-2"/>
    <n v="33174"/>
    <x v="0"/>
    <n v="10"/>
    <n v="2"/>
    <n v="-20"/>
  </r>
  <r>
    <d v="2024-10-21T00:00:00"/>
    <x v="2"/>
    <n v="697"/>
    <n v="61"/>
    <n v="258287"/>
    <n v="8.2500000000000004E-2"/>
    <n v="21208"/>
    <x v="0"/>
    <n v="10"/>
    <n v="3"/>
    <n v="636"/>
  </r>
  <r>
    <d v="2024-10-28T00:00:00"/>
    <x v="2"/>
    <n v="191"/>
    <n v="154"/>
    <n v="240550"/>
    <n v="5.2199999999999996E-2"/>
    <n v="15827"/>
    <x v="0"/>
    <n v="10"/>
    <n v="4"/>
    <n v="37"/>
  </r>
  <r>
    <d v="2024-11-04T00:00:00"/>
    <x v="2"/>
    <n v="1821"/>
    <n v="218"/>
    <n v="439080"/>
    <n v="5.6799999999999996E-2"/>
    <n v="36095"/>
    <x v="0"/>
    <n v="11"/>
    <n v="1"/>
    <n v="1603"/>
  </r>
  <r>
    <d v="2024-11-11T00:00:00"/>
    <x v="2"/>
    <n v="1487"/>
    <n v="337"/>
    <n v="87305"/>
    <n v="2.46E-2"/>
    <n v="30428"/>
    <x v="0"/>
    <n v="11"/>
    <n v="2"/>
    <n v="1150"/>
  </r>
  <r>
    <d v="2024-11-18T00:00:00"/>
    <x v="2"/>
    <n v="628"/>
    <n v="183"/>
    <n v="487523"/>
    <n v="7.3200000000000001E-2"/>
    <n v="5391"/>
    <x v="0"/>
    <n v="11"/>
    <n v="3"/>
    <n v="445"/>
  </r>
  <r>
    <d v="2024-11-25T00:00:00"/>
    <x v="2"/>
    <n v="330"/>
    <n v="232"/>
    <n v="88455"/>
    <n v="2.69E-2"/>
    <n v="39530"/>
    <x v="0"/>
    <n v="11"/>
    <n v="4"/>
    <n v="98"/>
  </r>
  <r>
    <d v="2024-12-02T00:00:00"/>
    <x v="2"/>
    <n v="1441"/>
    <n v="268"/>
    <n v="309904"/>
    <n v="6.3700000000000007E-2"/>
    <n v="3455"/>
    <x v="0"/>
    <n v="12"/>
    <n v="1"/>
    <n v="1173"/>
  </r>
  <r>
    <d v="2024-12-09T00:00:00"/>
    <x v="2"/>
    <n v="1937"/>
    <n v="210"/>
    <n v="20607"/>
    <n v="4.2000000000000003E-2"/>
    <n v="20861"/>
    <x v="0"/>
    <n v="12"/>
    <n v="2"/>
    <n v="1727"/>
  </r>
  <r>
    <d v="2024-12-16T00:00:00"/>
    <x v="2"/>
    <n v="1592"/>
    <n v="233"/>
    <n v="327183"/>
    <n v="6.6600000000000006E-2"/>
    <n v="13316"/>
    <x v="0"/>
    <n v="12"/>
    <n v="3"/>
    <n v="1359"/>
  </r>
  <r>
    <d v="2024-12-23T00:00:00"/>
    <x v="2"/>
    <n v="1137"/>
    <n v="226"/>
    <n v="81119"/>
    <n v="7.7399999999999997E-2"/>
    <n v="35359"/>
    <x v="0"/>
    <n v="12"/>
    <n v="4"/>
    <n v="911"/>
  </r>
  <r>
    <d v="2024-12-30T00:00:00"/>
    <x v="2"/>
    <n v="1786"/>
    <n v="257"/>
    <n v="274831"/>
    <n v="4.6799999999999994E-2"/>
    <n v="9118"/>
    <x v="0"/>
    <n v="12"/>
    <n v="5"/>
    <n v="1529"/>
  </r>
  <r>
    <d v="2025-01-06T00:00:00"/>
    <x v="2"/>
    <n v="1633"/>
    <n v="445"/>
    <n v="371156"/>
    <n v="2.2200000000000001E-2"/>
    <n v="2798"/>
    <x v="1"/>
    <n v="1"/>
    <n v="1"/>
    <n v="1188"/>
  </r>
  <r>
    <d v="2025-01-13T00:00:00"/>
    <x v="2"/>
    <n v="118"/>
    <n v="262"/>
    <n v="487896"/>
    <n v="2.5600000000000001E-2"/>
    <n v="12350"/>
    <x v="1"/>
    <n v="1"/>
    <n v="2"/>
    <n v="-144"/>
  </r>
  <r>
    <d v="2025-01-20T00:00:00"/>
    <x v="2"/>
    <n v="1040"/>
    <n v="149"/>
    <n v="124404"/>
    <n v="5.2300000000000006E-2"/>
    <n v="45380"/>
    <x v="1"/>
    <n v="1"/>
    <n v="3"/>
    <n v="891"/>
  </r>
  <r>
    <d v="2025-01-27T00:00:00"/>
    <x v="2"/>
    <n v="1501"/>
    <n v="75"/>
    <n v="262569"/>
    <n v="2.0099999999999996E-2"/>
    <n v="19119"/>
    <x v="1"/>
    <n v="1"/>
    <n v="4"/>
    <n v="1426"/>
  </r>
  <r>
    <d v="2025-02-03T00:00:00"/>
    <x v="2"/>
    <n v="927"/>
    <n v="358"/>
    <n v="177554"/>
    <n v="6.9500000000000006E-2"/>
    <n v="48270"/>
    <x v="1"/>
    <n v="2"/>
    <n v="1"/>
    <n v="569"/>
  </r>
  <r>
    <d v="2025-02-10T00:00:00"/>
    <x v="2"/>
    <n v="1587"/>
    <n v="385"/>
    <n v="126582"/>
    <n v="6.9900000000000004E-2"/>
    <n v="42832"/>
    <x v="1"/>
    <n v="2"/>
    <n v="2"/>
    <n v="1202"/>
  </r>
  <r>
    <d v="2025-02-17T00:00:00"/>
    <x v="2"/>
    <n v="362"/>
    <n v="399"/>
    <n v="145608"/>
    <n v="7.2999999999999995E-2"/>
    <n v="37636"/>
    <x v="1"/>
    <n v="2"/>
    <n v="3"/>
    <n v="-37"/>
  </r>
  <r>
    <d v="2025-02-24T00:00:00"/>
    <x v="2"/>
    <n v="861"/>
    <n v="153"/>
    <n v="317007"/>
    <n v="3.85E-2"/>
    <n v="8718"/>
    <x v="1"/>
    <n v="2"/>
    <n v="4"/>
    <n v="708"/>
  </r>
  <r>
    <d v="2025-03-03T00:00:00"/>
    <x v="2"/>
    <n v="946"/>
    <n v="47"/>
    <n v="466575"/>
    <n v="8.3299999999999999E-2"/>
    <n v="10002"/>
    <x v="1"/>
    <n v="3"/>
    <n v="1"/>
    <n v="899"/>
  </r>
  <r>
    <d v="2025-03-10T00:00:00"/>
    <x v="2"/>
    <n v="1399"/>
    <n v="49"/>
    <n v="12471"/>
    <n v="5.1200000000000002E-2"/>
    <n v="14722"/>
    <x v="1"/>
    <n v="3"/>
    <n v="2"/>
    <n v="1350"/>
  </r>
  <r>
    <d v="2025-03-17T00:00:00"/>
    <x v="2"/>
    <n v="1077"/>
    <n v="216"/>
    <n v="12447"/>
    <n v="1.8000000000000002E-2"/>
    <n v="14068"/>
    <x v="1"/>
    <n v="3"/>
    <n v="3"/>
    <n v="861"/>
  </r>
  <r>
    <d v="2025-03-24T00:00:00"/>
    <x v="2"/>
    <n v="364"/>
    <n v="72"/>
    <n v="211090"/>
    <n v="5.5300000000000002E-2"/>
    <n v="21061"/>
    <x v="1"/>
    <n v="3"/>
    <n v="4"/>
    <n v="292"/>
  </r>
  <r>
    <d v="2025-03-31T00:00:00"/>
    <x v="2"/>
    <n v="1946"/>
    <n v="270"/>
    <n v="198350"/>
    <n v="7.4999999999999997E-2"/>
    <n v="11805"/>
    <x v="1"/>
    <n v="3"/>
    <n v="5"/>
    <n v="1676"/>
  </r>
  <r>
    <d v="2025-04-07T00:00:00"/>
    <x v="2"/>
    <n v="1432"/>
    <n v="425"/>
    <n v="29589"/>
    <n v="4.4999999999999998E-2"/>
    <n v="42964"/>
    <x v="1"/>
    <n v="4"/>
    <n v="1"/>
    <n v="1007"/>
  </r>
  <r>
    <d v="2025-04-14T00:00:00"/>
    <x v="2"/>
    <n v="353"/>
    <n v="300"/>
    <n v="142507"/>
    <n v="5.2999999999999999E-2"/>
    <n v="11035"/>
    <x v="1"/>
    <n v="4"/>
    <n v="2"/>
    <n v="53"/>
  </r>
  <r>
    <d v="2025-04-21T00:00:00"/>
    <x v="2"/>
    <n v="1147"/>
    <n v="388"/>
    <n v="333851"/>
    <n v="2.4399999999999998E-2"/>
    <n v="8471"/>
    <x v="1"/>
    <n v="4"/>
    <n v="3"/>
    <n v="759"/>
  </r>
  <r>
    <d v="2025-04-28T00:00:00"/>
    <x v="2"/>
    <n v="1222"/>
    <n v="274"/>
    <n v="487289"/>
    <n v="3.1600000000000003E-2"/>
    <n v="32500"/>
    <x v="1"/>
    <n v="4"/>
    <n v="4"/>
    <n v="948"/>
  </r>
  <r>
    <d v="2025-05-05T00:00:00"/>
    <x v="2"/>
    <n v="1581"/>
    <n v="71"/>
    <n v="484364"/>
    <n v="3.5499999999999997E-2"/>
    <n v="16149"/>
    <x v="1"/>
    <n v="5"/>
    <n v="1"/>
    <n v="1510"/>
  </r>
  <r>
    <d v="2025-05-12T00:00:00"/>
    <x v="2"/>
    <n v="337"/>
    <n v="68"/>
    <n v="456298"/>
    <n v="7.5700000000000003E-2"/>
    <n v="4007"/>
    <x v="1"/>
    <n v="5"/>
    <n v="2"/>
    <n v="269"/>
  </r>
  <r>
    <d v="2024-06-03T00:00:00"/>
    <x v="3"/>
    <n v="1535"/>
    <n v="445"/>
    <n v="395536"/>
    <n v="4.1100000000000005E-2"/>
    <n v="30671"/>
    <x v="0"/>
    <n v="6"/>
    <n v="1"/>
    <n v="1090"/>
  </r>
  <r>
    <d v="2024-06-10T00:00:00"/>
    <x v="3"/>
    <n v="1197"/>
    <n v="203"/>
    <n v="413878"/>
    <n v="3.1600000000000003E-2"/>
    <n v="21205"/>
    <x v="0"/>
    <n v="6"/>
    <n v="2"/>
    <n v="994"/>
  </r>
  <r>
    <d v="2024-06-17T00:00:00"/>
    <x v="3"/>
    <n v="403"/>
    <n v="66"/>
    <n v="382851"/>
    <n v="3.49E-2"/>
    <n v="24313"/>
    <x v="0"/>
    <n v="6"/>
    <n v="3"/>
    <n v="337"/>
  </r>
  <r>
    <d v="2024-06-24T00:00:00"/>
    <x v="3"/>
    <n v="308"/>
    <n v="431"/>
    <n v="426184"/>
    <n v="2.6200000000000001E-2"/>
    <n v="1783"/>
    <x v="0"/>
    <n v="6"/>
    <n v="4"/>
    <n v="-123"/>
  </r>
  <r>
    <d v="2024-07-01T00:00:00"/>
    <x v="3"/>
    <n v="144"/>
    <n v="53"/>
    <n v="113678"/>
    <n v="8.72E-2"/>
    <n v="30060"/>
    <x v="0"/>
    <n v="7"/>
    <n v="1"/>
    <n v="91"/>
  </r>
  <r>
    <d v="2024-07-08T00:00:00"/>
    <x v="3"/>
    <n v="883"/>
    <n v="369"/>
    <n v="233694"/>
    <n v="2.8799999999999999E-2"/>
    <n v="15071"/>
    <x v="0"/>
    <n v="7"/>
    <n v="2"/>
    <n v="514"/>
  </r>
  <r>
    <d v="2024-07-15T00:00:00"/>
    <x v="3"/>
    <n v="224"/>
    <n v="64"/>
    <n v="156683"/>
    <n v="4.5599999999999995E-2"/>
    <n v="28474"/>
    <x v="0"/>
    <n v="7"/>
    <n v="3"/>
    <n v="160"/>
  </r>
  <r>
    <d v="2024-07-22T00:00:00"/>
    <x v="3"/>
    <n v="804"/>
    <n v="487"/>
    <n v="306564"/>
    <n v="5.5199999999999999E-2"/>
    <n v="26452"/>
    <x v="0"/>
    <n v="7"/>
    <n v="4"/>
    <n v="317"/>
  </r>
  <r>
    <d v="2024-07-29T00:00:00"/>
    <x v="3"/>
    <n v="576"/>
    <n v="101"/>
    <n v="62499"/>
    <n v="3.4799999999999998E-2"/>
    <n v="16804"/>
    <x v="0"/>
    <n v="7"/>
    <n v="5"/>
    <n v="475"/>
  </r>
  <r>
    <d v="2024-08-05T00:00:00"/>
    <x v="3"/>
    <n v="460"/>
    <n v="141"/>
    <n v="320650"/>
    <n v="4.0399999999999998E-2"/>
    <n v="49372"/>
    <x v="0"/>
    <n v="8"/>
    <n v="1"/>
    <n v="319"/>
  </r>
  <r>
    <d v="2024-08-12T00:00:00"/>
    <x v="3"/>
    <n v="1210"/>
    <n v="178"/>
    <n v="102042"/>
    <n v="5.4199999999999998E-2"/>
    <n v="6915"/>
    <x v="0"/>
    <n v="8"/>
    <n v="2"/>
    <n v="1032"/>
  </r>
  <r>
    <d v="2024-08-19T00:00:00"/>
    <x v="3"/>
    <n v="221"/>
    <n v="31"/>
    <n v="87443"/>
    <n v="6.1900000000000004E-2"/>
    <n v="10283"/>
    <x v="0"/>
    <n v="8"/>
    <n v="3"/>
    <n v="190"/>
  </r>
  <r>
    <d v="2024-08-26T00:00:00"/>
    <x v="3"/>
    <n v="422"/>
    <n v="394"/>
    <n v="239044"/>
    <n v="7.8299999999999995E-2"/>
    <n v="32929"/>
    <x v="0"/>
    <n v="8"/>
    <n v="4"/>
    <n v="28"/>
  </r>
  <r>
    <d v="2024-09-02T00:00:00"/>
    <x v="3"/>
    <n v="728"/>
    <n v="395"/>
    <n v="370971"/>
    <n v="3.8599999999999995E-2"/>
    <n v="12646"/>
    <x v="0"/>
    <n v="9"/>
    <n v="1"/>
    <n v="333"/>
  </r>
  <r>
    <d v="2024-09-09T00:00:00"/>
    <x v="3"/>
    <n v="1409"/>
    <n v="309"/>
    <n v="64583"/>
    <n v="8.9900000000000008E-2"/>
    <n v="10217"/>
    <x v="0"/>
    <n v="9"/>
    <n v="2"/>
    <n v="1100"/>
  </r>
  <r>
    <d v="2024-09-16T00:00:00"/>
    <x v="3"/>
    <n v="123"/>
    <n v="155"/>
    <n v="119934"/>
    <n v="3.5000000000000003E-2"/>
    <n v="5442"/>
    <x v="0"/>
    <n v="9"/>
    <n v="3"/>
    <n v="-32"/>
  </r>
  <r>
    <d v="2024-09-23T00:00:00"/>
    <x v="3"/>
    <n v="1218"/>
    <n v="212"/>
    <n v="63177"/>
    <n v="8.1300000000000011E-2"/>
    <n v="38883"/>
    <x v="0"/>
    <n v="9"/>
    <n v="4"/>
    <n v="1006"/>
  </r>
  <r>
    <d v="2024-09-30T00:00:00"/>
    <x v="3"/>
    <n v="1918"/>
    <n v="212"/>
    <n v="94360"/>
    <n v="7.3599999999999999E-2"/>
    <n v="36851"/>
    <x v="0"/>
    <n v="9"/>
    <n v="5"/>
    <n v="1706"/>
  </r>
  <r>
    <d v="2024-10-07T00:00:00"/>
    <x v="3"/>
    <n v="307"/>
    <n v="189"/>
    <n v="117767"/>
    <n v="9.3000000000000013E-2"/>
    <n v="27822"/>
    <x v="0"/>
    <n v="10"/>
    <n v="1"/>
    <n v="118"/>
  </r>
  <r>
    <d v="2024-10-14T00:00:00"/>
    <x v="3"/>
    <n v="414"/>
    <n v="47"/>
    <n v="199178"/>
    <n v="1.5300000000000001E-2"/>
    <n v="6742"/>
    <x v="0"/>
    <n v="10"/>
    <n v="2"/>
    <n v="367"/>
  </r>
  <r>
    <d v="2024-10-21T00:00:00"/>
    <x v="3"/>
    <n v="1707"/>
    <n v="223"/>
    <n v="256910"/>
    <n v="5.4100000000000002E-2"/>
    <n v="44321"/>
    <x v="0"/>
    <n v="10"/>
    <n v="3"/>
    <n v="1484"/>
  </r>
  <r>
    <d v="2024-10-28T00:00:00"/>
    <x v="3"/>
    <n v="1814"/>
    <n v="157"/>
    <n v="305827"/>
    <n v="1.9900000000000001E-2"/>
    <n v="46643"/>
    <x v="0"/>
    <n v="10"/>
    <n v="4"/>
    <n v="1657"/>
  </r>
  <r>
    <d v="2024-11-04T00:00:00"/>
    <x v="3"/>
    <n v="1507"/>
    <n v="463"/>
    <n v="258944"/>
    <n v="6.08E-2"/>
    <n v="16443"/>
    <x v="0"/>
    <n v="11"/>
    <n v="1"/>
    <n v="1044"/>
  </r>
  <r>
    <d v="2024-11-11T00:00:00"/>
    <x v="3"/>
    <n v="454"/>
    <n v="105"/>
    <n v="121091"/>
    <n v="7.9699999999999993E-2"/>
    <n v="9269"/>
    <x v="0"/>
    <n v="11"/>
    <n v="2"/>
    <n v="349"/>
  </r>
  <r>
    <d v="2024-11-18T00:00:00"/>
    <x v="3"/>
    <n v="278"/>
    <n v="218"/>
    <n v="301695"/>
    <n v="4.6799999999999994E-2"/>
    <n v="22373"/>
    <x v="0"/>
    <n v="11"/>
    <n v="3"/>
    <n v="60"/>
  </r>
  <r>
    <d v="2024-11-25T00:00:00"/>
    <x v="3"/>
    <n v="1293"/>
    <n v="408"/>
    <n v="62535"/>
    <n v="8.900000000000001E-2"/>
    <n v="37876"/>
    <x v="0"/>
    <n v="11"/>
    <n v="4"/>
    <n v="885"/>
  </r>
  <r>
    <d v="2024-12-02T00:00:00"/>
    <x v="3"/>
    <n v="452"/>
    <n v="161"/>
    <n v="221274"/>
    <n v="2.6499999999999999E-2"/>
    <n v="40888"/>
    <x v="0"/>
    <n v="12"/>
    <n v="1"/>
    <n v="291"/>
  </r>
  <r>
    <d v="2024-12-09T00:00:00"/>
    <x v="3"/>
    <n v="736"/>
    <n v="163"/>
    <n v="451894"/>
    <n v="5.4299999999999994E-2"/>
    <n v="46625"/>
    <x v="0"/>
    <n v="12"/>
    <n v="2"/>
    <n v="573"/>
  </r>
  <r>
    <d v="2024-12-16T00:00:00"/>
    <x v="3"/>
    <n v="1004"/>
    <n v="128"/>
    <n v="488901"/>
    <n v="8.09E-2"/>
    <n v="49558"/>
    <x v="0"/>
    <n v="12"/>
    <n v="3"/>
    <n v="876"/>
  </r>
  <r>
    <d v="2024-12-23T00:00:00"/>
    <x v="3"/>
    <n v="1900"/>
    <n v="311"/>
    <n v="25177"/>
    <n v="2.8900000000000002E-2"/>
    <n v="14154"/>
    <x v="0"/>
    <n v="12"/>
    <n v="4"/>
    <n v="1589"/>
  </r>
  <r>
    <d v="2024-12-30T00:00:00"/>
    <x v="3"/>
    <n v="1495"/>
    <n v="35"/>
    <n v="136845"/>
    <n v="4.4800000000000006E-2"/>
    <n v="39931"/>
    <x v="0"/>
    <n v="12"/>
    <n v="5"/>
    <n v="1460"/>
  </r>
  <r>
    <d v="2025-01-06T00:00:00"/>
    <x v="3"/>
    <n v="891"/>
    <n v="45"/>
    <n v="95410"/>
    <n v="8.3299999999999999E-2"/>
    <n v="15045"/>
    <x v="1"/>
    <n v="1"/>
    <n v="1"/>
    <n v="846"/>
  </r>
  <r>
    <d v="2025-01-13T00:00:00"/>
    <x v="3"/>
    <n v="1331"/>
    <n v="430"/>
    <n v="14437"/>
    <n v="3.2899999999999999E-2"/>
    <n v="40868"/>
    <x v="1"/>
    <n v="1"/>
    <n v="2"/>
    <n v="901"/>
  </r>
  <r>
    <d v="2025-01-20T00:00:00"/>
    <x v="3"/>
    <n v="1166"/>
    <n v="442"/>
    <n v="336949"/>
    <n v="4.6799999999999994E-2"/>
    <n v="7705"/>
    <x v="1"/>
    <n v="1"/>
    <n v="3"/>
    <n v="724"/>
  </r>
  <r>
    <d v="2025-01-27T00:00:00"/>
    <x v="3"/>
    <n v="1411"/>
    <n v="186"/>
    <n v="461669"/>
    <n v="3.7200000000000004E-2"/>
    <n v="43999"/>
    <x v="1"/>
    <n v="1"/>
    <n v="4"/>
    <n v="1225"/>
  </r>
  <r>
    <d v="2025-02-03T00:00:00"/>
    <x v="3"/>
    <n v="152"/>
    <n v="355"/>
    <n v="270766"/>
    <n v="9.4800000000000009E-2"/>
    <n v="18001"/>
    <x v="1"/>
    <n v="2"/>
    <n v="1"/>
    <n v="-203"/>
  </r>
  <r>
    <d v="2025-02-10T00:00:00"/>
    <x v="3"/>
    <n v="1707"/>
    <n v="263"/>
    <n v="485280"/>
    <n v="9.0299999999999991E-2"/>
    <n v="24494"/>
    <x v="1"/>
    <n v="2"/>
    <n v="2"/>
    <n v="1444"/>
  </r>
  <r>
    <d v="2025-02-17T00:00:00"/>
    <x v="3"/>
    <n v="1662"/>
    <n v="487"/>
    <n v="105980"/>
    <n v="9.0800000000000006E-2"/>
    <n v="22996"/>
    <x v="1"/>
    <n v="2"/>
    <n v="3"/>
    <n v="1175"/>
  </r>
  <r>
    <d v="2025-02-24T00:00:00"/>
    <x v="3"/>
    <n v="1063"/>
    <n v="47"/>
    <n v="464239"/>
    <n v="6.5799999999999997E-2"/>
    <n v="39031"/>
    <x v="1"/>
    <n v="2"/>
    <n v="4"/>
    <n v="1016"/>
  </r>
  <r>
    <d v="2025-03-03T00:00:00"/>
    <x v="3"/>
    <n v="510"/>
    <n v="195"/>
    <n v="224534"/>
    <n v="9.4E-2"/>
    <n v="30987"/>
    <x v="1"/>
    <n v="3"/>
    <n v="1"/>
    <n v="315"/>
  </r>
  <r>
    <d v="2025-03-10T00:00:00"/>
    <x v="3"/>
    <n v="1658"/>
    <n v="416"/>
    <n v="98397"/>
    <n v="6.1100000000000002E-2"/>
    <n v="11383"/>
    <x v="1"/>
    <n v="3"/>
    <n v="2"/>
    <n v="1242"/>
  </r>
  <r>
    <d v="2025-03-17T00:00:00"/>
    <x v="3"/>
    <n v="1596"/>
    <n v="211"/>
    <n v="17380"/>
    <n v="8.6400000000000005E-2"/>
    <n v="35801"/>
    <x v="1"/>
    <n v="3"/>
    <n v="3"/>
    <n v="1385"/>
  </r>
  <r>
    <d v="2025-03-24T00:00:00"/>
    <x v="3"/>
    <n v="442"/>
    <n v="53"/>
    <n v="441931"/>
    <n v="1.8700000000000001E-2"/>
    <n v="20059"/>
    <x v="1"/>
    <n v="3"/>
    <n v="4"/>
    <n v="389"/>
  </r>
  <r>
    <d v="2025-03-31T00:00:00"/>
    <x v="3"/>
    <n v="1957"/>
    <n v="490"/>
    <n v="435726"/>
    <n v="4.7300000000000002E-2"/>
    <n v="15969"/>
    <x v="1"/>
    <n v="3"/>
    <n v="5"/>
    <n v="1467"/>
  </r>
  <r>
    <d v="2025-04-07T00:00:00"/>
    <x v="3"/>
    <n v="623"/>
    <n v="414"/>
    <n v="290354"/>
    <n v="6.4899999999999999E-2"/>
    <n v="39923"/>
    <x v="1"/>
    <n v="4"/>
    <n v="1"/>
    <n v="209"/>
  </r>
  <r>
    <d v="2025-04-14T00:00:00"/>
    <x v="3"/>
    <n v="520"/>
    <n v="375"/>
    <n v="369525"/>
    <n v="6.54E-2"/>
    <n v="20733"/>
    <x v="1"/>
    <n v="4"/>
    <n v="2"/>
    <n v="145"/>
  </r>
  <r>
    <d v="2025-04-21T00:00:00"/>
    <x v="3"/>
    <n v="1707"/>
    <n v="74"/>
    <n v="270958"/>
    <n v="3.0899999999999997E-2"/>
    <n v="14090"/>
    <x v="1"/>
    <n v="4"/>
    <n v="3"/>
    <n v="1633"/>
  </r>
  <r>
    <d v="2025-04-28T00:00:00"/>
    <x v="3"/>
    <n v="777"/>
    <n v="140"/>
    <n v="11435"/>
    <n v="1.6E-2"/>
    <n v="6832"/>
    <x v="1"/>
    <n v="4"/>
    <n v="4"/>
    <n v="637"/>
  </r>
  <r>
    <d v="2025-05-05T00:00:00"/>
    <x v="3"/>
    <n v="1035"/>
    <n v="171"/>
    <n v="148477"/>
    <n v="5.21E-2"/>
    <n v="7541"/>
    <x v="1"/>
    <n v="5"/>
    <n v="1"/>
    <n v="864"/>
  </r>
  <r>
    <d v="2025-05-12T00:00:00"/>
    <x v="3"/>
    <n v="119"/>
    <n v="456"/>
    <n v="82558"/>
    <n v="6.8099999999999994E-2"/>
    <n v="12174"/>
    <x v="1"/>
    <n v="5"/>
    <n v="2"/>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0052A-C3B6-4EFA-9F1D-E4779EA87F02}" name="PivotTable3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latform" colHeaderCaption="Year">
  <location ref="U7:X13" firstHeaderRow="1" firstDataRow="2" firstDataCol="1"/>
  <pivotFields count="11">
    <pivotField numFmtId="14" showAll="0"/>
    <pivotField axis="axisRow" showAll="0">
      <items count="5">
        <item x="0"/>
        <item x="1"/>
        <item x="2"/>
        <item x="3"/>
        <item t="default"/>
      </items>
    </pivotField>
    <pivotField showAll="0"/>
    <pivotField showAll="0"/>
    <pivotField dataField="1" showAll="0"/>
    <pivotField showAll="0"/>
    <pivotField numFmtId="164" showAll="0"/>
    <pivotField axis="axisCol" showAll="0">
      <items count="3">
        <item x="0"/>
        <item x="1"/>
        <item t="default"/>
      </items>
    </pivotField>
    <pivotField showAll="0"/>
    <pivotField showAll="0"/>
    <pivotField showAll="0"/>
  </pivotFields>
  <rowFields count="1">
    <field x="1"/>
  </rowFields>
  <rowItems count="5">
    <i>
      <x/>
    </i>
    <i>
      <x v="1"/>
    </i>
    <i>
      <x v="2"/>
    </i>
    <i>
      <x v="3"/>
    </i>
    <i t="grand">
      <x/>
    </i>
  </rowItems>
  <colFields count="1">
    <field x="7"/>
  </colFields>
  <colItems count="3">
    <i>
      <x/>
    </i>
    <i>
      <x v="1"/>
    </i>
    <i t="grand">
      <x/>
    </i>
  </colItems>
  <dataFields count="1">
    <dataField name="Average of Total_Followers" fld="4" subtotal="average" baseField="0" baseItem="0"/>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7" type="button" dataOnly="0" labelOnly="1" outline="0" axis="axisCol" fieldPosition="0"/>
    </format>
    <format dxfId="4">
      <pivotArea type="topRight" dataOnly="0" labelOnly="1" outline="0" fieldPosition="0"/>
    </format>
    <format dxfId="5">
      <pivotArea field="1" type="button" dataOnly="0" labelOnly="1" outline="0" axis="axisRow" fieldPosition="0"/>
    </format>
    <format dxfId="6">
      <pivotArea dataOnly="0" labelOnly="1" fieldPosition="0">
        <references count="1">
          <reference field="1" count="0"/>
        </references>
      </pivotArea>
    </format>
    <format dxfId="7">
      <pivotArea dataOnly="0" labelOnly="1" grandRow="1" outline="0" fieldPosition="0"/>
    </format>
    <format dxfId="8">
      <pivotArea dataOnly="0" labelOnly="1" fieldPosition="0">
        <references count="1">
          <reference field="7" count="0"/>
        </references>
      </pivotArea>
    </format>
    <format dxfId="9">
      <pivotArea dataOnly="0" labelOnly="1" grandCol="1" outline="0" fieldPosition="0"/>
    </format>
  </formats>
  <chartFormats count="4">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A2698-21AA-466A-8D46-FF9A2E6BB28F}" name="PivotTable4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latform" colHeaderCaption="Year">
  <location ref="U33:X39" firstHeaderRow="1" firstDataRow="2" firstDataCol="1"/>
  <pivotFields count="4">
    <pivotField numFmtId="14" showAll="0"/>
    <pivotField axis="axisRow" showAll="0">
      <items count="5">
        <item x="0"/>
        <item x="1"/>
        <item x="2"/>
        <item x="3"/>
        <item t="default"/>
      </items>
    </pivotField>
    <pivotField dataField="1" showAll="0"/>
    <pivotField axis="axisCol" showAll="0">
      <items count="3">
        <item x="0"/>
        <item x="1"/>
        <item t="default"/>
      </items>
    </pivotField>
  </pivotFields>
  <rowFields count="1">
    <field x="1"/>
  </rowFields>
  <rowItems count="5">
    <i>
      <x/>
    </i>
    <i>
      <x v="1"/>
    </i>
    <i>
      <x v="2"/>
    </i>
    <i>
      <x v="3"/>
    </i>
    <i t="grand">
      <x/>
    </i>
  </rowItems>
  <colFields count="1">
    <field x="3"/>
  </colFields>
  <colItems count="3">
    <i>
      <x/>
    </i>
    <i>
      <x v="1"/>
    </i>
    <i t="grand">
      <x/>
    </i>
  </colItems>
  <dataFields count="1">
    <dataField name="Average of Engagement_Rate" fld="2" subtotal="average" baseField="0" baseItem="0"/>
  </dataFields>
  <formats count="1">
    <format dxfId="10">
      <pivotArea type="all" dataOnly="0" outline="0" fieldPosition="0"/>
    </format>
  </format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8611D-B0FC-44BD-8FCC-5E080485F4DE}" name="PivotTable4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latform">
  <location ref="Z7:AB12" firstHeaderRow="0" firstDataRow="1" firstDataCol="1"/>
  <pivotFields count="5">
    <pivotField numFmtId="14" showAll="0"/>
    <pivotField axis="axisRow" showAll="0">
      <items count="5">
        <item x="0"/>
        <item x="1"/>
        <item x="2"/>
        <item x="3"/>
        <item t="default"/>
      </items>
    </pivotField>
    <pivotField dataField="1" showAll="0"/>
    <pivotField showAll="0">
      <items count="3">
        <item x="0"/>
        <item x="1"/>
        <item t="default"/>
      </items>
    </pivotField>
    <pivotField dataField="1" numFmtId="164" showAll="0"/>
  </pivotFields>
  <rowFields count="1">
    <field x="1"/>
  </rowFields>
  <rowItems count="5">
    <i>
      <x/>
    </i>
    <i>
      <x v="1"/>
    </i>
    <i>
      <x v="2"/>
    </i>
    <i>
      <x v="3"/>
    </i>
    <i t="grand">
      <x/>
    </i>
  </rowItems>
  <colFields count="1">
    <field x="-2"/>
  </colFields>
  <colItems count="2">
    <i>
      <x/>
    </i>
    <i i="1">
      <x v="1"/>
    </i>
  </colItems>
  <dataFields count="2">
    <dataField name="Average of Engagement_Rate" fld="2" subtotal="average" baseField="0" baseItem="0"/>
    <dataField name="Average of Ad_Spend" fld="4" subtotal="average" baseField="0" baseItem="0"/>
  </dataFields>
  <formats count="8">
    <format dxfId="11">
      <pivotArea dataOnly="0" fieldPosition="0">
        <references count="1">
          <reference field="1" count="1">
            <x v="1"/>
          </reference>
        </references>
      </pivotArea>
    </format>
    <format dxfId="12">
      <pivotArea dataOnly="0" fieldPosition="0">
        <references count="1">
          <reference field="1" count="1">
            <x v="1"/>
          </reference>
        </references>
      </pivotArea>
    </format>
    <format dxfId="13">
      <pivotArea type="all" dataOnly="0" outline="0" fieldPosition="0"/>
    </format>
    <format dxfId="14">
      <pivotArea outline="0" collapsedLevelsAreSubtotals="1" fieldPosition="0"/>
    </format>
    <format dxfId="15">
      <pivotArea field="1" type="button" dataOnly="0" labelOnly="1" outline="0" axis="axisRow" fieldPosition="0"/>
    </format>
    <format dxfId="16">
      <pivotArea dataOnly="0" labelOnly="1" fieldPosition="0">
        <references count="1">
          <reference field="1" count="0"/>
        </references>
      </pivotArea>
    </format>
    <format dxfId="17">
      <pivotArea dataOnly="0" labelOnly="1" grandRow="1" outline="0" fieldPosition="0"/>
    </format>
    <format dxfId="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BC2A5-F85E-4D69-A7FC-5447DD30A1EA}" name="PivotTable4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ted when(Before/After/During)">
  <location ref="Z18:AA23" firstHeaderRow="1" firstDataRow="1" firstDataCol="1"/>
  <pivotFields count="9">
    <pivotField showAll="0"/>
    <pivotField dataField="1" showAll="0">
      <items count="294">
        <item x="257"/>
        <item x="71"/>
        <item x="61"/>
        <item x="141"/>
        <item x="222"/>
        <item x="103"/>
        <item x="136"/>
        <item x="87"/>
        <item x="30"/>
        <item x="252"/>
        <item x="65"/>
        <item x="57"/>
        <item x="175"/>
        <item x="217"/>
        <item x="227"/>
        <item x="172"/>
        <item x="276"/>
        <item x="243"/>
        <item x="27"/>
        <item x="150"/>
        <item x="81"/>
        <item x="75"/>
        <item x="244"/>
        <item x="198"/>
        <item x="180"/>
        <item x="54"/>
        <item x="69"/>
        <item x="235"/>
        <item x="255"/>
        <item x="52"/>
        <item x="45"/>
        <item x="40"/>
        <item x="241"/>
        <item x="203"/>
        <item x="284"/>
        <item x="77"/>
        <item x="211"/>
        <item x="82"/>
        <item x="119"/>
        <item x="18"/>
        <item x="207"/>
        <item x="192"/>
        <item x="231"/>
        <item x="51"/>
        <item x="12"/>
        <item x="163"/>
        <item x="122"/>
        <item x="213"/>
        <item x="157"/>
        <item x="76"/>
        <item x="168"/>
        <item x="216"/>
        <item x="229"/>
        <item x="226"/>
        <item x="178"/>
        <item x="195"/>
        <item x="268"/>
        <item x="80"/>
        <item x="59"/>
        <item x="0"/>
        <item x="118"/>
        <item x="21"/>
        <item x="189"/>
        <item x="94"/>
        <item x="274"/>
        <item x="33"/>
        <item x="279"/>
        <item x="143"/>
        <item x="100"/>
        <item x="32"/>
        <item x="187"/>
        <item x="151"/>
        <item x="221"/>
        <item x="73"/>
        <item x="98"/>
        <item x="170"/>
        <item x="184"/>
        <item x="249"/>
        <item x="208"/>
        <item x="26"/>
        <item x="91"/>
        <item x="68"/>
        <item x="199"/>
        <item x="115"/>
        <item x="22"/>
        <item x="64"/>
        <item x="193"/>
        <item x="245"/>
        <item x="287"/>
        <item x="155"/>
        <item x="31"/>
        <item x="88"/>
        <item x="152"/>
        <item x="146"/>
        <item x="113"/>
        <item x="289"/>
        <item x="74"/>
        <item x="131"/>
        <item x="41"/>
        <item x="86"/>
        <item x="28"/>
        <item x="47"/>
        <item x="140"/>
        <item x="156"/>
        <item x="228"/>
        <item x="215"/>
        <item x="58"/>
        <item x="96"/>
        <item x="42"/>
        <item x="138"/>
        <item x="247"/>
        <item x="130"/>
        <item x="10"/>
        <item x="3"/>
        <item x="267"/>
        <item x="50"/>
        <item x="2"/>
        <item x="127"/>
        <item x="49"/>
        <item x="48"/>
        <item x="196"/>
        <item x="282"/>
        <item x="11"/>
        <item x="109"/>
        <item x="67"/>
        <item x="83"/>
        <item x="53"/>
        <item x="110"/>
        <item x="79"/>
        <item x="137"/>
        <item x="92"/>
        <item x="117"/>
        <item x="135"/>
        <item x="29"/>
        <item x="281"/>
        <item x="291"/>
        <item x="165"/>
        <item x="201"/>
        <item x="128"/>
        <item x="288"/>
        <item x="185"/>
        <item x="43"/>
        <item x="126"/>
        <item x="162"/>
        <item x="256"/>
        <item x="78"/>
        <item x="24"/>
        <item x="63"/>
        <item x="37"/>
        <item x="273"/>
        <item x="285"/>
        <item x="46"/>
        <item x="56"/>
        <item x="206"/>
        <item x="70"/>
        <item x="17"/>
        <item x="275"/>
        <item x="219"/>
        <item x="210"/>
        <item x="25"/>
        <item x="169"/>
        <item x="44"/>
        <item x="55"/>
        <item x="85"/>
        <item x="205"/>
        <item x="93"/>
        <item x="148"/>
        <item x="265"/>
        <item x="250"/>
        <item x="278"/>
        <item x="174"/>
        <item x="225"/>
        <item x="144"/>
        <item x="132"/>
        <item x="34"/>
        <item x="101"/>
        <item x="262"/>
        <item x="173"/>
        <item x="200"/>
        <item x="159"/>
        <item x="266"/>
        <item x="15"/>
        <item x="171"/>
        <item x="5"/>
        <item x="242"/>
        <item x="107"/>
        <item x="166"/>
        <item x="259"/>
        <item x="36"/>
        <item x="6"/>
        <item x="114"/>
        <item x="177"/>
        <item x="38"/>
        <item x="251"/>
        <item x="181"/>
        <item x="186"/>
        <item x="139"/>
        <item x="197"/>
        <item x="120"/>
        <item x="263"/>
        <item x="134"/>
        <item x="7"/>
        <item x="102"/>
        <item x="230"/>
        <item x="248"/>
        <item x="125"/>
        <item x="124"/>
        <item x="246"/>
        <item x="14"/>
        <item x="167"/>
        <item x="4"/>
        <item x="183"/>
        <item x="62"/>
        <item x="182"/>
        <item x="108"/>
        <item x="153"/>
        <item x="209"/>
        <item x="202"/>
        <item x="84"/>
        <item x="97"/>
        <item x="232"/>
        <item x="23"/>
        <item x="176"/>
        <item x="238"/>
        <item x="277"/>
        <item x="123"/>
        <item x="204"/>
        <item x="133"/>
        <item x="19"/>
        <item x="89"/>
        <item x="145"/>
        <item x="13"/>
        <item x="1"/>
        <item x="218"/>
        <item x="8"/>
        <item x="260"/>
        <item x="16"/>
        <item x="111"/>
        <item x="220"/>
        <item x="283"/>
        <item x="72"/>
        <item x="290"/>
        <item x="261"/>
        <item x="240"/>
        <item x="258"/>
        <item x="191"/>
        <item x="121"/>
        <item x="154"/>
        <item x="90"/>
        <item x="112"/>
        <item x="286"/>
        <item x="35"/>
        <item x="9"/>
        <item x="160"/>
        <item x="179"/>
        <item x="269"/>
        <item x="234"/>
        <item x="292"/>
        <item x="106"/>
        <item x="237"/>
        <item x="190"/>
        <item x="39"/>
        <item x="253"/>
        <item x="272"/>
        <item x="236"/>
        <item x="95"/>
        <item x="66"/>
        <item x="116"/>
        <item x="147"/>
        <item x="233"/>
        <item x="270"/>
        <item x="188"/>
        <item x="99"/>
        <item x="194"/>
        <item x="20"/>
        <item x="264"/>
        <item x="149"/>
        <item x="164"/>
        <item x="129"/>
        <item x="105"/>
        <item x="214"/>
        <item x="224"/>
        <item x="280"/>
        <item x="271"/>
        <item x="223"/>
        <item x="158"/>
        <item x="104"/>
        <item x="212"/>
        <item x="239"/>
        <item x="254"/>
        <item x="161"/>
        <item x="142"/>
        <item x="60"/>
        <item t="default"/>
      </items>
    </pivotField>
    <pivotField showAll="0"/>
    <pivotField showAll="0"/>
    <pivotField showAll="0"/>
    <pivotField showAll="0"/>
    <pivotField showAll="0"/>
    <pivotField showAll="0"/>
    <pivotField axis="axisRow" showAll="0">
      <items count="5">
        <item x="0"/>
        <item x="1"/>
        <item x="2"/>
        <item x="3"/>
        <item t="default"/>
      </items>
    </pivotField>
  </pivotFields>
  <rowFields count="1">
    <field x="8"/>
  </rowFields>
  <rowItems count="5">
    <i>
      <x/>
    </i>
    <i>
      <x v="1"/>
    </i>
    <i>
      <x v="2"/>
    </i>
    <i>
      <x v="3"/>
    </i>
    <i t="grand">
      <x/>
    </i>
  </rowItems>
  <colItems count="1">
    <i/>
  </colItems>
  <dataFields count="1">
    <dataField name="Average of Likes+Shares+Comments" fld="1" subtotal="average" baseField="0" baseItem="0"/>
  </dataFields>
  <formats count="6">
    <format dxfId="19">
      <pivotArea type="all" dataOnly="0" outline="0" fieldPosition="0"/>
    </format>
    <format dxfId="20">
      <pivotArea outline="0" collapsedLevelsAreSubtotals="1" fieldPosition="0"/>
    </format>
    <format dxfId="21">
      <pivotArea field="8" type="button" dataOnly="0" labelOnly="1" outline="0" axis="axisRow" fieldPosition="0"/>
    </format>
    <format dxfId="22">
      <pivotArea dataOnly="0" labelOnly="1" fieldPosition="0">
        <references count="1">
          <reference field="8" count="0"/>
        </references>
      </pivotArea>
    </format>
    <format dxfId="23">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B985C4-B11E-4AE4-A715-0061FC7A6F41}" name="PivotTable4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Z39:AC68" firstHeaderRow="0" firstDataRow="1" firstDataCol="1"/>
  <pivotFields count="11">
    <pivotField showAll="0"/>
    <pivotField axis="axisRow" showAll="0">
      <items count="5">
        <item x="3"/>
        <item x="2"/>
        <item x="0"/>
        <item x="1"/>
        <item t="default"/>
      </items>
    </pivotField>
    <pivotField showAll="0"/>
    <pivotField axis="axisRow" showAll="0">
      <items count="7">
        <item x="3"/>
        <item x="4"/>
        <item x="0"/>
        <item x="2"/>
        <item x="1"/>
        <item x="5"/>
        <item t="default"/>
      </items>
    </pivotField>
    <pivotField showAll="0"/>
    <pivotField dataField="1" showAll="0"/>
    <pivotField dataField="1" showAll="0"/>
    <pivotField dataField="1" showAll="0"/>
    <pivotField showAll="0"/>
    <pivotField showAll="0"/>
    <pivotField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18">
    <format dxfId="25">
      <pivotArea type="all" dataOnly="0" outline="0" fieldPosition="0"/>
    </format>
    <format dxfId="26">
      <pivotArea outline="0" collapsedLevelsAreSubtotals="1" fieldPosition="0"/>
    </format>
    <format dxfId="27">
      <pivotArea field="1" type="button" dataOnly="0" labelOnly="1" outline="0" axis="axisRow" fieldPosition="0"/>
    </format>
    <format dxfId="28">
      <pivotArea dataOnly="0" labelOnly="1" fieldPosition="0">
        <references count="1">
          <reference field="1" count="0"/>
        </references>
      </pivotArea>
    </format>
    <format dxfId="29">
      <pivotArea dataOnly="0" labelOnly="1" grandRow="1" outline="0" fieldPosition="0"/>
    </format>
    <format dxfId="30">
      <pivotArea dataOnly="0" labelOnly="1" fieldPosition="0">
        <references count="2">
          <reference field="1" count="1" selected="0">
            <x v="0"/>
          </reference>
          <reference field="3" count="0"/>
        </references>
      </pivotArea>
    </format>
    <format dxfId="31">
      <pivotArea dataOnly="0" labelOnly="1" fieldPosition="0">
        <references count="2">
          <reference field="1" count="1" selected="0">
            <x v="1"/>
          </reference>
          <reference field="3" count="0"/>
        </references>
      </pivotArea>
    </format>
    <format dxfId="32">
      <pivotArea dataOnly="0" labelOnly="1" fieldPosition="0">
        <references count="2">
          <reference field="1" count="1" selected="0">
            <x v="2"/>
          </reference>
          <reference field="3" count="0"/>
        </references>
      </pivotArea>
    </format>
    <format dxfId="33">
      <pivotArea dataOnly="0" labelOnly="1" fieldPosition="0">
        <references count="2">
          <reference field="1" count="1" selected="0">
            <x v="3"/>
          </reference>
          <reference field="3" count="0"/>
        </references>
      </pivotArea>
    </format>
    <format dxfId="34">
      <pivotArea dataOnly="0" labelOnly="1" outline="0" fieldPosition="0">
        <references count="1">
          <reference field="4294967294" count="3">
            <x v="0"/>
            <x v="1"/>
            <x v="2"/>
          </reference>
        </references>
      </pivotArea>
    </format>
    <format dxfId="35">
      <pivotArea collapsedLevelsAreSubtotals="1" fieldPosition="0">
        <references count="2">
          <reference field="1" count="1" selected="0">
            <x v="0"/>
          </reference>
          <reference field="3" count="1">
            <x v="1"/>
          </reference>
        </references>
      </pivotArea>
    </format>
    <format dxfId="36">
      <pivotArea dataOnly="0" labelOnly="1" fieldPosition="0">
        <references count="2">
          <reference field="1" count="1" selected="0">
            <x v="0"/>
          </reference>
          <reference field="3" count="1">
            <x v="1"/>
          </reference>
        </references>
      </pivotArea>
    </format>
    <format dxfId="37">
      <pivotArea collapsedLevelsAreSubtotals="1" fieldPosition="0">
        <references count="2">
          <reference field="1" count="1" selected="0">
            <x v="1"/>
          </reference>
          <reference field="3" count="1">
            <x v="3"/>
          </reference>
        </references>
      </pivotArea>
    </format>
    <format dxfId="38">
      <pivotArea dataOnly="0" labelOnly="1" fieldPosition="0">
        <references count="2">
          <reference field="1" count="1" selected="0">
            <x v="1"/>
          </reference>
          <reference field="3" count="1">
            <x v="3"/>
          </reference>
        </references>
      </pivotArea>
    </format>
    <format dxfId="39">
      <pivotArea collapsedLevelsAreSubtotals="1" fieldPosition="0">
        <references count="2">
          <reference field="1" count="1" selected="0">
            <x v="2"/>
          </reference>
          <reference field="3" count="1">
            <x v="0"/>
          </reference>
        </references>
      </pivotArea>
    </format>
    <format dxfId="40">
      <pivotArea dataOnly="0" labelOnly="1" fieldPosition="0">
        <references count="2">
          <reference field="1" count="1" selected="0">
            <x v="2"/>
          </reference>
          <reference field="3" count="1">
            <x v="0"/>
          </reference>
        </references>
      </pivotArea>
    </format>
    <format dxfId="41">
      <pivotArea collapsedLevelsAreSubtotals="1" fieldPosition="0">
        <references count="2">
          <reference field="1" count="1" selected="0">
            <x v="3"/>
          </reference>
          <reference field="3" count="1">
            <x v="2"/>
          </reference>
        </references>
      </pivotArea>
    </format>
    <format dxfId="42">
      <pivotArea dataOnly="0" labelOnly="1" fieldPosition="0">
        <references count="2">
          <reference field="1" count="1" selected="0">
            <x v="3"/>
          </reference>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1D3860-3942-4B66-8806-AAF76B220269}" name="PivotTable4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L18:AM23" firstHeaderRow="1" firstDataRow="1" firstDataCol="1"/>
  <pivotFields count="3">
    <pivotField axis="axisRow" showAll="0">
      <items count="5">
        <item x="0"/>
        <item x="1"/>
        <item x="2"/>
        <item x="3"/>
        <item t="default"/>
      </items>
    </pivotField>
    <pivotField dataField="1" showAll="0"/>
    <pivotField showAll="0">
      <items count="4">
        <item x="2"/>
        <item x="0"/>
        <item x="1"/>
        <item t="default"/>
      </items>
    </pivotField>
  </pivotFields>
  <rowFields count="1">
    <field x="0"/>
  </rowFields>
  <rowItems count="5">
    <i>
      <x/>
    </i>
    <i>
      <x v="1"/>
    </i>
    <i>
      <x v="2"/>
    </i>
    <i>
      <x v="3"/>
    </i>
    <i t="grand">
      <x/>
    </i>
  </rowItems>
  <colItems count="1">
    <i/>
  </colItems>
  <dataFields count="1">
    <dataField name="Sum of Unfollows" fld="1" baseField="0" baseItem="0"/>
  </dataFields>
  <formats count="6">
    <format dxfId="43">
      <pivotArea type="all" dataOnly="0" outline="0" fieldPosition="0"/>
    </format>
    <format dxfId="44">
      <pivotArea outline="0" collapsedLevelsAreSubtotals="1" fieldPosition="0"/>
    </format>
    <format dxfId="45">
      <pivotArea field="0" type="button" dataOnly="0" labelOnly="1" outline="0" axis="axisRow" fieldPosition="0"/>
    </format>
    <format dxfId="46">
      <pivotArea dataOnly="0" labelOnly="1" fieldPosition="0">
        <references count="1">
          <reference field="0" count="0"/>
        </references>
      </pivotArea>
    </format>
    <format dxfId="47">
      <pivotArea dataOnly="0" labelOnly="1" grandRow="1" outline="0"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hyperlink" Target="https://drive.google.com/drive/folders/1xrL6QO5Dsx1yptyfHoe3QjEs4t_9xgzP?usp=sharing" TargetMode="Externa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3E4F0-9067-4B9C-9944-765691DF0033}">
  <dimension ref="D1:AT206"/>
  <sheetViews>
    <sheetView tabSelected="1" topLeftCell="B1" workbookViewId="0">
      <selection activeCell="G4" sqref="G4"/>
    </sheetView>
  </sheetViews>
  <sheetFormatPr defaultColWidth="11.42578125" defaultRowHeight="15" x14ac:dyDescent="0.25"/>
  <cols>
    <col min="4" max="4" width="40.85546875" customWidth="1"/>
    <col min="5" max="5" width="32.28515625" customWidth="1"/>
    <col min="7" max="7" width="18.85546875" customWidth="1"/>
    <col min="10" max="10" width="17.140625" style="1" hidden="1" customWidth="1"/>
    <col min="11" max="11" width="10.28515625" hidden="1" customWidth="1"/>
    <col min="12" max="12" width="15.42578125" hidden="1" customWidth="1"/>
    <col min="13" max="13" width="11.28515625" hidden="1" customWidth="1"/>
    <col min="14" max="14" width="15.85546875" hidden="1" customWidth="1"/>
    <col min="15" max="15" width="17.42578125" style="2" hidden="1" customWidth="1"/>
    <col min="16" max="16" width="11.42578125" style="3" hidden="1" customWidth="1"/>
    <col min="17" max="20" width="0" hidden="1" customWidth="1"/>
    <col min="21" max="21" width="23.85546875" bestFit="1" customWidth="1"/>
    <col min="22" max="22" width="14.85546875" bestFit="1" customWidth="1"/>
    <col min="23" max="23" width="12.140625" bestFit="1" customWidth="1"/>
    <col min="24" max="24" width="10" bestFit="1" customWidth="1"/>
    <col min="25" max="25" width="12.140625" bestFit="1" customWidth="1"/>
    <col min="26" max="26" width="15.42578125" customWidth="1"/>
    <col min="27" max="27" width="23.85546875" bestFit="1" customWidth="1"/>
    <col min="28" max="28" width="17.7109375" bestFit="1" customWidth="1"/>
    <col min="29" max="29" width="18.140625" hidden="1" customWidth="1"/>
    <col min="30" max="30" width="16.42578125" hidden="1" customWidth="1"/>
    <col min="31" max="31" width="18.85546875" style="1" hidden="1" customWidth="1"/>
    <col min="32" max="32" width="13" hidden="1" customWidth="1"/>
    <col min="33" max="33" width="17.140625" style="1" hidden="1" customWidth="1"/>
    <col min="34" max="34" width="10.28515625" hidden="1" customWidth="1"/>
    <col min="35" max="35" width="17.42578125" style="2" hidden="1" customWidth="1"/>
    <col min="36" max="36" width="0" hidden="1" customWidth="1"/>
    <col min="37" max="37" width="11.42578125" style="3" hidden="1" customWidth="1"/>
    <col min="38" max="38" width="12.140625" bestFit="1" customWidth="1"/>
    <col min="39" max="39" width="14.28515625" bestFit="1" customWidth="1"/>
    <col min="40" max="41" width="6.140625" bestFit="1" customWidth="1"/>
    <col min="42" max="42" width="10" bestFit="1" customWidth="1"/>
    <col min="44" max="46" width="0" hidden="1" customWidth="1"/>
  </cols>
  <sheetData>
    <row r="1" spans="4:46" x14ac:dyDescent="0.25">
      <c r="J1" s="1" t="s">
        <v>0</v>
      </c>
      <c r="K1" t="s">
        <v>1</v>
      </c>
      <c r="L1" t="s">
        <v>2</v>
      </c>
      <c r="M1" t="s">
        <v>3</v>
      </c>
      <c r="N1" t="s">
        <v>4</v>
      </c>
      <c r="O1" s="2" t="s">
        <v>5</v>
      </c>
      <c r="P1" s="3" t="s">
        <v>6</v>
      </c>
      <c r="Q1" s="4" t="s">
        <v>7</v>
      </c>
      <c r="R1" s="4" t="s">
        <v>8</v>
      </c>
      <c r="S1" s="4" t="s">
        <v>9</v>
      </c>
      <c r="T1" s="4" t="s">
        <v>10</v>
      </c>
      <c r="AG1" s="1" t="s">
        <v>0</v>
      </c>
      <c r="AH1" t="s">
        <v>1</v>
      </c>
      <c r="AI1" s="2" t="s">
        <v>5</v>
      </c>
      <c r="AJ1" s="4" t="s">
        <v>7</v>
      </c>
      <c r="AK1" s="3" t="s">
        <v>6</v>
      </c>
    </row>
    <row r="2" spans="4:46" ht="18.75" x14ac:dyDescent="0.3">
      <c r="D2" s="5" t="s">
        <v>11</v>
      </c>
      <c r="E2" s="6" t="s">
        <v>12</v>
      </c>
      <c r="F2" s="5"/>
      <c r="G2" s="5"/>
      <c r="H2" s="5"/>
      <c r="I2" s="5"/>
      <c r="J2" s="7"/>
      <c r="K2" s="5"/>
      <c r="L2" s="5"/>
      <c r="M2" s="5"/>
      <c r="N2" s="5"/>
      <c r="O2" s="8"/>
      <c r="P2" s="9"/>
      <c r="Q2" s="5"/>
      <c r="R2" s="5"/>
      <c r="S2" s="5"/>
      <c r="T2" s="5"/>
      <c r="U2" s="5"/>
      <c r="AJ2" s="4"/>
    </row>
    <row r="3" spans="4:46" x14ac:dyDescent="0.25">
      <c r="Q3" s="4"/>
      <c r="R3" s="4"/>
      <c r="S3" s="4"/>
      <c r="T3" s="4"/>
      <c r="AJ3" s="4"/>
    </row>
    <row r="4" spans="4:46" x14ac:dyDescent="0.25">
      <c r="Q4" s="4"/>
      <c r="R4" s="4"/>
      <c r="S4" s="4"/>
      <c r="T4" s="4"/>
      <c r="AJ4" s="4"/>
    </row>
    <row r="5" spans="4:46" x14ac:dyDescent="0.25">
      <c r="J5" s="1">
        <v>45446</v>
      </c>
      <c r="K5" t="s">
        <v>13</v>
      </c>
      <c r="L5">
        <v>1312</v>
      </c>
      <c r="M5">
        <v>310</v>
      </c>
      <c r="N5">
        <v>42654</v>
      </c>
      <c r="O5" s="2">
        <v>4.9800000000000004E-2</v>
      </c>
      <c r="P5" s="3">
        <v>9566</v>
      </c>
      <c r="Q5">
        <f>YEAR([1]!Engagement_Summary[[#This Row],[Week_Start_Date]])</f>
        <v>2024</v>
      </c>
      <c r="R5">
        <f>MONTH([1]!Engagement_Summary[[#This Row],[Week_Start_Date]])</f>
        <v>6</v>
      </c>
      <c r="S5">
        <f t="shared" ref="S5:S68" si="0" xml:space="preserve"> INT((DAY(J5)-1)/7)+1</f>
        <v>1</v>
      </c>
      <c r="T5">
        <f>[1]!Engagement_Summary[[#This Row],[New_Followers]]-[1]!Engagement_Summary[[#This Row],[Unfollows]]</f>
        <v>1670</v>
      </c>
      <c r="AG5" s="1">
        <v>45446</v>
      </c>
      <c r="AH5" t="s">
        <v>13</v>
      </c>
      <c r="AI5" s="2">
        <v>4.9800000000000004E-2</v>
      </c>
      <c r="AJ5">
        <f>YEAR([1]!Engagement_Summary[[#This Row],[Week_Start_Date]])</f>
        <v>2024</v>
      </c>
      <c r="AK5" s="3">
        <v>9566</v>
      </c>
    </row>
    <row r="6" spans="4:46" x14ac:dyDescent="0.25">
      <c r="D6" s="10" t="s">
        <v>14</v>
      </c>
      <c r="J6" s="1">
        <v>45453</v>
      </c>
      <c r="K6" t="s">
        <v>13</v>
      </c>
      <c r="L6">
        <v>1697</v>
      </c>
      <c r="M6">
        <v>414</v>
      </c>
      <c r="N6">
        <v>316555</v>
      </c>
      <c r="O6" s="2">
        <v>2.3700000000000002E-2</v>
      </c>
      <c r="P6" s="3">
        <v>7924</v>
      </c>
      <c r="Q6">
        <f>YEAR([1]!Engagement_Summary[[#This Row],[Week_Start_Date]])</f>
        <v>2024</v>
      </c>
      <c r="R6">
        <f>MONTH([1]!Engagement_Summary[[#This Row],[Week_Start_Date]])</f>
        <v>7</v>
      </c>
      <c r="S6">
        <f t="shared" si="0"/>
        <v>2</v>
      </c>
      <c r="T6">
        <f>[1]!Engagement_Summary[[#This Row],[New_Followers]]-[1]!Engagement_Summary[[#This Row],[Unfollows]]</f>
        <v>64</v>
      </c>
      <c r="U6" s="11" t="s">
        <v>15</v>
      </c>
      <c r="V6" s="11"/>
      <c r="W6" s="11"/>
      <c r="X6" s="11"/>
      <c r="Z6" s="11" t="s">
        <v>16</v>
      </c>
      <c r="AA6" s="11"/>
      <c r="AB6" s="11"/>
      <c r="AG6" s="1">
        <v>45453</v>
      </c>
      <c r="AH6" t="s">
        <v>13</v>
      </c>
      <c r="AI6" s="2">
        <v>2.3700000000000002E-2</v>
      </c>
      <c r="AJ6">
        <f>YEAR([1]!Engagement_Summary[[#This Row],[Week_Start_Date]])</f>
        <v>2024</v>
      </c>
      <c r="AK6" s="3">
        <v>7924</v>
      </c>
      <c r="AR6" s="12" t="s">
        <v>1</v>
      </c>
      <c r="AS6" s="12" t="s">
        <v>3</v>
      </c>
      <c r="AT6" s="13" t="s">
        <v>7</v>
      </c>
    </row>
    <row r="7" spans="4:46" x14ac:dyDescent="0.25">
      <c r="J7" s="1">
        <v>45460</v>
      </c>
      <c r="K7" t="s">
        <v>13</v>
      </c>
      <c r="L7">
        <v>1753</v>
      </c>
      <c r="M7">
        <v>371</v>
      </c>
      <c r="N7">
        <v>169496</v>
      </c>
      <c r="O7" s="2">
        <v>8.1099999999999992E-2</v>
      </c>
      <c r="P7" s="3">
        <v>46670</v>
      </c>
      <c r="Q7">
        <f>YEAR([1]!Engagement_Summary[[#This Row],[Week_Start_Date]])</f>
        <v>2024</v>
      </c>
      <c r="R7">
        <f>MONTH([1]!Engagement_Summary[[#This Row],[Week_Start_Date]])</f>
        <v>7</v>
      </c>
      <c r="S7">
        <f t="shared" si="0"/>
        <v>3</v>
      </c>
      <c r="T7">
        <f>[1]!Engagement_Summary[[#This Row],[New_Followers]]-[1]!Engagement_Summary[[#This Row],[Unfollows]]</f>
        <v>309</v>
      </c>
      <c r="U7" s="12" t="s">
        <v>17</v>
      </c>
      <c r="V7" s="12" t="s">
        <v>7</v>
      </c>
      <c r="W7" s="12"/>
      <c r="X7" s="12"/>
      <c r="Z7" s="12" t="s">
        <v>1</v>
      </c>
      <c r="AA7" s="12" t="s">
        <v>18</v>
      </c>
      <c r="AB7" s="12" t="s">
        <v>19</v>
      </c>
      <c r="AE7"/>
      <c r="AG7" s="1">
        <v>45460</v>
      </c>
      <c r="AH7" t="s">
        <v>13</v>
      </c>
      <c r="AI7" s="2">
        <v>8.1099999999999992E-2</v>
      </c>
      <c r="AJ7">
        <f>YEAR([1]!Engagement_Summary[[#This Row],[Week_Start_Date]])</f>
        <v>2024</v>
      </c>
      <c r="AK7" s="3">
        <v>46670</v>
      </c>
      <c r="AR7" s="12" t="s">
        <v>13</v>
      </c>
      <c r="AS7" s="12">
        <v>310</v>
      </c>
      <c r="AT7" s="12">
        <f>YEAR([1]!Engagement_Summary[[#This Row],[Week_Start_Date]])</f>
        <v>2024</v>
      </c>
    </row>
    <row r="8" spans="4:46" x14ac:dyDescent="0.25">
      <c r="D8" s="14" t="s">
        <v>20</v>
      </c>
      <c r="E8" s="15" t="s">
        <v>13</v>
      </c>
      <c r="F8" s="15" t="s">
        <v>21</v>
      </c>
      <c r="J8" s="1">
        <v>45467</v>
      </c>
      <c r="K8" t="s">
        <v>13</v>
      </c>
      <c r="L8">
        <v>1779</v>
      </c>
      <c r="M8">
        <v>109</v>
      </c>
      <c r="N8">
        <v>26295</v>
      </c>
      <c r="O8" s="2">
        <v>9.1199999999999989E-2</v>
      </c>
      <c r="P8" s="3">
        <v>30635</v>
      </c>
      <c r="Q8">
        <f>YEAR([1]!Engagement_Summary[[#This Row],[Week_Start_Date]])</f>
        <v>2024</v>
      </c>
      <c r="R8">
        <f>MONTH([1]!Engagement_Summary[[#This Row],[Week_Start_Date]])</f>
        <v>7</v>
      </c>
      <c r="S8">
        <f t="shared" si="0"/>
        <v>4</v>
      </c>
      <c r="T8">
        <f>[1]!Engagement_Summary[[#This Row],[New_Followers]]-[1]!Engagement_Summary[[#This Row],[Unfollows]]</f>
        <v>-164</v>
      </c>
      <c r="U8" s="12" t="s">
        <v>1</v>
      </c>
      <c r="V8" s="12">
        <v>2024</v>
      </c>
      <c r="W8" s="12">
        <v>2025</v>
      </c>
      <c r="X8" s="12" t="s">
        <v>22</v>
      </c>
      <c r="Z8" s="16" t="s">
        <v>13</v>
      </c>
      <c r="AA8" s="12">
        <v>5.6485999999999995E-2</v>
      </c>
      <c r="AB8" s="12">
        <v>27590.78</v>
      </c>
      <c r="AE8"/>
      <c r="AG8" s="1">
        <v>45467</v>
      </c>
      <c r="AH8" t="s">
        <v>13</v>
      </c>
      <c r="AI8" s="2">
        <v>9.1199999999999989E-2</v>
      </c>
      <c r="AJ8">
        <f>YEAR([1]!Engagement_Summary[[#This Row],[Week_Start_Date]])</f>
        <v>2024</v>
      </c>
      <c r="AK8" s="3">
        <v>30635</v>
      </c>
      <c r="AR8" s="12" t="s">
        <v>13</v>
      </c>
      <c r="AS8" s="12">
        <v>414</v>
      </c>
      <c r="AT8" s="12">
        <f>YEAR([1]!Engagement_Summary[[#This Row],[Week_Start_Date]])</f>
        <v>2024</v>
      </c>
    </row>
    <row r="9" spans="4:46" x14ac:dyDescent="0.25">
      <c r="D9" s="17"/>
      <c r="E9" s="15" t="s">
        <v>23</v>
      </c>
      <c r="F9" s="15" t="s">
        <v>24</v>
      </c>
      <c r="J9" s="1">
        <v>45474</v>
      </c>
      <c r="K9" t="s">
        <v>13</v>
      </c>
      <c r="L9">
        <v>505</v>
      </c>
      <c r="M9">
        <v>441</v>
      </c>
      <c r="N9">
        <v>220020</v>
      </c>
      <c r="O9" s="2">
        <v>4.4800000000000006E-2</v>
      </c>
      <c r="P9" s="3">
        <v>42307</v>
      </c>
      <c r="Q9">
        <f>YEAR([1]!Engagement_Summary[[#This Row],[Week_Start_Date]])</f>
        <v>2024</v>
      </c>
      <c r="R9">
        <f>MONTH([1]!Engagement_Summary[[#This Row],[Week_Start_Date]])</f>
        <v>7</v>
      </c>
      <c r="S9">
        <f t="shared" si="0"/>
        <v>1</v>
      </c>
      <c r="T9">
        <f>[1]!Engagement_Summary[[#This Row],[New_Followers]]-[1]!Engagement_Summary[[#This Row],[Unfollows]]</f>
        <v>961</v>
      </c>
      <c r="U9" s="16" t="s">
        <v>13</v>
      </c>
      <c r="V9" s="12">
        <v>275113.61290322582</v>
      </c>
      <c r="W9" s="12">
        <v>276373.63157894736</v>
      </c>
      <c r="X9" s="12">
        <v>275592.42</v>
      </c>
      <c r="Z9" s="18" t="s">
        <v>23</v>
      </c>
      <c r="AA9" s="19">
        <v>5.7155999999999992E-2</v>
      </c>
      <c r="AB9" s="19">
        <v>23287.46</v>
      </c>
      <c r="AE9"/>
      <c r="AG9" s="1">
        <v>45474</v>
      </c>
      <c r="AH9" t="s">
        <v>13</v>
      </c>
      <c r="AI9" s="2">
        <v>4.4800000000000006E-2</v>
      </c>
      <c r="AJ9">
        <f>YEAR([1]!Engagement_Summary[[#This Row],[Week_Start_Date]])</f>
        <v>2024</v>
      </c>
      <c r="AK9" s="3">
        <v>42307</v>
      </c>
      <c r="AR9" s="12" t="s">
        <v>13</v>
      </c>
      <c r="AS9" s="12">
        <v>371</v>
      </c>
      <c r="AT9" s="12">
        <f>YEAR([1]!Engagement_Summary[[#This Row],[Week_Start_Date]])</f>
        <v>2024</v>
      </c>
    </row>
    <row r="10" spans="4:46" x14ac:dyDescent="0.25">
      <c r="D10" s="17"/>
      <c r="E10" s="15" t="s">
        <v>25</v>
      </c>
      <c r="F10" s="15" t="s">
        <v>26</v>
      </c>
      <c r="J10" s="1">
        <v>45481</v>
      </c>
      <c r="K10" t="s">
        <v>13</v>
      </c>
      <c r="L10">
        <v>350</v>
      </c>
      <c r="M10">
        <v>41</v>
      </c>
      <c r="N10">
        <v>251694</v>
      </c>
      <c r="O10" s="2">
        <v>1.9099999999999999E-2</v>
      </c>
      <c r="P10" s="3">
        <v>38610</v>
      </c>
      <c r="Q10">
        <f>YEAR([1]!Engagement_Summary[[#This Row],[Week_Start_Date]])</f>
        <v>2024</v>
      </c>
      <c r="R10">
        <f>MONTH([1]!Engagement_Summary[[#This Row],[Week_Start_Date]])</f>
        <v>7</v>
      </c>
      <c r="S10">
        <f t="shared" si="0"/>
        <v>2</v>
      </c>
      <c r="T10">
        <f>[1]!Engagement_Summary[[#This Row],[New_Followers]]-[1]!Engagement_Summary[[#This Row],[Unfollows]]</f>
        <v>-318</v>
      </c>
      <c r="U10" s="16" t="s">
        <v>23</v>
      </c>
      <c r="V10" s="12">
        <v>267535.32258064515</v>
      </c>
      <c r="W10" s="12">
        <v>318862.68421052629</v>
      </c>
      <c r="X10" s="12">
        <v>287039.71999999997</v>
      </c>
      <c r="Z10" s="16" t="s">
        <v>27</v>
      </c>
      <c r="AA10" s="12">
        <v>5.6557999999999983E-2</v>
      </c>
      <c r="AB10" s="12">
        <v>21207.14</v>
      </c>
      <c r="AE10"/>
      <c r="AG10" s="1">
        <v>45481</v>
      </c>
      <c r="AH10" t="s">
        <v>13</v>
      </c>
      <c r="AI10" s="2">
        <v>1.9099999999999999E-2</v>
      </c>
      <c r="AJ10">
        <f>YEAR([1]!Engagement_Summary[[#This Row],[Week_Start_Date]])</f>
        <v>2024</v>
      </c>
      <c r="AK10" s="3">
        <v>38610</v>
      </c>
      <c r="AR10" s="12" t="s">
        <v>13</v>
      </c>
      <c r="AS10" s="12">
        <v>109</v>
      </c>
      <c r="AT10" s="12">
        <f>YEAR([1]!Engagement_Summary[[#This Row],[Week_Start_Date]])</f>
        <v>2024</v>
      </c>
    </row>
    <row r="11" spans="4:46" x14ac:dyDescent="0.25">
      <c r="D11" s="20"/>
      <c r="E11" s="15" t="s">
        <v>28</v>
      </c>
      <c r="F11" s="15" t="s">
        <v>29</v>
      </c>
      <c r="J11" s="1">
        <v>45488</v>
      </c>
      <c r="K11" t="s">
        <v>13</v>
      </c>
      <c r="L11">
        <v>170</v>
      </c>
      <c r="M11">
        <v>334</v>
      </c>
      <c r="N11">
        <v>334626</v>
      </c>
      <c r="O11" s="2">
        <v>6.4399999999999999E-2</v>
      </c>
      <c r="P11" s="3">
        <v>43420</v>
      </c>
      <c r="Q11">
        <f>YEAR([1]!Engagement_Summary[[#This Row],[Week_Start_Date]])</f>
        <v>2024</v>
      </c>
      <c r="R11">
        <f>MONTH([1]!Engagement_Summary[[#This Row],[Week_Start_Date]])</f>
        <v>8</v>
      </c>
      <c r="S11">
        <f t="shared" si="0"/>
        <v>3</v>
      </c>
      <c r="T11">
        <f>[1]!Engagement_Summary[[#This Row],[New_Followers]]-[1]!Engagement_Summary[[#This Row],[Unfollows]]</f>
        <v>-197</v>
      </c>
      <c r="U11" s="16" t="s">
        <v>27</v>
      </c>
      <c r="V11" s="12">
        <v>270290.12903225806</v>
      </c>
      <c r="W11" s="12">
        <v>255137.21052631579</v>
      </c>
      <c r="X11" s="12">
        <v>264532.02</v>
      </c>
      <c r="Z11" s="16" t="s">
        <v>30</v>
      </c>
      <c r="AA11" s="12">
        <v>5.5587999999999978E-2</v>
      </c>
      <c r="AB11" s="12">
        <v>24572.94</v>
      </c>
      <c r="AE11"/>
      <c r="AG11" s="1">
        <v>45488</v>
      </c>
      <c r="AH11" t="s">
        <v>13</v>
      </c>
      <c r="AI11" s="2">
        <v>6.4399999999999999E-2</v>
      </c>
      <c r="AJ11">
        <f>YEAR([1]!Engagement_Summary[[#This Row],[Week_Start_Date]])</f>
        <v>2024</v>
      </c>
      <c r="AK11" s="3">
        <v>43420</v>
      </c>
      <c r="AR11" s="12" t="s">
        <v>13</v>
      </c>
      <c r="AS11" s="12">
        <v>441</v>
      </c>
      <c r="AT11" s="12">
        <f>YEAR([1]!Engagement_Summary[[#This Row],[Week_Start_Date]])</f>
        <v>2024</v>
      </c>
    </row>
    <row r="12" spans="4:46" x14ac:dyDescent="0.25">
      <c r="D12" s="21"/>
      <c r="J12" s="1">
        <v>45495</v>
      </c>
      <c r="K12" t="s">
        <v>13</v>
      </c>
      <c r="L12">
        <v>1391</v>
      </c>
      <c r="M12">
        <v>430</v>
      </c>
      <c r="N12">
        <v>295032</v>
      </c>
      <c r="O12" s="2">
        <v>7.8600000000000003E-2</v>
      </c>
      <c r="P12" s="3">
        <v>26067</v>
      </c>
      <c r="Q12">
        <f>YEAR([1]!Engagement_Summary[[#This Row],[Week_Start_Date]])</f>
        <v>2024</v>
      </c>
      <c r="R12">
        <f>MONTH([1]!Engagement_Summary[[#This Row],[Week_Start_Date]])</f>
        <v>8</v>
      </c>
      <c r="S12">
        <f t="shared" si="0"/>
        <v>4</v>
      </c>
      <c r="T12">
        <f>[1]!Engagement_Summary[[#This Row],[New_Followers]]-[1]!Engagement_Summary[[#This Row],[Unfollows]]</f>
        <v>1334</v>
      </c>
      <c r="U12" s="16" t="s">
        <v>30</v>
      </c>
      <c r="V12" s="12">
        <v>222639</v>
      </c>
      <c r="W12" s="12">
        <v>243473.94736842104</v>
      </c>
      <c r="X12" s="12">
        <v>230556.28</v>
      </c>
      <c r="Z12" s="16" t="s">
        <v>22</v>
      </c>
      <c r="AA12" s="12">
        <v>5.6446999999999969E-2</v>
      </c>
      <c r="AB12" s="12">
        <v>24164.58</v>
      </c>
      <c r="AE12"/>
      <c r="AG12" s="1">
        <v>45495</v>
      </c>
      <c r="AH12" t="s">
        <v>13</v>
      </c>
      <c r="AI12" s="2">
        <v>7.8600000000000003E-2</v>
      </c>
      <c r="AJ12">
        <f>YEAR([1]!Engagement_Summary[[#This Row],[Week_Start_Date]])</f>
        <v>2024</v>
      </c>
      <c r="AK12" s="3">
        <v>26067</v>
      </c>
      <c r="AR12" s="12" t="s">
        <v>13</v>
      </c>
      <c r="AS12" s="12">
        <v>41</v>
      </c>
      <c r="AT12" s="12">
        <f>YEAR([1]!Engagement_Summary[[#This Row],[Week_Start_Date]])</f>
        <v>2024</v>
      </c>
    </row>
    <row r="13" spans="4:46" x14ac:dyDescent="0.25">
      <c r="D13" s="21"/>
      <c r="J13" s="1">
        <v>45502</v>
      </c>
      <c r="K13" t="s">
        <v>13</v>
      </c>
      <c r="L13">
        <v>160</v>
      </c>
      <c r="M13">
        <v>478</v>
      </c>
      <c r="N13">
        <v>435034</v>
      </c>
      <c r="O13" s="2">
        <v>7.7300000000000008E-2</v>
      </c>
      <c r="P13" s="3">
        <v>4839</v>
      </c>
      <c r="Q13">
        <f>YEAR([1]!Engagement_Summary[[#This Row],[Week_Start_Date]])</f>
        <v>2024</v>
      </c>
      <c r="R13">
        <f>MONTH([1]!Engagement_Summary[[#This Row],[Week_Start_Date]])</f>
        <v>8</v>
      </c>
      <c r="S13">
        <f t="shared" si="0"/>
        <v>5</v>
      </c>
      <c r="T13">
        <f>[1]!Engagement_Summary[[#This Row],[New_Followers]]-[1]!Engagement_Summary[[#This Row],[Unfollows]]</f>
        <v>1058</v>
      </c>
      <c r="U13" s="16" t="s">
        <v>22</v>
      </c>
      <c r="V13" s="12">
        <v>258894.51612903227</v>
      </c>
      <c r="W13" s="12">
        <v>273461.86842105264</v>
      </c>
      <c r="X13" s="12">
        <v>264430.11</v>
      </c>
      <c r="AE13"/>
      <c r="AG13" s="1">
        <v>45502</v>
      </c>
      <c r="AH13" t="s">
        <v>13</v>
      </c>
      <c r="AI13" s="2">
        <v>7.7300000000000008E-2</v>
      </c>
      <c r="AJ13">
        <f>YEAR([1]!Engagement_Summary[[#This Row],[Week_Start_Date]])</f>
        <v>2024</v>
      </c>
      <c r="AK13" s="3">
        <v>4839</v>
      </c>
      <c r="AR13" s="12" t="s">
        <v>13</v>
      </c>
      <c r="AS13" s="12">
        <v>334</v>
      </c>
      <c r="AT13" s="12">
        <f>YEAR([1]!Engagement_Summary[[#This Row],[Week_Start_Date]])</f>
        <v>2024</v>
      </c>
    </row>
    <row r="14" spans="4:46" x14ac:dyDescent="0.25">
      <c r="D14" s="21"/>
      <c r="J14" s="1">
        <v>45509</v>
      </c>
      <c r="K14" t="s">
        <v>13</v>
      </c>
      <c r="L14">
        <v>214</v>
      </c>
      <c r="M14">
        <v>411</v>
      </c>
      <c r="N14">
        <v>125034</v>
      </c>
      <c r="O14" s="2">
        <v>6.1100000000000002E-2</v>
      </c>
      <c r="P14" s="3">
        <v>26455</v>
      </c>
      <c r="Q14">
        <f>YEAR([1]!Engagement_Summary[[#This Row],[Week_Start_Date]])</f>
        <v>2024</v>
      </c>
      <c r="R14">
        <f>MONTH([1]!Engagement_Summary[[#This Row],[Week_Start_Date]])</f>
        <v>8</v>
      </c>
      <c r="S14">
        <f t="shared" si="0"/>
        <v>1</v>
      </c>
      <c r="T14">
        <f>[1]!Engagement_Summary[[#This Row],[New_Followers]]-[1]!Engagement_Summary[[#This Row],[Unfollows]]</f>
        <v>37</v>
      </c>
      <c r="AE14"/>
      <c r="AG14" s="1">
        <v>45509</v>
      </c>
      <c r="AH14" t="s">
        <v>13</v>
      </c>
      <c r="AI14" s="2">
        <v>6.1100000000000002E-2</v>
      </c>
      <c r="AJ14">
        <f>YEAR([1]!Engagement_Summary[[#This Row],[Week_Start_Date]])</f>
        <v>2024</v>
      </c>
      <c r="AK14" s="3">
        <v>26455</v>
      </c>
      <c r="AR14" s="12" t="s">
        <v>13</v>
      </c>
      <c r="AS14" s="12">
        <v>430</v>
      </c>
      <c r="AT14" s="12">
        <f>YEAR([1]!Engagement_Summary[[#This Row],[Week_Start_Date]])</f>
        <v>2024</v>
      </c>
    </row>
    <row r="15" spans="4:46" ht="15" customHeight="1" x14ac:dyDescent="0.25">
      <c r="D15" s="22" t="s">
        <v>31</v>
      </c>
      <c r="E15" s="23" t="s">
        <v>32</v>
      </c>
      <c r="F15" s="23"/>
      <c r="G15" s="23"/>
      <c r="J15" s="1">
        <v>45516</v>
      </c>
      <c r="K15" t="s">
        <v>13</v>
      </c>
      <c r="L15">
        <v>1534</v>
      </c>
      <c r="M15">
        <v>200</v>
      </c>
      <c r="N15">
        <v>307612</v>
      </c>
      <c r="O15" s="2">
        <v>6.0100000000000001E-2</v>
      </c>
      <c r="P15" s="3">
        <v>37903</v>
      </c>
      <c r="Q15">
        <f>YEAR([1]!Engagement_Summary[[#This Row],[Week_Start_Date]])</f>
        <v>2024</v>
      </c>
      <c r="R15">
        <f>MONTH([1]!Engagement_Summary[[#This Row],[Week_Start_Date]])</f>
        <v>9</v>
      </c>
      <c r="S15">
        <f t="shared" si="0"/>
        <v>2</v>
      </c>
      <c r="T15">
        <f>[1]!Engagement_Summary[[#This Row],[New_Followers]]-[1]!Engagement_Summary[[#This Row],[Unfollows]]</f>
        <v>1045</v>
      </c>
      <c r="U15" s="24" t="s">
        <v>33</v>
      </c>
      <c r="V15" s="25"/>
      <c r="W15" s="25"/>
      <c r="X15" s="25"/>
      <c r="AG15" s="1">
        <v>45516</v>
      </c>
      <c r="AH15" t="s">
        <v>13</v>
      </c>
      <c r="AI15" s="2">
        <v>6.0100000000000001E-2</v>
      </c>
      <c r="AJ15">
        <f>YEAR([1]!Engagement_Summary[[#This Row],[Week_Start_Date]])</f>
        <v>2024</v>
      </c>
      <c r="AK15" s="3">
        <v>37903</v>
      </c>
      <c r="AR15" s="12" t="s">
        <v>13</v>
      </c>
      <c r="AS15" s="12">
        <v>478</v>
      </c>
      <c r="AT15" s="12">
        <f>YEAR([1]!Engagement_Summary[[#This Row],[Week_Start_Date]])</f>
        <v>2024</v>
      </c>
    </row>
    <row r="16" spans="4:46" x14ac:dyDescent="0.25">
      <c r="D16" s="22"/>
      <c r="E16" s="23"/>
      <c r="F16" s="23"/>
      <c r="G16" s="23"/>
      <c r="J16" s="1">
        <v>45523</v>
      </c>
      <c r="K16" t="s">
        <v>13</v>
      </c>
      <c r="L16">
        <v>1078</v>
      </c>
      <c r="M16">
        <v>20</v>
      </c>
      <c r="N16">
        <v>183924</v>
      </c>
      <c r="O16" s="2">
        <v>8.8399999999999992E-2</v>
      </c>
      <c r="P16" s="3">
        <v>14203</v>
      </c>
      <c r="Q16">
        <f>YEAR([1]!Engagement_Summary[[#This Row],[Week_Start_Date]])</f>
        <v>2024</v>
      </c>
      <c r="R16">
        <f>MONTH([1]!Engagement_Summary[[#This Row],[Week_Start_Date]])</f>
        <v>9</v>
      </c>
      <c r="S16">
        <f t="shared" si="0"/>
        <v>3</v>
      </c>
      <c r="T16">
        <f>[1]!Engagement_Summary[[#This Row],[New_Followers]]-[1]!Engagement_Summary[[#This Row],[Unfollows]]</f>
        <v>1428</v>
      </c>
      <c r="U16" s="26" t="s">
        <v>34</v>
      </c>
      <c r="V16" s="26"/>
      <c r="W16" s="26"/>
      <c r="X16" s="26"/>
      <c r="AG16" s="1">
        <v>45523</v>
      </c>
      <c r="AH16" t="s">
        <v>13</v>
      </c>
      <c r="AI16" s="2">
        <v>8.8399999999999992E-2</v>
      </c>
      <c r="AJ16">
        <f>YEAR([1]!Engagement_Summary[[#This Row],[Week_Start_Date]])</f>
        <v>2024</v>
      </c>
      <c r="AK16" s="3">
        <v>14203</v>
      </c>
      <c r="AR16" s="12" t="s">
        <v>13</v>
      </c>
      <c r="AS16" s="12">
        <v>411</v>
      </c>
      <c r="AT16" s="12">
        <f>YEAR([1]!Engagement_Summary[[#This Row],[Week_Start_Date]])</f>
        <v>2024</v>
      </c>
    </row>
    <row r="17" spans="4:46" x14ac:dyDescent="0.25">
      <c r="D17" s="22"/>
      <c r="E17" s="23"/>
      <c r="F17" s="23"/>
      <c r="G17" s="23"/>
      <c r="J17" s="1">
        <v>45530</v>
      </c>
      <c r="K17" t="s">
        <v>13</v>
      </c>
      <c r="L17">
        <v>248</v>
      </c>
      <c r="M17">
        <v>211</v>
      </c>
      <c r="N17">
        <v>379380</v>
      </c>
      <c r="O17" s="2">
        <v>9.0399999999999994E-2</v>
      </c>
      <c r="P17" s="3">
        <v>26925</v>
      </c>
      <c r="Q17">
        <f>YEAR([1]!Engagement_Summary[[#This Row],[Week_Start_Date]])</f>
        <v>2024</v>
      </c>
      <c r="R17">
        <f>MONTH([1]!Engagement_Summary[[#This Row],[Week_Start_Date]])</f>
        <v>9</v>
      </c>
      <c r="S17">
        <f t="shared" si="0"/>
        <v>4</v>
      </c>
      <c r="T17">
        <f>[1]!Engagement_Summary[[#This Row],[New_Followers]]-[1]!Engagement_Summary[[#This Row],[Unfollows]]</f>
        <v>98</v>
      </c>
      <c r="Z17" s="11" t="s">
        <v>35</v>
      </c>
      <c r="AA17" s="11"/>
      <c r="AG17" s="1">
        <v>45530</v>
      </c>
      <c r="AH17" t="s">
        <v>13</v>
      </c>
      <c r="AI17" s="2">
        <v>9.0399999999999994E-2</v>
      </c>
      <c r="AJ17">
        <f>YEAR([1]!Engagement_Summary[[#This Row],[Week_Start_Date]])</f>
        <v>2024</v>
      </c>
      <c r="AK17" s="3">
        <v>26925</v>
      </c>
      <c r="AL17" s="27" t="s">
        <v>36</v>
      </c>
      <c r="AM17" s="27"/>
      <c r="AR17" s="12" t="s">
        <v>13</v>
      </c>
      <c r="AS17" s="12">
        <v>200</v>
      </c>
      <c r="AT17" s="12">
        <f>YEAR([1]!Engagement_Summary[[#This Row],[Week_Start_Date]])</f>
        <v>2024</v>
      </c>
    </row>
    <row r="18" spans="4:46" x14ac:dyDescent="0.25">
      <c r="D18" s="22"/>
      <c r="E18" s="23"/>
      <c r="F18" s="23"/>
      <c r="G18" s="23"/>
      <c r="J18" s="1">
        <v>45537</v>
      </c>
      <c r="K18" t="s">
        <v>13</v>
      </c>
      <c r="L18">
        <v>1520</v>
      </c>
      <c r="M18">
        <v>475</v>
      </c>
      <c r="N18">
        <v>496982</v>
      </c>
      <c r="O18" s="2">
        <v>6.4100000000000004E-2</v>
      </c>
      <c r="P18" s="3">
        <v>24384</v>
      </c>
      <c r="Q18">
        <f>YEAR([1]!Engagement_Summary[[#This Row],[Week_Start_Date]])</f>
        <v>2024</v>
      </c>
      <c r="R18">
        <f>MONTH([1]!Engagement_Summary[[#This Row],[Week_Start_Date]])</f>
        <v>9</v>
      </c>
      <c r="S18">
        <f t="shared" si="0"/>
        <v>1</v>
      </c>
      <c r="T18">
        <f>[1]!Engagement_Summary[[#This Row],[New_Followers]]-[1]!Engagement_Summary[[#This Row],[Unfollows]]</f>
        <v>-19</v>
      </c>
      <c r="Z18" s="12" t="s">
        <v>37</v>
      </c>
      <c r="AA18" s="12" t="s">
        <v>38</v>
      </c>
      <c r="AG18" s="1">
        <v>45537</v>
      </c>
      <c r="AH18" t="s">
        <v>13</v>
      </c>
      <c r="AI18" s="2">
        <v>6.4100000000000004E-2</v>
      </c>
      <c r="AJ18">
        <f>YEAR([1]!Engagement_Summary[[#This Row],[Week_Start_Date]])</f>
        <v>2024</v>
      </c>
      <c r="AK18" s="3">
        <v>24384</v>
      </c>
      <c r="AL18" s="12" t="s">
        <v>1</v>
      </c>
      <c r="AM18" s="12" t="s">
        <v>39</v>
      </c>
      <c r="AR18" s="12" t="s">
        <v>13</v>
      </c>
      <c r="AS18" s="12">
        <v>20</v>
      </c>
      <c r="AT18" s="12">
        <f>YEAR([1]!Engagement_Summary[[#This Row],[Week_Start_Date]])</f>
        <v>2024</v>
      </c>
    </row>
    <row r="19" spans="4:46" x14ac:dyDescent="0.25">
      <c r="D19" s="21"/>
      <c r="J19" s="1">
        <v>45544</v>
      </c>
      <c r="K19" t="s">
        <v>13</v>
      </c>
      <c r="L19">
        <v>1842</v>
      </c>
      <c r="M19">
        <v>414</v>
      </c>
      <c r="N19">
        <v>307524</v>
      </c>
      <c r="O19" s="2">
        <v>1.7600000000000001E-2</v>
      </c>
      <c r="P19" s="3">
        <v>40478</v>
      </c>
      <c r="Q19">
        <f>YEAR([1]!Engagement_Summary[[#This Row],[Week_Start_Date]])</f>
        <v>2024</v>
      </c>
      <c r="R19">
        <f>MONTH([1]!Engagement_Summary[[#This Row],[Week_Start_Date]])</f>
        <v>9</v>
      </c>
      <c r="S19">
        <f t="shared" si="0"/>
        <v>2</v>
      </c>
      <c r="T19">
        <f>[1]!Engagement_Summary[[#This Row],[New_Followers]]-[1]!Engagement_Summary[[#This Row],[Unfollows]]</f>
        <v>-179</v>
      </c>
      <c r="Z19" s="16" t="s">
        <v>40</v>
      </c>
      <c r="AA19" s="12">
        <v>3529.034188034188</v>
      </c>
      <c r="AG19" s="1">
        <v>45544</v>
      </c>
      <c r="AH19" t="s">
        <v>13</v>
      </c>
      <c r="AI19" s="2">
        <v>1.7600000000000001E-2</v>
      </c>
      <c r="AJ19">
        <f>YEAR([1]!Engagement_Summary[[#This Row],[Week_Start_Date]])</f>
        <v>2024</v>
      </c>
      <c r="AK19" s="3">
        <v>40478</v>
      </c>
      <c r="AL19" s="16" t="s">
        <v>13</v>
      </c>
      <c r="AM19" s="12">
        <v>15305</v>
      </c>
      <c r="AR19" s="12" t="s">
        <v>13</v>
      </c>
      <c r="AS19" s="12">
        <v>211</v>
      </c>
      <c r="AT19" s="12">
        <f>YEAR([1]!Engagement_Summary[[#This Row],[Week_Start_Date]])</f>
        <v>2024</v>
      </c>
    </row>
    <row r="20" spans="4:46" ht="15" customHeight="1" x14ac:dyDescent="0.25">
      <c r="D20" s="28" t="s">
        <v>41</v>
      </c>
      <c r="E20" s="29" t="s">
        <v>42</v>
      </c>
      <c r="F20" s="29"/>
      <c r="J20" s="1">
        <v>45551</v>
      </c>
      <c r="K20" t="s">
        <v>13</v>
      </c>
      <c r="L20">
        <v>443</v>
      </c>
      <c r="M20">
        <v>345</v>
      </c>
      <c r="N20">
        <v>474162</v>
      </c>
      <c r="O20" s="2">
        <v>9.1999999999999998E-2</v>
      </c>
      <c r="P20" s="3">
        <v>47462</v>
      </c>
      <c r="Q20">
        <f>YEAR([1]!Engagement_Summary[[#This Row],[Week_Start_Date]])</f>
        <v>2024</v>
      </c>
      <c r="R20">
        <f>MONTH([1]!Engagement_Summary[[#This Row],[Week_Start_Date]])</f>
        <v>10</v>
      </c>
      <c r="S20">
        <f t="shared" si="0"/>
        <v>3</v>
      </c>
      <c r="T20">
        <f>[1]!Engagement_Summary[[#This Row],[New_Followers]]-[1]!Engagement_Summary[[#This Row],[Unfollows]]</f>
        <v>1662</v>
      </c>
      <c r="Z20" s="16" t="s">
        <v>43</v>
      </c>
      <c r="AA20" s="12">
        <v>3398.0222222222224</v>
      </c>
      <c r="AG20" s="1">
        <v>45551</v>
      </c>
      <c r="AH20" t="s">
        <v>13</v>
      </c>
      <c r="AI20" s="2">
        <v>9.1999999999999998E-2</v>
      </c>
      <c r="AJ20">
        <f>YEAR([1]!Engagement_Summary[[#This Row],[Week_Start_Date]])</f>
        <v>2024</v>
      </c>
      <c r="AK20" s="3">
        <v>47462</v>
      </c>
      <c r="AL20" s="16" t="s">
        <v>23</v>
      </c>
      <c r="AM20" s="12">
        <v>10307</v>
      </c>
      <c r="AR20" s="12" t="s">
        <v>13</v>
      </c>
      <c r="AS20" s="12">
        <v>475</v>
      </c>
      <c r="AT20" s="12">
        <f>YEAR([1]!Engagement_Summary[[#This Row],[Week_Start_Date]])</f>
        <v>2024</v>
      </c>
    </row>
    <row r="21" spans="4:46" x14ac:dyDescent="0.25">
      <c r="D21" s="30"/>
      <c r="E21" s="31"/>
      <c r="F21" s="31"/>
      <c r="J21" s="1">
        <v>45558</v>
      </c>
      <c r="K21" t="s">
        <v>13</v>
      </c>
      <c r="L21">
        <v>198</v>
      </c>
      <c r="M21">
        <v>217</v>
      </c>
      <c r="N21">
        <v>239753</v>
      </c>
      <c r="O21" s="2">
        <v>7.3599999999999999E-2</v>
      </c>
      <c r="P21" s="3">
        <v>11901</v>
      </c>
      <c r="Q21">
        <f>YEAR([1]!Engagement_Summary[[#This Row],[Week_Start_Date]])</f>
        <v>2024</v>
      </c>
      <c r="R21">
        <f>MONTH([1]!Engagement_Summary[[#This Row],[Week_Start_Date]])</f>
        <v>10</v>
      </c>
      <c r="S21">
        <f t="shared" si="0"/>
        <v>4</v>
      </c>
      <c r="T21">
        <f>[1]!Engagement_Summary[[#This Row],[New_Followers]]-[1]!Engagement_Summary[[#This Row],[Unfollows]]</f>
        <v>285</v>
      </c>
      <c r="Z21" s="16" t="s">
        <v>44</v>
      </c>
      <c r="AA21" s="12">
        <v>3555.4615384615386</v>
      </c>
      <c r="AG21" s="1">
        <v>45558</v>
      </c>
      <c r="AH21" t="s">
        <v>13</v>
      </c>
      <c r="AI21" s="2">
        <v>7.3599999999999999E-2</v>
      </c>
      <c r="AJ21">
        <f>YEAR([1]!Engagement_Summary[[#This Row],[Week_Start_Date]])</f>
        <v>2024</v>
      </c>
      <c r="AK21" s="3">
        <v>11901</v>
      </c>
      <c r="AL21" s="16" t="s">
        <v>27</v>
      </c>
      <c r="AM21" s="12">
        <v>12307</v>
      </c>
      <c r="AR21" s="12" t="s">
        <v>13</v>
      </c>
      <c r="AS21" s="12">
        <v>414</v>
      </c>
      <c r="AT21" s="12">
        <f>YEAR([1]!Engagement_Summary[[#This Row],[Week_Start_Date]])</f>
        <v>2024</v>
      </c>
    </row>
    <row r="22" spans="4:46" x14ac:dyDescent="0.25">
      <c r="D22" s="30"/>
      <c r="E22" s="31"/>
      <c r="F22" s="31"/>
      <c r="J22" s="1">
        <v>45565</v>
      </c>
      <c r="K22" t="s">
        <v>13</v>
      </c>
      <c r="L22">
        <v>250</v>
      </c>
      <c r="M22">
        <v>429</v>
      </c>
      <c r="N22">
        <v>453423</v>
      </c>
      <c r="O22" s="2">
        <v>1.77E-2</v>
      </c>
      <c r="P22" s="3">
        <v>2315</v>
      </c>
      <c r="Q22">
        <f>YEAR([1]!Engagement_Summary[[#This Row],[Week_Start_Date]])</f>
        <v>2024</v>
      </c>
      <c r="R22">
        <f>MONTH([1]!Engagement_Summary[[#This Row],[Week_Start_Date]])</f>
        <v>10</v>
      </c>
      <c r="S22">
        <f t="shared" si="0"/>
        <v>5</v>
      </c>
      <c r="T22">
        <f>[1]!Engagement_Summary[[#This Row],[New_Followers]]-[1]!Engagement_Summary[[#This Row],[Unfollows]]</f>
        <v>439</v>
      </c>
      <c r="Z22" s="16" t="s">
        <v>45</v>
      </c>
      <c r="AA22" s="12">
        <v>3348.8196721311474</v>
      </c>
      <c r="AG22" s="1">
        <v>45565</v>
      </c>
      <c r="AH22" t="s">
        <v>13</v>
      </c>
      <c r="AI22" s="2">
        <v>1.77E-2</v>
      </c>
      <c r="AJ22">
        <f>YEAR([1]!Engagement_Summary[[#This Row],[Week_Start_Date]])</f>
        <v>2024</v>
      </c>
      <c r="AK22" s="3">
        <v>2315</v>
      </c>
      <c r="AL22" s="16" t="s">
        <v>30</v>
      </c>
      <c r="AM22" s="12">
        <v>12104</v>
      </c>
      <c r="AR22" s="12" t="s">
        <v>13</v>
      </c>
      <c r="AS22" s="12">
        <v>345</v>
      </c>
      <c r="AT22" s="12">
        <f>YEAR([1]!Engagement_Summary[[#This Row],[Week_Start_Date]])</f>
        <v>2024</v>
      </c>
    </row>
    <row r="23" spans="4:46" x14ac:dyDescent="0.25">
      <c r="D23" s="21"/>
      <c r="J23" s="1">
        <v>45572</v>
      </c>
      <c r="K23" t="s">
        <v>13</v>
      </c>
      <c r="L23">
        <v>1929</v>
      </c>
      <c r="M23">
        <v>267</v>
      </c>
      <c r="N23">
        <v>379363</v>
      </c>
      <c r="O23" s="2">
        <v>1.7500000000000002E-2</v>
      </c>
      <c r="P23" s="3">
        <v>43836</v>
      </c>
      <c r="Q23">
        <f>YEAR([1]!Engagement_Summary[[#This Row],[Week_Start_Date]])</f>
        <v>2024</v>
      </c>
      <c r="R23">
        <f>MONTH([1]!Engagement_Summary[[#This Row],[Week_Start_Date]])</f>
        <v>10</v>
      </c>
      <c r="S23">
        <f t="shared" si="0"/>
        <v>1</v>
      </c>
      <c r="T23">
        <f>[1]!Engagement_Summary[[#This Row],[New_Followers]]-[1]!Engagement_Summary[[#This Row],[Unfollows]]</f>
        <v>386</v>
      </c>
      <c r="Z23" s="16" t="s">
        <v>22</v>
      </c>
      <c r="AA23" s="12">
        <v>3446.4601769911505</v>
      </c>
      <c r="AG23" s="1">
        <v>45572</v>
      </c>
      <c r="AH23" t="s">
        <v>13</v>
      </c>
      <c r="AI23" s="2">
        <v>1.7500000000000002E-2</v>
      </c>
      <c r="AJ23">
        <f>YEAR([1]!Engagement_Summary[[#This Row],[Week_Start_Date]])</f>
        <v>2024</v>
      </c>
      <c r="AK23" s="3">
        <v>43836</v>
      </c>
      <c r="AL23" s="16" t="s">
        <v>22</v>
      </c>
      <c r="AM23" s="12">
        <v>50023</v>
      </c>
      <c r="AR23" s="12" t="s">
        <v>13</v>
      </c>
      <c r="AS23" s="12">
        <v>217</v>
      </c>
      <c r="AT23" s="12">
        <f>YEAR([1]!Engagement_Summary[[#This Row],[Week_Start_Date]])</f>
        <v>2024</v>
      </c>
    </row>
    <row r="24" spans="4:46" ht="15" customHeight="1" x14ac:dyDescent="0.25">
      <c r="D24" s="22" t="s">
        <v>46</v>
      </c>
      <c r="E24" s="23" t="s">
        <v>47</v>
      </c>
      <c r="F24" s="23"/>
      <c r="J24" s="1">
        <v>45579</v>
      </c>
      <c r="K24" t="s">
        <v>13</v>
      </c>
      <c r="L24">
        <v>643</v>
      </c>
      <c r="M24">
        <v>358</v>
      </c>
      <c r="N24">
        <v>157599</v>
      </c>
      <c r="O24" s="2">
        <v>3.8800000000000001E-2</v>
      </c>
      <c r="P24" s="3">
        <v>7285</v>
      </c>
      <c r="Q24">
        <f>YEAR([1]!Engagement_Summary[[#This Row],[Week_Start_Date]])</f>
        <v>2024</v>
      </c>
      <c r="R24">
        <f>MONTH([1]!Engagement_Summary[[#This Row],[Week_Start_Date]])</f>
        <v>11</v>
      </c>
      <c r="S24">
        <f t="shared" si="0"/>
        <v>2</v>
      </c>
      <c r="T24">
        <f>[1]!Engagement_Summary[[#This Row],[New_Followers]]-[1]!Engagement_Summary[[#This Row],[Unfollows]]</f>
        <v>540</v>
      </c>
      <c r="AG24" s="1">
        <v>45579</v>
      </c>
      <c r="AH24" t="s">
        <v>13</v>
      </c>
      <c r="AI24" s="2">
        <v>3.8800000000000001E-2</v>
      </c>
      <c r="AJ24">
        <f>YEAR([1]!Engagement_Summary[[#This Row],[Week_Start_Date]])</f>
        <v>2024</v>
      </c>
      <c r="AK24" s="3">
        <v>7285</v>
      </c>
      <c r="AR24" s="12" t="s">
        <v>13</v>
      </c>
      <c r="AS24" s="12">
        <v>429</v>
      </c>
      <c r="AT24" s="12">
        <f>YEAR([1]!Engagement_Summary[[#This Row],[Week_Start_Date]])</f>
        <v>2024</v>
      </c>
    </row>
    <row r="25" spans="4:46" x14ac:dyDescent="0.25">
      <c r="D25" s="22"/>
      <c r="E25" s="23"/>
      <c r="F25" s="23"/>
      <c r="J25" s="1">
        <v>45586</v>
      </c>
      <c r="K25" t="s">
        <v>13</v>
      </c>
      <c r="L25">
        <v>508</v>
      </c>
      <c r="M25">
        <v>69</v>
      </c>
      <c r="N25">
        <v>23492</v>
      </c>
      <c r="O25" s="2">
        <v>3.1600000000000003E-2</v>
      </c>
      <c r="P25" s="3">
        <v>42824</v>
      </c>
      <c r="Q25">
        <f>YEAR([1]!Engagement_Summary[[#This Row],[Week_Start_Date]])</f>
        <v>2024</v>
      </c>
      <c r="R25">
        <f>MONTH([1]!Engagement_Summary[[#This Row],[Week_Start_Date]])</f>
        <v>11</v>
      </c>
      <c r="S25">
        <f t="shared" si="0"/>
        <v>3</v>
      </c>
      <c r="T25">
        <f>[1]!Engagement_Summary[[#This Row],[New_Followers]]-[1]!Engagement_Summary[[#This Row],[Unfollows]]</f>
        <v>-106</v>
      </c>
      <c r="AG25" s="1">
        <v>45586</v>
      </c>
      <c r="AH25" t="s">
        <v>13</v>
      </c>
      <c r="AI25" s="2">
        <v>3.1600000000000003E-2</v>
      </c>
      <c r="AJ25">
        <f>YEAR([1]!Engagement_Summary[[#This Row],[Week_Start_Date]])</f>
        <v>2024</v>
      </c>
      <c r="AK25" s="3">
        <v>42824</v>
      </c>
      <c r="AR25" s="12" t="s">
        <v>13</v>
      </c>
      <c r="AS25" s="12">
        <v>267</v>
      </c>
      <c r="AT25" s="12">
        <f>YEAR([1]!Engagement_Summary[[#This Row],[Week_Start_Date]])</f>
        <v>2024</v>
      </c>
    </row>
    <row r="26" spans="4:46" ht="15" customHeight="1" x14ac:dyDescent="0.25">
      <c r="D26" s="22"/>
      <c r="E26" s="23"/>
      <c r="F26" s="23"/>
      <c r="J26" s="1">
        <v>45593</v>
      </c>
      <c r="K26" t="s">
        <v>13</v>
      </c>
      <c r="L26">
        <v>859</v>
      </c>
      <c r="M26">
        <v>473</v>
      </c>
      <c r="N26">
        <v>209987</v>
      </c>
      <c r="O26" s="2">
        <v>4.4600000000000001E-2</v>
      </c>
      <c r="P26" s="3">
        <v>30214</v>
      </c>
      <c r="Q26">
        <f>YEAR([1]!Engagement_Summary[[#This Row],[Week_Start_Date]])</f>
        <v>2024</v>
      </c>
      <c r="R26">
        <f>MONTH([1]!Engagement_Summary[[#This Row],[Week_Start_Date]])</f>
        <v>11</v>
      </c>
      <c r="S26">
        <f t="shared" si="0"/>
        <v>4</v>
      </c>
      <c r="T26">
        <f>[1]!Engagement_Summary[[#This Row],[New_Followers]]-[1]!Engagement_Summary[[#This Row],[Unfollows]]</f>
        <v>72</v>
      </c>
      <c r="Z26" s="32" t="s">
        <v>48</v>
      </c>
      <c r="AA26" s="33" t="s">
        <v>49</v>
      </c>
      <c r="AG26" s="1">
        <v>45593</v>
      </c>
      <c r="AH26" t="s">
        <v>13</v>
      </c>
      <c r="AI26" s="2">
        <v>4.4600000000000001E-2</v>
      </c>
      <c r="AJ26">
        <f>YEAR([1]!Engagement_Summary[[#This Row],[Week_Start_Date]])</f>
        <v>2024</v>
      </c>
      <c r="AK26" s="3">
        <v>30214</v>
      </c>
      <c r="AR26" s="12" t="s">
        <v>13</v>
      </c>
      <c r="AS26" s="12">
        <v>358</v>
      </c>
      <c r="AT26" s="12">
        <f>YEAR([1]!Engagement_Summary[[#This Row],[Week_Start_Date]])</f>
        <v>2024</v>
      </c>
    </row>
    <row r="27" spans="4:46" x14ac:dyDescent="0.25">
      <c r="J27" s="1">
        <v>45600</v>
      </c>
      <c r="K27" t="s">
        <v>13</v>
      </c>
      <c r="L27">
        <v>947</v>
      </c>
      <c r="M27">
        <v>407</v>
      </c>
      <c r="N27">
        <v>319186</v>
      </c>
      <c r="O27" s="2">
        <v>3.32E-2</v>
      </c>
      <c r="P27" s="3">
        <v>4996</v>
      </c>
      <c r="Q27">
        <f>YEAR([1]!Engagement_Summary[[#This Row],[Week_Start_Date]])</f>
        <v>2024</v>
      </c>
      <c r="R27">
        <f>MONTH([1]!Engagement_Summary[[#This Row],[Week_Start_Date]])</f>
        <v>11</v>
      </c>
      <c r="S27">
        <f t="shared" si="0"/>
        <v>1</v>
      </c>
      <c r="T27">
        <f>[1]!Engagement_Summary[[#This Row],[New_Followers]]-[1]!Engagement_Summary[[#This Row],[Unfollows]]</f>
        <v>1332</v>
      </c>
      <c r="Z27" s="32"/>
      <c r="AA27" s="34"/>
      <c r="AG27" s="1">
        <v>45600</v>
      </c>
      <c r="AH27" t="s">
        <v>13</v>
      </c>
      <c r="AI27" s="2">
        <v>3.32E-2</v>
      </c>
      <c r="AJ27">
        <f>YEAR([1]!Engagement_Summary[[#This Row],[Week_Start_Date]])</f>
        <v>2024</v>
      </c>
      <c r="AK27" s="3">
        <v>4996</v>
      </c>
      <c r="AR27" s="12" t="s">
        <v>13</v>
      </c>
      <c r="AS27" s="12">
        <v>69</v>
      </c>
      <c r="AT27" s="12">
        <f>YEAR([1]!Engagement_Summary[[#This Row],[Week_Start_Date]])</f>
        <v>2024</v>
      </c>
    </row>
    <row r="28" spans="4:46" x14ac:dyDescent="0.25">
      <c r="J28" s="1">
        <v>45607</v>
      </c>
      <c r="K28" t="s">
        <v>13</v>
      </c>
      <c r="L28">
        <v>171</v>
      </c>
      <c r="M28">
        <v>277</v>
      </c>
      <c r="N28">
        <v>309483</v>
      </c>
      <c r="O28" s="2">
        <v>8.6999999999999994E-2</v>
      </c>
      <c r="P28" s="3">
        <v>38452</v>
      </c>
      <c r="Q28">
        <f>YEAR([1]!Engagement_Summary[[#This Row],[Week_Start_Date]])</f>
        <v>2024</v>
      </c>
      <c r="R28">
        <f>MONTH([1]!Engagement_Summary[[#This Row],[Week_Start_Date]])</f>
        <v>12</v>
      </c>
      <c r="S28">
        <f t="shared" si="0"/>
        <v>2</v>
      </c>
      <c r="T28">
        <f>[1]!Engagement_Summary[[#This Row],[New_Followers]]-[1]!Engagement_Summary[[#This Row],[Unfollows]]</f>
        <v>1706</v>
      </c>
      <c r="Z28" s="32"/>
      <c r="AA28" s="34"/>
      <c r="AG28" s="1">
        <v>45607</v>
      </c>
      <c r="AH28" t="s">
        <v>13</v>
      </c>
      <c r="AI28" s="2">
        <v>8.6999999999999994E-2</v>
      </c>
      <c r="AJ28">
        <f>YEAR([1]!Engagement_Summary[[#This Row],[Week_Start_Date]])</f>
        <v>2024</v>
      </c>
      <c r="AK28" s="3">
        <v>38452</v>
      </c>
      <c r="AR28" s="12" t="s">
        <v>13</v>
      </c>
      <c r="AS28" s="12">
        <v>473</v>
      </c>
      <c r="AT28" s="12">
        <f>YEAR([1]!Engagement_Summary[[#This Row],[Week_Start_Date]])</f>
        <v>2024</v>
      </c>
    </row>
    <row r="29" spans="4:46" x14ac:dyDescent="0.25">
      <c r="D29" s="35" t="s">
        <v>50</v>
      </c>
      <c r="E29" s="35"/>
      <c r="F29" s="35"/>
      <c r="G29" s="35"/>
      <c r="H29" s="35"/>
      <c r="J29" s="1">
        <v>45614</v>
      </c>
      <c r="K29" t="s">
        <v>13</v>
      </c>
      <c r="L29">
        <v>513</v>
      </c>
      <c r="M29">
        <v>441</v>
      </c>
      <c r="N29">
        <v>338847</v>
      </c>
      <c r="O29" s="2">
        <v>2.6800000000000001E-2</v>
      </c>
      <c r="P29" s="3">
        <v>39997</v>
      </c>
      <c r="Q29">
        <f>YEAR([1]!Engagement_Summary[[#This Row],[Week_Start_Date]])</f>
        <v>2024</v>
      </c>
      <c r="R29">
        <f>MONTH([1]!Engagement_Summary[[#This Row],[Week_Start_Date]])</f>
        <v>12</v>
      </c>
      <c r="S29">
        <f t="shared" si="0"/>
        <v>3</v>
      </c>
      <c r="T29">
        <f>[1]!Engagement_Summary[[#This Row],[New_Followers]]-[1]!Engagement_Summary[[#This Row],[Unfollows]]</f>
        <v>1373</v>
      </c>
      <c r="Z29" s="32"/>
      <c r="AA29" s="36">
        <f>(GETPIVOTDATA("Likes+Shares+Comments",$Z$18,"Posted when (Before/After/During) Campaign","During")-GETPIVOTDATA("Likes+Shares+Comments",$Z$18,"Posted when (Before/After/During) Campaign","BEFORE"))/GETPIVOTDATA("Likes+Shares+Comments",$Z$18,"Posted when (Before/After/During) Campaign","BEFORE")</f>
        <v>4.6332632909138187E-2</v>
      </c>
      <c r="AG29" s="1">
        <v>45614</v>
      </c>
      <c r="AH29" t="s">
        <v>13</v>
      </c>
      <c r="AI29" s="2">
        <v>2.6800000000000001E-2</v>
      </c>
      <c r="AJ29">
        <f>YEAR([1]!Engagement_Summary[[#This Row],[Week_Start_Date]])</f>
        <v>2024</v>
      </c>
      <c r="AK29" s="3">
        <v>39997</v>
      </c>
      <c r="AR29" s="12" t="s">
        <v>13</v>
      </c>
      <c r="AS29" s="12">
        <v>407</v>
      </c>
      <c r="AT29" s="12">
        <f>YEAR([1]!Engagement_Summary[[#This Row],[Week_Start_Date]])</f>
        <v>2024</v>
      </c>
    </row>
    <row r="30" spans="4:46" x14ac:dyDescent="0.25">
      <c r="D30" s="37" t="s">
        <v>51</v>
      </c>
      <c r="E30" s="37"/>
      <c r="F30" s="37"/>
      <c r="G30" s="37"/>
      <c r="H30" s="37"/>
      <c r="J30" s="1">
        <v>45621</v>
      </c>
      <c r="K30" t="s">
        <v>13</v>
      </c>
      <c r="L30">
        <v>1710</v>
      </c>
      <c r="M30">
        <v>378</v>
      </c>
      <c r="N30">
        <v>336661</v>
      </c>
      <c r="O30" s="2">
        <v>6.2E-2</v>
      </c>
      <c r="P30" s="3">
        <v>28498</v>
      </c>
      <c r="Q30">
        <f>YEAR([1]!Engagement_Summary[[#This Row],[Week_Start_Date]])</f>
        <v>2024</v>
      </c>
      <c r="R30">
        <f>MONTH([1]!Engagement_Summary[[#This Row],[Week_Start_Date]])</f>
        <v>12</v>
      </c>
      <c r="S30">
        <f t="shared" si="0"/>
        <v>4</v>
      </c>
      <c r="T30">
        <f>[1]!Engagement_Summary[[#This Row],[New_Followers]]-[1]!Engagement_Summary[[#This Row],[Unfollows]]</f>
        <v>1377</v>
      </c>
      <c r="AG30" s="1">
        <v>45621</v>
      </c>
      <c r="AH30" t="s">
        <v>13</v>
      </c>
      <c r="AI30" s="2">
        <v>6.2E-2</v>
      </c>
      <c r="AJ30">
        <f>YEAR([1]!Engagement_Summary[[#This Row],[Week_Start_Date]])</f>
        <v>2024</v>
      </c>
      <c r="AK30" s="3">
        <v>28498</v>
      </c>
      <c r="AR30" s="12" t="s">
        <v>13</v>
      </c>
      <c r="AS30" s="12">
        <v>277</v>
      </c>
      <c r="AT30" s="12">
        <f>YEAR([1]!Engagement_Summary[[#This Row],[Week_Start_Date]])</f>
        <v>2024</v>
      </c>
    </row>
    <row r="31" spans="4:46" x14ac:dyDescent="0.25">
      <c r="D31" s="37" t="s">
        <v>52</v>
      </c>
      <c r="E31" s="37"/>
      <c r="F31" s="37"/>
      <c r="G31" s="37"/>
      <c r="H31" s="37"/>
      <c r="J31" s="1">
        <v>45628</v>
      </c>
      <c r="K31" t="s">
        <v>13</v>
      </c>
      <c r="L31">
        <v>1902</v>
      </c>
      <c r="M31">
        <v>196</v>
      </c>
      <c r="N31">
        <v>470269</v>
      </c>
      <c r="O31" s="2">
        <v>4.7899999999999998E-2</v>
      </c>
      <c r="P31" s="3">
        <v>26103</v>
      </c>
      <c r="Q31">
        <f>YEAR([1]!Engagement_Summary[[#This Row],[Week_Start_Date]])</f>
        <v>2024</v>
      </c>
      <c r="R31">
        <f>MONTH([1]!Engagement_Summary[[#This Row],[Week_Start_Date]])</f>
        <v>12</v>
      </c>
      <c r="S31">
        <f t="shared" si="0"/>
        <v>1</v>
      </c>
      <c r="T31">
        <f>[1]!Engagement_Summary[[#This Row],[New_Followers]]-[1]!Engagement_Summary[[#This Row],[Unfollows]]</f>
        <v>730</v>
      </c>
      <c r="AG31" s="1">
        <v>45628</v>
      </c>
      <c r="AH31" t="s">
        <v>13</v>
      </c>
      <c r="AI31" s="2">
        <v>4.7899999999999998E-2</v>
      </c>
      <c r="AJ31">
        <f>YEAR([1]!Engagement_Summary[[#This Row],[Week_Start_Date]])</f>
        <v>2024</v>
      </c>
      <c r="AK31" s="3">
        <v>26103</v>
      </c>
      <c r="AR31" s="12" t="s">
        <v>13</v>
      </c>
      <c r="AS31" s="12">
        <v>441</v>
      </c>
      <c r="AT31" s="12">
        <f>YEAR([1]!Engagement_Summary[[#This Row],[Week_Start_Date]])</f>
        <v>2024</v>
      </c>
    </row>
    <row r="32" spans="4:46" x14ac:dyDescent="0.25">
      <c r="D32" s="37" t="s">
        <v>53</v>
      </c>
      <c r="E32" s="37"/>
      <c r="F32" s="37"/>
      <c r="G32" s="37"/>
      <c r="H32" s="37"/>
      <c r="J32" s="1">
        <v>45635</v>
      </c>
      <c r="K32" t="s">
        <v>13</v>
      </c>
      <c r="L32">
        <v>1514</v>
      </c>
      <c r="M32">
        <v>141</v>
      </c>
      <c r="N32">
        <v>35842</v>
      </c>
      <c r="O32" s="2">
        <v>7.4700000000000003E-2</v>
      </c>
      <c r="P32" s="3">
        <v>18601</v>
      </c>
      <c r="Q32">
        <f>YEAR([1]!Engagement_Summary[[#This Row],[Week_Start_Date]])</f>
        <v>2024</v>
      </c>
      <c r="R32">
        <f>MONTH([1]!Engagement_Summary[[#This Row],[Week_Start_Date]])</f>
        <v>12</v>
      </c>
      <c r="S32">
        <f t="shared" si="0"/>
        <v>2</v>
      </c>
      <c r="T32">
        <f>[1]!Engagement_Summary[[#This Row],[New_Followers]]-[1]!Engagement_Summary[[#This Row],[Unfollows]]</f>
        <v>1776</v>
      </c>
      <c r="U32" s="38" t="s">
        <v>54</v>
      </c>
      <c r="V32" s="39"/>
      <c r="W32" s="39"/>
      <c r="X32" s="39"/>
      <c r="Z32" s="32" t="s">
        <v>55</v>
      </c>
      <c r="AA32" s="33" t="s">
        <v>56</v>
      </c>
      <c r="AG32" s="1">
        <v>45635</v>
      </c>
      <c r="AH32" t="s">
        <v>13</v>
      </c>
      <c r="AI32" s="2">
        <v>7.4700000000000003E-2</v>
      </c>
      <c r="AJ32">
        <f>YEAR([1]!Engagement_Summary[[#This Row],[Week_Start_Date]])</f>
        <v>2024</v>
      </c>
      <c r="AK32" s="3">
        <v>18601</v>
      </c>
      <c r="AR32" s="12" t="s">
        <v>13</v>
      </c>
      <c r="AS32" s="12">
        <v>378</v>
      </c>
      <c r="AT32" s="12">
        <f>YEAR([1]!Engagement_Summary[[#This Row],[Week_Start_Date]])</f>
        <v>2024</v>
      </c>
    </row>
    <row r="33" spans="4:46" x14ac:dyDescent="0.25">
      <c r="D33" s="37" t="s">
        <v>57</v>
      </c>
      <c r="E33" s="37"/>
      <c r="F33" s="37"/>
      <c r="G33" s="37"/>
      <c r="H33" s="37"/>
      <c r="J33" s="1">
        <v>45642</v>
      </c>
      <c r="K33" t="s">
        <v>13</v>
      </c>
      <c r="L33">
        <v>1623</v>
      </c>
      <c r="M33">
        <v>246</v>
      </c>
      <c r="N33">
        <v>415815</v>
      </c>
      <c r="O33" s="2">
        <v>8.1099999999999992E-2</v>
      </c>
      <c r="P33" s="3">
        <v>18656</v>
      </c>
      <c r="Q33">
        <f>YEAR([1]!Engagement_Summary[[#This Row],[Week_Start_Date]])</f>
        <v>2025</v>
      </c>
      <c r="R33">
        <f>MONTH([1]!Engagement_Summary[[#This Row],[Week_Start_Date]])</f>
        <v>1</v>
      </c>
      <c r="S33">
        <f t="shared" si="0"/>
        <v>3</v>
      </c>
      <c r="T33">
        <f>[1]!Engagement_Summary[[#This Row],[New_Followers]]-[1]!Engagement_Summary[[#This Row],[Unfollows]]</f>
        <v>620</v>
      </c>
      <c r="U33" s="12" t="s">
        <v>18</v>
      </c>
      <c r="V33" s="12" t="s">
        <v>7</v>
      </c>
      <c r="W33" s="12"/>
      <c r="X33" s="12"/>
      <c r="Z33" s="40"/>
      <c r="AA33" s="34"/>
      <c r="AG33" s="1">
        <v>45642</v>
      </c>
      <c r="AH33" t="s">
        <v>13</v>
      </c>
      <c r="AI33" s="2">
        <v>8.1099999999999992E-2</v>
      </c>
      <c r="AJ33">
        <f>YEAR([1]!Engagement_Summary[[#This Row],[Week_Start_Date]])</f>
        <v>2025</v>
      </c>
      <c r="AK33" s="3">
        <v>18656</v>
      </c>
      <c r="AR33" s="12" t="s">
        <v>13</v>
      </c>
      <c r="AS33" s="12">
        <v>196</v>
      </c>
      <c r="AT33" s="12">
        <f>YEAR([1]!Engagement_Summary[[#This Row],[Week_Start_Date]])</f>
        <v>2025</v>
      </c>
    </row>
    <row r="34" spans="4:46" x14ac:dyDescent="0.25">
      <c r="D34" s="37" t="s">
        <v>58</v>
      </c>
      <c r="E34" s="37"/>
      <c r="F34" s="37"/>
      <c r="G34" s="37"/>
      <c r="H34" s="37"/>
      <c r="J34" s="1">
        <v>45649</v>
      </c>
      <c r="K34" t="s">
        <v>13</v>
      </c>
      <c r="L34">
        <v>1155</v>
      </c>
      <c r="M34">
        <v>425</v>
      </c>
      <c r="N34">
        <v>93347</v>
      </c>
      <c r="O34" s="2">
        <v>2.0199999999999999E-2</v>
      </c>
      <c r="P34" s="3">
        <v>47502</v>
      </c>
      <c r="Q34">
        <f>YEAR([1]!Engagement_Summary[[#This Row],[Week_Start_Date]])</f>
        <v>2025</v>
      </c>
      <c r="R34">
        <f>MONTH([1]!Engagement_Summary[[#This Row],[Week_Start_Date]])</f>
        <v>1</v>
      </c>
      <c r="S34">
        <f t="shared" si="0"/>
        <v>4</v>
      </c>
      <c r="T34">
        <f>[1]!Engagement_Summary[[#This Row],[New_Followers]]-[1]!Engagement_Summary[[#This Row],[Unfollows]]</f>
        <v>298</v>
      </c>
      <c r="U34" s="12" t="s">
        <v>1</v>
      </c>
      <c r="V34" s="12">
        <v>2024</v>
      </c>
      <c r="W34" s="12">
        <v>2025</v>
      </c>
      <c r="X34" s="12" t="s">
        <v>22</v>
      </c>
      <c r="Z34" s="40"/>
      <c r="AA34" s="34"/>
      <c r="AG34" s="1">
        <v>45649</v>
      </c>
      <c r="AH34" t="s">
        <v>13</v>
      </c>
      <c r="AI34" s="2">
        <v>2.0199999999999999E-2</v>
      </c>
      <c r="AJ34">
        <f>YEAR([1]!Engagement_Summary[[#This Row],[Week_Start_Date]])</f>
        <v>2025</v>
      </c>
      <c r="AK34" s="3">
        <v>47502</v>
      </c>
      <c r="AR34" s="12" t="s">
        <v>13</v>
      </c>
      <c r="AS34" s="12">
        <v>141</v>
      </c>
      <c r="AT34" s="12">
        <f>YEAR([1]!Engagement_Summary[[#This Row],[Week_Start_Date]])</f>
        <v>2025</v>
      </c>
    </row>
    <row r="35" spans="4:46" x14ac:dyDescent="0.25">
      <c r="D35" s="37" t="s">
        <v>59</v>
      </c>
      <c r="E35" s="37"/>
      <c r="F35" s="37"/>
      <c r="G35" s="37"/>
      <c r="H35" s="37"/>
      <c r="J35" s="1">
        <v>45656</v>
      </c>
      <c r="K35" t="s">
        <v>13</v>
      </c>
      <c r="L35">
        <v>1980</v>
      </c>
      <c r="M35">
        <v>204</v>
      </c>
      <c r="N35">
        <v>379431</v>
      </c>
      <c r="O35" s="2">
        <v>3.0899999999999997E-2</v>
      </c>
      <c r="P35" s="3">
        <v>25140</v>
      </c>
      <c r="Q35">
        <f>YEAR([1]!Engagement_Summary[[#This Row],[Week_Start_Date]])</f>
        <v>2025</v>
      </c>
      <c r="R35">
        <f>MONTH([1]!Engagement_Summary[[#This Row],[Week_Start_Date]])</f>
        <v>1</v>
      </c>
      <c r="S35">
        <f t="shared" si="0"/>
        <v>5</v>
      </c>
      <c r="T35">
        <f>[1]!Engagement_Summary[[#This Row],[New_Followers]]-[1]!Engagement_Summary[[#This Row],[Unfollows]]</f>
        <v>427</v>
      </c>
      <c r="U35" s="16" t="s">
        <v>13</v>
      </c>
      <c r="V35" s="12">
        <v>5.4558064516129032E-2</v>
      </c>
      <c r="W35" s="12">
        <v>5.9631578947368431E-2</v>
      </c>
      <c r="X35" s="12">
        <v>5.6485999999999995E-2</v>
      </c>
      <c r="Z35" s="40"/>
      <c r="AA35" s="34"/>
      <c r="AG35" s="1">
        <v>45656</v>
      </c>
      <c r="AH35" t="s">
        <v>13</v>
      </c>
      <c r="AI35" s="2">
        <v>3.0899999999999997E-2</v>
      </c>
      <c r="AJ35">
        <f>YEAR([1]!Engagement_Summary[[#This Row],[Week_Start_Date]])</f>
        <v>2025</v>
      </c>
      <c r="AK35" s="3">
        <v>25140</v>
      </c>
      <c r="AR35" s="12" t="s">
        <v>13</v>
      </c>
      <c r="AS35" s="12">
        <v>246</v>
      </c>
      <c r="AT35" s="12">
        <f>YEAR([1]!Engagement_Summary[[#This Row],[Week_Start_Date]])</f>
        <v>2025</v>
      </c>
    </row>
    <row r="36" spans="4:46" x14ac:dyDescent="0.25">
      <c r="D36" s="37" t="s">
        <v>60</v>
      </c>
      <c r="E36" s="37"/>
      <c r="F36" s="37"/>
      <c r="G36" s="37"/>
      <c r="H36" s="37"/>
      <c r="J36" s="1">
        <v>45663</v>
      </c>
      <c r="K36" t="s">
        <v>13</v>
      </c>
      <c r="L36">
        <v>816</v>
      </c>
      <c r="M36">
        <v>196</v>
      </c>
      <c r="N36">
        <v>95728</v>
      </c>
      <c r="O36" s="2">
        <v>8.199999999999999E-2</v>
      </c>
      <c r="P36" s="3">
        <v>17951</v>
      </c>
      <c r="Q36">
        <f>YEAR([1]!Engagement_Summary[[#This Row],[Week_Start_Date]])</f>
        <v>2025</v>
      </c>
      <c r="R36">
        <f>MONTH([1]!Engagement_Summary[[#This Row],[Week_Start_Date]])</f>
        <v>1</v>
      </c>
      <c r="S36">
        <f t="shared" si="0"/>
        <v>1</v>
      </c>
      <c r="T36">
        <f>[1]!Engagement_Summary[[#This Row],[New_Followers]]-[1]!Engagement_Summary[[#This Row],[Unfollows]]</f>
        <v>898</v>
      </c>
      <c r="U36" s="16" t="s">
        <v>23</v>
      </c>
      <c r="V36" s="12">
        <v>5.8483870967741942E-2</v>
      </c>
      <c r="W36" s="12">
        <v>5.4989473684210526E-2</v>
      </c>
      <c r="X36" s="12">
        <v>5.7155999999999992E-2</v>
      </c>
      <c r="Z36" s="40"/>
      <c r="AA36" s="36">
        <f>(GETPIVOTDATA("Likes+Shares+Comments",$Z$18,"Posted when (Before/After/During) Campaign","AFTER")-GETPIVOTDATA("Likes+Shares+Comments",$Z$18,"Posted when (Before/After/During) Campaign","BEFORE"))/GETPIVOTDATA("Likes+Shares+Comments",$Z$18,"Posted when (Before/After/During) Campaign","BEFORE")</f>
        <v>3.8555358748150581E-2</v>
      </c>
      <c r="AG36" s="1">
        <v>45663</v>
      </c>
      <c r="AH36" t="s">
        <v>13</v>
      </c>
      <c r="AI36" s="2">
        <v>8.199999999999999E-2</v>
      </c>
      <c r="AJ36">
        <f>YEAR([1]!Engagement_Summary[[#This Row],[Week_Start_Date]])</f>
        <v>2025</v>
      </c>
      <c r="AK36" s="3">
        <v>17951</v>
      </c>
      <c r="AR36" s="12" t="s">
        <v>13</v>
      </c>
      <c r="AS36" s="12">
        <v>425</v>
      </c>
      <c r="AT36" s="12">
        <f>YEAR([1]!Engagement_Summary[[#This Row],[Week_Start_Date]])</f>
        <v>2025</v>
      </c>
    </row>
    <row r="37" spans="4:46" x14ac:dyDescent="0.25">
      <c r="D37" s="37" t="s">
        <v>61</v>
      </c>
      <c r="E37" s="37"/>
      <c r="F37" s="37"/>
      <c r="G37" s="37"/>
      <c r="H37" s="37"/>
      <c r="J37" s="1">
        <v>45670</v>
      </c>
      <c r="K37" t="s">
        <v>13</v>
      </c>
      <c r="L37">
        <v>651</v>
      </c>
      <c r="M37">
        <v>353</v>
      </c>
      <c r="N37">
        <v>224699</v>
      </c>
      <c r="O37" s="2">
        <v>5.6100000000000004E-2</v>
      </c>
      <c r="P37" s="3">
        <v>45708</v>
      </c>
      <c r="Q37">
        <f>YEAR([1]!Engagement_Summary[[#This Row],[Week_Start_Date]])</f>
        <v>2025</v>
      </c>
      <c r="R37">
        <f>MONTH([1]!Engagement_Summary[[#This Row],[Week_Start_Date]])</f>
        <v>2</v>
      </c>
      <c r="S37">
        <f t="shared" si="0"/>
        <v>2</v>
      </c>
      <c r="T37">
        <f>[1]!Engagement_Summary[[#This Row],[New_Followers]]-[1]!Engagement_Summary[[#This Row],[Unfollows]]</f>
        <v>748</v>
      </c>
      <c r="U37" s="16" t="s">
        <v>27</v>
      </c>
      <c r="V37" s="12">
        <v>6.1574193548387092E-2</v>
      </c>
      <c r="W37" s="12">
        <v>4.8373684210526312E-2</v>
      </c>
      <c r="X37" s="12">
        <v>5.6557999999999983E-2</v>
      </c>
      <c r="AG37" s="1">
        <v>45670</v>
      </c>
      <c r="AH37" t="s">
        <v>13</v>
      </c>
      <c r="AI37" s="2">
        <v>5.6100000000000004E-2</v>
      </c>
      <c r="AJ37">
        <f>YEAR([1]!Engagement_Summary[[#This Row],[Week_Start_Date]])</f>
        <v>2025</v>
      </c>
      <c r="AK37" s="3">
        <v>45708</v>
      </c>
      <c r="AR37" s="12" t="s">
        <v>13</v>
      </c>
      <c r="AS37" s="12">
        <v>204</v>
      </c>
      <c r="AT37" s="12">
        <f>YEAR([1]!Engagement_Summary[[#This Row],[Week_Start_Date]])</f>
        <v>2025</v>
      </c>
    </row>
    <row r="38" spans="4:46" x14ac:dyDescent="0.25">
      <c r="J38" s="1">
        <v>45677</v>
      </c>
      <c r="K38" t="s">
        <v>13</v>
      </c>
      <c r="L38">
        <v>663</v>
      </c>
      <c r="M38">
        <v>236</v>
      </c>
      <c r="N38">
        <v>479490</v>
      </c>
      <c r="O38" s="2">
        <v>4.5100000000000001E-2</v>
      </c>
      <c r="P38" s="3">
        <v>23853</v>
      </c>
      <c r="Q38">
        <f>YEAR([1]!Engagement_Summary[[#This Row],[Week_Start_Date]])</f>
        <v>2025</v>
      </c>
      <c r="R38">
        <f>MONTH([1]!Engagement_Summary[[#This Row],[Week_Start_Date]])</f>
        <v>2</v>
      </c>
      <c r="S38">
        <f t="shared" si="0"/>
        <v>3</v>
      </c>
      <c r="T38">
        <f>[1]!Engagement_Summary[[#This Row],[New_Followers]]-[1]!Engagement_Summary[[#This Row],[Unfollows]]</f>
        <v>912</v>
      </c>
      <c r="U38" s="16" t="s">
        <v>30</v>
      </c>
      <c r="V38" s="12">
        <v>5.2664516129032252E-2</v>
      </c>
      <c r="W38" s="12">
        <v>6.035789473684211E-2</v>
      </c>
      <c r="X38" s="12">
        <v>5.5587999999999978E-2</v>
      </c>
      <c r="Z38" s="11" t="s">
        <v>62</v>
      </c>
      <c r="AA38" s="11"/>
      <c r="AG38" s="1">
        <v>45677</v>
      </c>
      <c r="AH38" t="s">
        <v>13</v>
      </c>
      <c r="AI38" s="2">
        <v>4.5100000000000001E-2</v>
      </c>
      <c r="AJ38">
        <f>YEAR([1]!Engagement_Summary[[#This Row],[Week_Start_Date]])</f>
        <v>2025</v>
      </c>
      <c r="AK38" s="3">
        <v>23853</v>
      </c>
      <c r="AR38" s="12" t="s">
        <v>13</v>
      </c>
      <c r="AS38" s="12">
        <v>196</v>
      </c>
      <c r="AT38" s="12">
        <f>YEAR([1]!Engagement_Summary[[#This Row],[Week_Start_Date]])</f>
        <v>2025</v>
      </c>
    </row>
    <row r="39" spans="4:46" x14ac:dyDescent="0.25">
      <c r="J39" s="1">
        <v>45684</v>
      </c>
      <c r="K39" t="s">
        <v>13</v>
      </c>
      <c r="L39">
        <v>1249</v>
      </c>
      <c r="M39">
        <v>351</v>
      </c>
      <c r="N39">
        <v>321307</v>
      </c>
      <c r="O39" s="2">
        <v>6.3700000000000007E-2</v>
      </c>
      <c r="P39" s="3">
        <v>20560</v>
      </c>
      <c r="Q39">
        <f>YEAR([1]!Engagement_Summary[[#This Row],[Week_Start_Date]])</f>
        <v>2025</v>
      </c>
      <c r="R39">
        <f>MONTH([1]!Engagement_Summary[[#This Row],[Week_Start_Date]])</f>
        <v>2</v>
      </c>
      <c r="S39">
        <f t="shared" si="0"/>
        <v>4</v>
      </c>
      <c r="T39">
        <f>[1]!Engagement_Summary[[#This Row],[New_Followers]]-[1]!Engagement_Summary[[#This Row],[Unfollows]]</f>
        <v>1590</v>
      </c>
      <c r="U39" s="16" t="s">
        <v>22</v>
      </c>
      <c r="V39" s="12">
        <v>5.6820161290322573E-2</v>
      </c>
      <c r="W39" s="12">
        <v>5.583815789473686E-2</v>
      </c>
      <c r="X39" s="12">
        <v>5.6446999999999983E-2</v>
      </c>
      <c r="Z39" s="12" t="s">
        <v>1</v>
      </c>
      <c r="AA39" s="12" t="s">
        <v>63</v>
      </c>
      <c r="AB39" s="12" t="s">
        <v>64</v>
      </c>
      <c r="AC39" s="12" t="s">
        <v>65</v>
      </c>
      <c r="AD39" s="41" t="s">
        <v>66</v>
      </c>
      <c r="AG39" s="1">
        <v>45684</v>
      </c>
      <c r="AH39" t="s">
        <v>13</v>
      </c>
      <c r="AI39" s="2">
        <v>6.3700000000000007E-2</v>
      </c>
      <c r="AJ39">
        <f>YEAR([1]!Engagement_Summary[[#This Row],[Week_Start_Date]])</f>
        <v>2025</v>
      </c>
      <c r="AK39" s="3">
        <v>20560</v>
      </c>
      <c r="AR39" s="12" t="s">
        <v>13</v>
      </c>
      <c r="AS39" s="12">
        <v>353</v>
      </c>
      <c r="AT39" s="12">
        <f>YEAR([1]!Engagement_Summary[[#This Row],[Week_Start_Date]])</f>
        <v>2025</v>
      </c>
    </row>
    <row r="40" spans="4:46" x14ac:dyDescent="0.25">
      <c r="J40" s="1">
        <v>45691</v>
      </c>
      <c r="K40" t="s">
        <v>13</v>
      </c>
      <c r="L40">
        <v>1159</v>
      </c>
      <c r="M40">
        <v>411</v>
      </c>
      <c r="N40">
        <v>135987</v>
      </c>
      <c r="O40" s="2">
        <v>8.6999999999999994E-2</v>
      </c>
      <c r="P40" s="3">
        <v>40323</v>
      </c>
      <c r="Q40">
        <f>YEAR([1]!Engagement_Summary[[#This Row],[Week_Start_Date]])</f>
        <v>2025</v>
      </c>
      <c r="R40">
        <f>MONTH([1]!Engagement_Summary[[#This Row],[Week_Start_Date]])</f>
        <v>2</v>
      </c>
      <c r="S40">
        <f t="shared" si="0"/>
        <v>1</v>
      </c>
      <c r="T40">
        <f>[1]!Engagement_Summary[[#This Row],[New_Followers]]-[1]!Engagement_Summary[[#This Row],[Unfollows]]</f>
        <v>1707</v>
      </c>
      <c r="Z40" s="16" t="s">
        <v>13</v>
      </c>
      <c r="AA40" s="12">
        <v>242761</v>
      </c>
      <c r="AB40" s="12">
        <v>39181</v>
      </c>
      <c r="AC40" s="12">
        <v>23300</v>
      </c>
      <c r="AD40" s="42" t="e">
        <f>GETPIVOTDATA("Sum of Likes",$R$9,"Platform","Facebook")+GETPIVOTDATA("Sum of Shares",$R$9,"Platform","Facebook")+GETPIVOTDATA("Sum of Comments",$R$9,"Platform","Facebook")</f>
        <v>#REF!</v>
      </c>
      <c r="AG40" s="1">
        <v>45691</v>
      </c>
      <c r="AH40" t="s">
        <v>13</v>
      </c>
      <c r="AI40" s="2">
        <v>8.6999999999999994E-2</v>
      </c>
      <c r="AJ40">
        <f>YEAR([1]!Engagement_Summary[[#This Row],[Week_Start_Date]])</f>
        <v>2025</v>
      </c>
      <c r="AK40" s="3">
        <v>40323</v>
      </c>
      <c r="AR40" s="12" t="s">
        <v>13</v>
      </c>
      <c r="AS40" s="12">
        <v>236</v>
      </c>
      <c r="AT40" s="12">
        <f>YEAR([1]!Engagement_Summary[[#This Row],[Week_Start_Date]])</f>
        <v>2025</v>
      </c>
    </row>
    <row r="41" spans="4:46" x14ac:dyDescent="0.25">
      <c r="J41" s="1">
        <v>45698</v>
      </c>
      <c r="K41" t="s">
        <v>13</v>
      </c>
      <c r="L41">
        <v>1294</v>
      </c>
      <c r="M41">
        <v>382</v>
      </c>
      <c r="N41">
        <v>309914</v>
      </c>
      <c r="O41" s="2">
        <v>8.0299999999999996E-2</v>
      </c>
      <c r="P41" s="3">
        <v>23489</v>
      </c>
      <c r="Q41">
        <f>YEAR([1]!Engagement_Summary[[#This Row],[Week_Start_Date]])</f>
        <v>2025</v>
      </c>
      <c r="R41">
        <f>MONTH([1]!Engagement_Summary[[#This Row],[Week_Start_Date]])</f>
        <v>3</v>
      </c>
      <c r="S41">
        <f t="shared" si="0"/>
        <v>2</v>
      </c>
      <c r="T41">
        <f>[1]!Engagement_Summary[[#This Row],[New_Followers]]-[1]!Engagement_Summary[[#This Row],[Unfollows]]</f>
        <v>-119</v>
      </c>
      <c r="U41" s="24" t="s">
        <v>67</v>
      </c>
      <c r="V41" s="25"/>
      <c r="W41" s="25"/>
      <c r="X41" s="25"/>
      <c r="Z41" s="43" t="s">
        <v>26</v>
      </c>
      <c r="AA41" s="12">
        <v>44476</v>
      </c>
      <c r="AB41" s="12">
        <v>7400</v>
      </c>
      <c r="AC41" s="12">
        <v>4589</v>
      </c>
      <c r="AD41" s="12">
        <f xml:space="preserve"> AA41+AB41+AC41</f>
        <v>56465</v>
      </c>
      <c r="AG41" s="1">
        <v>45698</v>
      </c>
      <c r="AH41" t="s">
        <v>13</v>
      </c>
      <c r="AI41" s="2">
        <v>8.0299999999999996E-2</v>
      </c>
      <c r="AJ41">
        <f>YEAR([1]!Engagement_Summary[[#This Row],[Week_Start_Date]])</f>
        <v>2025</v>
      </c>
      <c r="AK41" s="3">
        <v>23489</v>
      </c>
      <c r="AR41" s="12" t="s">
        <v>13</v>
      </c>
      <c r="AS41" s="12">
        <v>351</v>
      </c>
      <c r="AT41" s="12">
        <f>YEAR([1]!Engagement_Summary[[#This Row],[Week_Start_Date]])</f>
        <v>2025</v>
      </c>
    </row>
    <row r="42" spans="4:46" x14ac:dyDescent="0.25">
      <c r="J42" s="1">
        <v>45705</v>
      </c>
      <c r="K42" t="s">
        <v>13</v>
      </c>
      <c r="L42">
        <v>1895</v>
      </c>
      <c r="M42">
        <v>305</v>
      </c>
      <c r="N42">
        <v>104967</v>
      </c>
      <c r="O42" s="2">
        <v>3.85E-2</v>
      </c>
      <c r="P42" s="3">
        <v>31853</v>
      </c>
      <c r="Q42">
        <f>YEAR([1]!Engagement_Summary[[#This Row],[Week_Start_Date]])</f>
        <v>2025</v>
      </c>
      <c r="R42">
        <f>MONTH([1]!Engagement_Summary[[#This Row],[Week_Start_Date]])</f>
        <v>3</v>
      </c>
      <c r="S42">
        <f t="shared" si="0"/>
        <v>3</v>
      </c>
      <c r="T42">
        <f>[1]!Engagement_Summary[[#This Row],[New_Followers]]-[1]!Engagement_Summary[[#This Row],[Unfollows]]</f>
        <v>908</v>
      </c>
      <c r="U42" s="44" t="s">
        <v>68</v>
      </c>
      <c r="V42" s="44"/>
      <c r="W42" s="44"/>
      <c r="X42" s="44"/>
      <c r="Z42" s="45" t="s">
        <v>21</v>
      </c>
      <c r="AA42" s="46">
        <v>71602</v>
      </c>
      <c r="AB42" s="46">
        <v>12904</v>
      </c>
      <c r="AC42" s="46">
        <v>6495</v>
      </c>
      <c r="AD42" s="46">
        <f t="shared" ref="AD42:AD68" si="1" xml:space="preserve"> AA42+AB42+AC42</f>
        <v>91001</v>
      </c>
      <c r="AG42" s="1">
        <v>45705</v>
      </c>
      <c r="AH42" t="s">
        <v>13</v>
      </c>
      <c r="AI42" s="2">
        <v>3.85E-2</v>
      </c>
      <c r="AJ42">
        <f>YEAR([1]!Engagement_Summary[[#This Row],[Week_Start_Date]])</f>
        <v>2025</v>
      </c>
      <c r="AK42" s="3">
        <v>31853</v>
      </c>
      <c r="AR42" s="12" t="s">
        <v>13</v>
      </c>
      <c r="AS42" s="12">
        <v>411</v>
      </c>
      <c r="AT42" s="12">
        <f>YEAR([1]!Engagement_Summary[[#This Row],[Week_Start_Date]])</f>
        <v>2025</v>
      </c>
    </row>
    <row r="43" spans="4:46" x14ac:dyDescent="0.25">
      <c r="J43" s="1">
        <v>45712</v>
      </c>
      <c r="K43" t="s">
        <v>13</v>
      </c>
      <c r="L43">
        <v>1884</v>
      </c>
      <c r="M43">
        <v>177</v>
      </c>
      <c r="N43">
        <v>230448</v>
      </c>
      <c r="O43" s="2">
        <v>7.8E-2</v>
      </c>
      <c r="P43" s="3">
        <v>22713</v>
      </c>
      <c r="Q43">
        <f>YEAR([1]!Engagement_Summary[[#This Row],[Week_Start_Date]])</f>
        <v>2025</v>
      </c>
      <c r="R43">
        <f>MONTH([1]!Engagement_Summary[[#This Row],[Week_Start_Date]])</f>
        <v>3</v>
      </c>
      <c r="S43">
        <f t="shared" si="0"/>
        <v>4</v>
      </c>
      <c r="T43">
        <f>[1]!Engagement_Summary[[#This Row],[New_Followers]]-[1]!Engagement_Summary[[#This Row],[Unfollows]]</f>
        <v>1116</v>
      </c>
      <c r="Z43" s="43" t="s">
        <v>29</v>
      </c>
      <c r="AA43" s="12">
        <v>36368</v>
      </c>
      <c r="AB43" s="12">
        <v>5964</v>
      </c>
      <c r="AC43" s="12">
        <v>3353</v>
      </c>
      <c r="AD43" s="12">
        <f t="shared" si="1"/>
        <v>45685</v>
      </c>
      <c r="AG43" s="1">
        <v>45712</v>
      </c>
      <c r="AH43" t="s">
        <v>13</v>
      </c>
      <c r="AI43" s="2">
        <v>7.8E-2</v>
      </c>
      <c r="AJ43">
        <f>YEAR([1]!Engagement_Summary[[#This Row],[Week_Start_Date]])</f>
        <v>2025</v>
      </c>
      <c r="AK43" s="3">
        <v>22713</v>
      </c>
      <c r="AR43" s="12" t="s">
        <v>13</v>
      </c>
      <c r="AS43" s="12">
        <v>382</v>
      </c>
      <c r="AT43" s="12">
        <f>YEAR([1]!Engagement_Summary[[#This Row],[Week_Start_Date]])</f>
        <v>2025</v>
      </c>
    </row>
    <row r="44" spans="4:46" x14ac:dyDescent="0.25">
      <c r="J44" s="1">
        <v>45719</v>
      </c>
      <c r="K44" t="s">
        <v>13</v>
      </c>
      <c r="L44">
        <v>345</v>
      </c>
      <c r="M44">
        <v>464</v>
      </c>
      <c r="N44">
        <v>366881</v>
      </c>
      <c r="O44" s="2">
        <v>4.5499999999999999E-2</v>
      </c>
      <c r="P44" s="3">
        <v>20553</v>
      </c>
      <c r="Q44">
        <f>YEAR([1]!Engagement_Summary[[#This Row],[Week_Start_Date]])</f>
        <v>2025</v>
      </c>
      <c r="R44">
        <f>MONTH([1]!Engagement_Summary[[#This Row],[Week_Start_Date]])</f>
        <v>3</v>
      </c>
      <c r="S44">
        <f t="shared" si="0"/>
        <v>1</v>
      </c>
      <c r="T44">
        <f>[1]!Engagement_Summary[[#This Row],[New_Followers]]-[1]!Engagement_Summary[[#This Row],[Unfollows]]</f>
        <v>474</v>
      </c>
      <c r="Z44" s="43" t="s">
        <v>24</v>
      </c>
      <c r="AA44" s="12">
        <v>29405</v>
      </c>
      <c r="AB44" s="12">
        <v>4950</v>
      </c>
      <c r="AC44" s="12">
        <v>3223</v>
      </c>
      <c r="AD44" s="12">
        <f t="shared" si="1"/>
        <v>37578</v>
      </c>
      <c r="AG44" s="1">
        <v>45719</v>
      </c>
      <c r="AH44" t="s">
        <v>13</v>
      </c>
      <c r="AI44" s="2">
        <v>4.5499999999999999E-2</v>
      </c>
      <c r="AJ44">
        <f>YEAR([1]!Engagement_Summary[[#This Row],[Week_Start_Date]])</f>
        <v>2025</v>
      </c>
      <c r="AK44" s="3">
        <v>20553</v>
      </c>
      <c r="AR44" s="12" t="s">
        <v>13</v>
      </c>
      <c r="AS44" s="12">
        <v>305</v>
      </c>
      <c r="AT44" s="12">
        <f>YEAR([1]!Engagement_Summary[[#This Row],[Week_Start_Date]])</f>
        <v>2025</v>
      </c>
    </row>
    <row r="45" spans="4:46" x14ac:dyDescent="0.25">
      <c r="J45" s="1">
        <v>45726</v>
      </c>
      <c r="K45" t="s">
        <v>13</v>
      </c>
      <c r="L45">
        <v>1098</v>
      </c>
      <c r="M45">
        <v>190</v>
      </c>
      <c r="N45">
        <v>340842</v>
      </c>
      <c r="O45" s="2">
        <v>9.3900000000000011E-2</v>
      </c>
      <c r="P45" s="3">
        <v>21539</v>
      </c>
      <c r="Q45">
        <f>YEAR([1]!Engagement_Summary[[#This Row],[Week_Start_Date]])</f>
        <v>2025</v>
      </c>
      <c r="R45">
        <f>MONTH([1]!Engagement_Summary[[#This Row],[Week_Start_Date]])</f>
        <v>3</v>
      </c>
      <c r="S45">
        <f t="shared" si="0"/>
        <v>2</v>
      </c>
      <c r="T45">
        <f>[1]!Engagement_Summary[[#This Row],[New_Followers]]-[1]!Engagement_Summary[[#This Row],[Unfollows]]</f>
        <v>514</v>
      </c>
      <c r="Z45" s="43" t="s">
        <v>69</v>
      </c>
      <c r="AA45" s="12">
        <v>31963</v>
      </c>
      <c r="AB45" s="12">
        <v>4792</v>
      </c>
      <c r="AC45" s="12">
        <v>3377</v>
      </c>
      <c r="AD45" s="12">
        <f t="shared" si="1"/>
        <v>40132</v>
      </c>
      <c r="AG45" s="1">
        <v>45726</v>
      </c>
      <c r="AH45" t="s">
        <v>13</v>
      </c>
      <c r="AI45" s="2">
        <v>9.3900000000000011E-2</v>
      </c>
      <c r="AJ45">
        <f>YEAR([1]!Engagement_Summary[[#This Row],[Week_Start_Date]])</f>
        <v>2025</v>
      </c>
      <c r="AK45" s="3">
        <v>21539</v>
      </c>
      <c r="AR45" s="12" t="s">
        <v>13</v>
      </c>
      <c r="AS45" s="12">
        <v>177</v>
      </c>
      <c r="AT45" s="12">
        <f>YEAR([1]!Engagement_Summary[[#This Row],[Week_Start_Date]])</f>
        <v>2025</v>
      </c>
    </row>
    <row r="46" spans="4:46" x14ac:dyDescent="0.25">
      <c r="J46" s="1">
        <v>45733</v>
      </c>
      <c r="K46" t="s">
        <v>13</v>
      </c>
      <c r="L46">
        <v>1358</v>
      </c>
      <c r="M46">
        <v>242</v>
      </c>
      <c r="N46">
        <v>342129</v>
      </c>
      <c r="O46" s="2">
        <v>4.9400000000000006E-2</v>
      </c>
      <c r="P46" s="3">
        <v>29116</v>
      </c>
      <c r="Q46">
        <f>YEAR([1]!Engagement_Summary[[#This Row],[Week_Start_Date]])</f>
        <v>2025</v>
      </c>
      <c r="R46">
        <f>MONTH([1]!Engagement_Summary[[#This Row],[Week_Start_Date]])</f>
        <v>4</v>
      </c>
      <c r="S46">
        <f t="shared" si="0"/>
        <v>3</v>
      </c>
      <c r="T46">
        <f>[1]!Engagement_Summary[[#This Row],[New_Followers]]-[1]!Engagement_Summary[[#This Row],[Unfollows]]</f>
        <v>1029</v>
      </c>
      <c r="Z46" s="43" t="s">
        <v>70</v>
      </c>
      <c r="AA46" s="12">
        <v>28947</v>
      </c>
      <c r="AB46" s="12">
        <v>3171</v>
      </c>
      <c r="AC46" s="12">
        <v>2263</v>
      </c>
      <c r="AD46" s="12">
        <f t="shared" si="1"/>
        <v>34381</v>
      </c>
      <c r="AG46" s="1">
        <v>45733</v>
      </c>
      <c r="AH46" t="s">
        <v>13</v>
      </c>
      <c r="AI46" s="2">
        <v>4.9400000000000006E-2</v>
      </c>
      <c r="AJ46">
        <f>YEAR([1]!Engagement_Summary[[#This Row],[Week_Start_Date]])</f>
        <v>2025</v>
      </c>
      <c r="AK46" s="3">
        <v>29116</v>
      </c>
      <c r="AR46" s="12" t="s">
        <v>13</v>
      </c>
      <c r="AS46" s="12">
        <v>464</v>
      </c>
      <c r="AT46" s="12">
        <f>YEAR([1]!Engagement_Summary[[#This Row],[Week_Start_Date]])</f>
        <v>2025</v>
      </c>
    </row>
    <row r="47" spans="4:46" x14ac:dyDescent="0.25">
      <c r="J47" s="1">
        <v>45740</v>
      </c>
      <c r="K47" t="s">
        <v>13</v>
      </c>
      <c r="L47">
        <v>609</v>
      </c>
      <c r="M47">
        <v>135</v>
      </c>
      <c r="N47">
        <v>373606</v>
      </c>
      <c r="O47" s="2">
        <v>8.5199999999999998E-2</v>
      </c>
      <c r="P47" s="3">
        <v>21453</v>
      </c>
      <c r="Q47">
        <f>YEAR([1]!Engagement_Summary[[#This Row],[Week_Start_Date]])</f>
        <v>2025</v>
      </c>
      <c r="R47">
        <f>MONTH([1]!Engagement_Summary[[#This Row],[Week_Start_Date]])</f>
        <v>4</v>
      </c>
      <c r="S47">
        <f t="shared" si="0"/>
        <v>4</v>
      </c>
      <c r="T47">
        <f>[1]!Engagement_Summary[[#This Row],[New_Followers]]-[1]!Engagement_Summary[[#This Row],[Unfollows]]</f>
        <v>-175</v>
      </c>
      <c r="Z47" s="16" t="s">
        <v>23</v>
      </c>
      <c r="AA47" s="12">
        <v>204284</v>
      </c>
      <c r="AB47" s="12">
        <v>41444</v>
      </c>
      <c r="AC47" s="12">
        <v>17851</v>
      </c>
      <c r="AD47" s="42">
        <f t="shared" si="1"/>
        <v>263579</v>
      </c>
      <c r="AG47" s="1">
        <v>45740</v>
      </c>
      <c r="AH47" t="s">
        <v>13</v>
      </c>
      <c r="AI47" s="2">
        <v>8.5199999999999998E-2</v>
      </c>
      <c r="AJ47">
        <f>YEAR([1]!Engagement_Summary[[#This Row],[Week_Start_Date]])</f>
        <v>2025</v>
      </c>
      <c r="AK47" s="3">
        <v>21453</v>
      </c>
      <c r="AR47" s="12" t="s">
        <v>13</v>
      </c>
      <c r="AS47" s="12">
        <v>190</v>
      </c>
      <c r="AT47" s="12">
        <f>YEAR([1]!Engagement_Summary[[#This Row],[Week_Start_Date]])</f>
        <v>2025</v>
      </c>
    </row>
    <row r="48" spans="4:46" x14ac:dyDescent="0.25">
      <c r="J48" s="1">
        <v>45747</v>
      </c>
      <c r="K48" t="s">
        <v>13</v>
      </c>
      <c r="L48">
        <v>988</v>
      </c>
      <c r="M48">
        <v>474</v>
      </c>
      <c r="N48">
        <v>370070</v>
      </c>
      <c r="O48" s="2">
        <v>9.4600000000000004E-2</v>
      </c>
      <c r="P48" s="3">
        <v>23461</v>
      </c>
      <c r="Q48">
        <f>YEAR([1]!Engagement_Summary[[#This Row],[Week_Start_Date]])</f>
        <v>2025</v>
      </c>
      <c r="R48">
        <f>MONTH([1]!Engagement_Summary[[#This Row],[Week_Start_Date]])</f>
        <v>4</v>
      </c>
      <c r="S48">
        <f t="shared" si="0"/>
        <v>5</v>
      </c>
      <c r="T48">
        <f>[1]!Engagement_Summary[[#This Row],[New_Followers]]-[1]!Engagement_Summary[[#This Row],[Unfollows]]</f>
        <v>1045</v>
      </c>
      <c r="Z48" s="43" t="s">
        <v>26</v>
      </c>
      <c r="AA48" s="12">
        <v>43948</v>
      </c>
      <c r="AB48" s="12">
        <v>6975</v>
      </c>
      <c r="AC48" s="12">
        <v>3890</v>
      </c>
      <c r="AD48" s="12">
        <f t="shared" si="1"/>
        <v>54813</v>
      </c>
      <c r="AG48" s="1">
        <v>45747</v>
      </c>
      <c r="AH48" t="s">
        <v>13</v>
      </c>
      <c r="AI48" s="2">
        <v>9.4600000000000004E-2</v>
      </c>
      <c r="AJ48">
        <f>YEAR([1]!Engagement_Summary[[#This Row],[Week_Start_Date]])</f>
        <v>2025</v>
      </c>
      <c r="AK48" s="3">
        <v>23461</v>
      </c>
      <c r="AR48" s="12" t="s">
        <v>13</v>
      </c>
      <c r="AS48" s="12">
        <v>242</v>
      </c>
      <c r="AT48" s="12">
        <f>YEAR([1]!Engagement_Summary[[#This Row],[Week_Start_Date]])</f>
        <v>2025</v>
      </c>
    </row>
    <row r="49" spans="10:46" x14ac:dyDescent="0.25">
      <c r="J49" s="1">
        <v>45754</v>
      </c>
      <c r="K49" t="s">
        <v>13</v>
      </c>
      <c r="L49">
        <v>1307</v>
      </c>
      <c r="M49">
        <v>278</v>
      </c>
      <c r="N49">
        <v>98596</v>
      </c>
      <c r="O49" s="2">
        <v>2.4900000000000002E-2</v>
      </c>
      <c r="P49" s="3">
        <v>47603</v>
      </c>
      <c r="Q49">
        <f>YEAR([1]!Engagement_Summary[[#This Row],[Week_Start_Date]])</f>
        <v>2025</v>
      </c>
      <c r="R49">
        <f>MONTH([1]!Engagement_Summary[[#This Row],[Week_Start_Date]])</f>
        <v>4</v>
      </c>
      <c r="S49">
        <f t="shared" si="0"/>
        <v>1</v>
      </c>
      <c r="T49">
        <f>[1]!Engagement_Summary[[#This Row],[New_Followers]]-[1]!Engagement_Summary[[#This Row],[Unfollows]]</f>
        <v>453</v>
      </c>
      <c r="Z49" s="43" t="s">
        <v>21</v>
      </c>
      <c r="AA49" s="12">
        <v>34202</v>
      </c>
      <c r="AB49" s="12">
        <v>5286</v>
      </c>
      <c r="AC49" s="12">
        <v>2655</v>
      </c>
      <c r="AD49" s="12">
        <f t="shared" si="1"/>
        <v>42143</v>
      </c>
      <c r="AG49" s="1">
        <v>45754</v>
      </c>
      <c r="AH49" t="s">
        <v>13</v>
      </c>
      <c r="AI49" s="2">
        <v>2.4900000000000002E-2</v>
      </c>
      <c r="AJ49">
        <f>YEAR([1]!Engagement_Summary[[#This Row],[Week_Start_Date]])</f>
        <v>2025</v>
      </c>
      <c r="AK49" s="3">
        <v>47603</v>
      </c>
      <c r="AR49" s="12" t="s">
        <v>13</v>
      </c>
      <c r="AS49" s="12">
        <v>135</v>
      </c>
      <c r="AT49" s="12">
        <f>YEAR([1]!Engagement_Summary[[#This Row],[Week_Start_Date]])</f>
        <v>2025</v>
      </c>
    </row>
    <row r="50" spans="10:46" x14ac:dyDescent="0.25">
      <c r="J50" s="1">
        <v>45761</v>
      </c>
      <c r="K50" t="s">
        <v>13</v>
      </c>
      <c r="L50">
        <v>198</v>
      </c>
      <c r="M50">
        <v>373</v>
      </c>
      <c r="N50">
        <v>70707</v>
      </c>
      <c r="O50" s="2">
        <v>4.8300000000000003E-2</v>
      </c>
      <c r="P50" s="3">
        <v>25920</v>
      </c>
      <c r="Q50">
        <f>YEAR([1]!Engagement_Summary[[#This Row],[Week_Start_Date]])</f>
        <v>2025</v>
      </c>
      <c r="R50">
        <f>MONTH([1]!Engagement_Summary[[#This Row],[Week_Start_Date]])</f>
        <v>5</v>
      </c>
      <c r="S50">
        <f t="shared" si="0"/>
        <v>2</v>
      </c>
      <c r="T50">
        <f>[1]!Engagement_Summary[[#This Row],[New_Followers]]-[1]!Engagement_Summary[[#This Row],[Unfollows]]</f>
        <v>339</v>
      </c>
      <c r="Z50" s="43" t="s">
        <v>29</v>
      </c>
      <c r="AA50" s="12">
        <v>32148</v>
      </c>
      <c r="AB50" s="12">
        <v>8110</v>
      </c>
      <c r="AC50" s="12">
        <v>3386</v>
      </c>
      <c r="AD50" s="12">
        <f t="shared" si="1"/>
        <v>43644</v>
      </c>
      <c r="AG50" s="1">
        <v>45761</v>
      </c>
      <c r="AH50" t="s">
        <v>13</v>
      </c>
      <c r="AI50" s="2">
        <v>4.8300000000000003E-2</v>
      </c>
      <c r="AJ50">
        <f>YEAR([1]!Engagement_Summary[[#This Row],[Week_Start_Date]])</f>
        <v>2025</v>
      </c>
      <c r="AK50" s="3">
        <v>25920</v>
      </c>
      <c r="AR50" s="12" t="s">
        <v>13</v>
      </c>
      <c r="AS50" s="12">
        <v>474</v>
      </c>
      <c r="AT50" s="12">
        <f>YEAR([1]!Engagement_Summary[[#This Row],[Week_Start_Date]])</f>
        <v>2025</v>
      </c>
    </row>
    <row r="51" spans="10:46" x14ac:dyDescent="0.25">
      <c r="J51" s="1">
        <v>45768</v>
      </c>
      <c r="K51" t="s">
        <v>13</v>
      </c>
      <c r="L51">
        <v>1375</v>
      </c>
      <c r="M51">
        <v>330</v>
      </c>
      <c r="N51">
        <v>377382</v>
      </c>
      <c r="O51" s="2">
        <v>2.6000000000000002E-2</v>
      </c>
      <c r="P51" s="3">
        <v>7875</v>
      </c>
      <c r="Q51">
        <f>YEAR([1]!Engagement_Summary[[#This Row],[Week_Start_Date]])</f>
        <v>2025</v>
      </c>
      <c r="R51">
        <f>MONTH([1]!Engagement_Summary[[#This Row],[Week_Start_Date]])</f>
        <v>5</v>
      </c>
      <c r="S51">
        <f t="shared" si="0"/>
        <v>3</v>
      </c>
      <c r="T51">
        <f>[1]!Engagement_Summary[[#This Row],[New_Followers]]-[1]!Engagement_Summary[[#This Row],[Unfollows]]</f>
        <v>407</v>
      </c>
      <c r="Z51" s="45" t="s">
        <v>24</v>
      </c>
      <c r="AA51" s="46">
        <v>42649</v>
      </c>
      <c r="AB51" s="46">
        <v>10049</v>
      </c>
      <c r="AC51" s="46">
        <v>3846</v>
      </c>
      <c r="AD51" s="46">
        <f t="shared" si="1"/>
        <v>56544</v>
      </c>
      <c r="AG51" s="1">
        <v>45768</v>
      </c>
      <c r="AH51" t="s">
        <v>13</v>
      </c>
      <c r="AI51" s="2">
        <v>2.6000000000000002E-2</v>
      </c>
      <c r="AJ51">
        <f>YEAR([1]!Engagement_Summary[[#This Row],[Week_Start_Date]])</f>
        <v>2025</v>
      </c>
      <c r="AK51" s="3">
        <v>7875</v>
      </c>
      <c r="AR51" s="12" t="s">
        <v>13</v>
      </c>
      <c r="AS51" s="12">
        <v>278</v>
      </c>
      <c r="AT51" s="12">
        <f>YEAR([1]!Engagement_Summary[[#This Row],[Week_Start_Date]])</f>
        <v>2025</v>
      </c>
    </row>
    <row r="52" spans="10:46" x14ac:dyDescent="0.25">
      <c r="J52" s="1">
        <v>45775</v>
      </c>
      <c r="K52" t="s">
        <v>13</v>
      </c>
      <c r="L52">
        <v>833</v>
      </c>
      <c r="M52">
        <v>380</v>
      </c>
      <c r="N52">
        <v>224830</v>
      </c>
      <c r="O52" s="2">
        <v>3.8599999999999995E-2</v>
      </c>
      <c r="P52" s="3">
        <v>3582</v>
      </c>
      <c r="Q52">
        <f>YEAR([1]!Engagement_Summary[[#This Row],[Week_Start_Date]])</f>
        <v>2024</v>
      </c>
      <c r="R52">
        <f>MONTH([1]!Engagement_Summary[[#This Row],[Week_Start_Date]])</f>
        <v>6</v>
      </c>
      <c r="S52">
        <f t="shared" si="0"/>
        <v>4</v>
      </c>
      <c r="T52">
        <f>[1]!Engagement_Summary[[#This Row],[New_Followers]]-[1]!Engagement_Summary[[#This Row],[Unfollows]]</f>
        <v>1047</v>
      </c>
      <c r="Z52" s="43" t="s">
        <v>69</v>
      </c>
      <c r="AA52" s="12">
        <v>25567</v>
      </c>
      <c r="AB52" s="12">
        <v>5112</v>
      </c>
      <c r="AC52" s="12">
        <v>1946</v>
      </c>
      <c r="AD52" s="12">
        <f t="shared" si="1"/>
        <v>32625</v>
      </c>
      <c r="AG52" s="1">
        <v>45775</v>
      </c>
      <c r="AH52" t="s">
        <v>13</v>
      </c>
      <c r="AI52" s="2">
        <v>3.8599999999999995E-2</v>
      </c>
      <c r="AJ52">
        <f>YEAR([1]!Engagement_Summary[[#This Row],[Week_Start_Date]])</f>
        <v>2024</v>
      </c>
      <c r="AK52" s="3">
        <v>3582</v>
      </c>
      <c r="AR52" s="12" t="s">
        <v>13</v>
      </c>
      <c r="AS52" s="12">
        <v>373</v>
      </c>
      <c r="AT52" s="12">
        <f>YEAR([1]!Engagement_Summary[[#This Row],[Week_Start_Date]])</f>
        <v>2024</v>
      </c>
    </row>
    <row r="53" spans="10:46" x14ac:dyDescent="0.25">
      <c r="J53" s="1">
        <v>45782</v>
      </c>
      <c r="K53" t="s">
        <v>13</v>
      </c>
      <c r="L53">
        <v>405</v>
      </c>
      <c r="M53">
        <v>66</v>
      </c>
      <c r="N53">
        <v>418696</v>
      </c>
      <c r="O53" s="2">
        <v>5.5899999999999998E-2</v>
      </c>
      <c r="P53" s="3">
        <v>48419</v>
      </c>
      <c r="Q53">
        <f>YEAR([1]!Engagement_Summary[[#This Row],[Week_Start_Date]])</f>
        <v>2024</v>
      </c>
      <c r="R53">
        <f>MONTH([1]!Engagement_Summary[[#This Row],[Week_Start_Date]])</f>
        <v>6</v>
      </c>
      <c r="S53">
        <f t="shared" si="0"/>
        <v>1</v>
      </c>
      <c r="T53">
        <f>[1]!Engagement_Summary[[#This Row],[New_Followers]]-[1]!Engagement_Summary[[#This Row],[Unfollows]]</f>
        <v>517</v>
      </c>
      <c r="Z53" s="43" t="s">
        <v>70</v>
      </c>
      <c r="AA53" s="12">
        <v>25770</v>
      </c>
      <c r="AB53" s="12">
        <v>5912</v>
      </c>
      <c r="AC53" s="12">
        <v>2128</v>
      </c>
      <c r="AD53" s="12">
        <f t="shared" si="1"/>
        <v>33810</v>
      </c>
      <c r="AG53" s="1">
        <v>45782</v>
      </c>
      <c r="AH53" t="s">
        <v>13</v>
      </c>
      <c r="AI53" s="2">
        <v>5.5899999999999998E-2</v>
      </c>
      <c r="AJ53">
        <f>YEAR([1]!Engagement_Summary[[#This Row],[Week_Start_Date]])</f>
        <v>2024</v>
      </c>
      <c r="AK53" s="3">
        <v>48419</v>
      </c>
      <c r="AR53" s="12" t="s">
        <v>13</v>
      </c>
      <c r="AS53" s="12">
        <v>330</v>
      </c>
      <c r="AT53" s="12">
        <f>YEAR([1]!Engagement_Summary[[#This Row],[Week_Start_Date]])</f>
        <v>2024</v>
      </c>
    </row>
    <row r="54" spans="10:46" x14ac:dyDescent="0.25">
      <c r="J54" s="1">
        <v>45789</v>
      </c>
      <c r="K54" t="s">
        <v>13</v>
      </c>
      <c r="L54">
        <v>837</v>
      </c>
      <c r="M54">
        <v>430</v>
      </c>
      <c r="N54">
        <v>364820</v>
      </c>
      <c r="O54" s="2">
        <v>0.04</v>
      </c>
      <c r="P54" s="3">
        <v>49400</v>
      </c>
      <c r="Q54">
        <f>YEAR([1]!Engagement_Summary[[#This Row],[Week_Start_Date]])</f>
        <v>2024</v>
      </c>
      <c r="R54">
        <f>MONTH([1]!Engagement_Summary[[#This Row],[Week_Start_Date]])</f>
        <v>6</v>
      </c>
      <c r="S54">
        <f t="shared" si="0"/>
        <v>2</v>
      </c>
      <c r="T54">
        <f>[1]!Engagement_Summary[[#This Row],[New_Followers]]-[1]!Engagement_Summary[[#This Row],[Unfollows]]</f>
        <v>893</v>
      </c>
      <c r="Z54" s="16" t="s">
        <v>27</v>
      </c>
      <c r="AA54" s="12">
        <v>201397</v>
      </c>
      <c r="AB54" s="12">
        <v>33728</v>
      </c>
      <c r="AC54" s="12">
        <v>20880</v>
      </c>
      <c r="AD54" s="42">
        <f t="shared" si="1"/>
        <v>256005</v>
      </c>
      <c r="AG54" s="1">
        <v>45789</v>
      </c>
      <c r="AH54" t="s">
        <v>13</v>
      </c>
      <c r="AI54" s="2">
        <v>0.04</v>
      </c>
      <c r="AJ54">
        <f>YEAR([1]!Engagement_Summary[[#This Row],[Week_Start_Date]])</f>
        <v>2024</v>
      </c>
      <c r="AK54" s="3">
        <v>49400</v>
      </c>
      <c r="AR54" s="12" t="s">
        <v>13</v>
      </c>
      <c r="AS54" s="12">
        <v>380</v>
      </c>
      <c r="AT54" s="12">
        <f>YEAR([1]!Engagement_Summary[[#This Row],[Week_Start_Date]])</f>
        <v>2024</v>
      </c>
    </row>
    <row r="55" spans="10:46" x14ac:dyDescent="0.25">
      <c r="J55" s="1">
        <v>45446</v>
      </c>
      <c r="K55" t="s">
        <v>23</v>
      </c>
      <c r="L55">
        <v>1135</v>
      </c>
      <c r="M55">
        <v>88</v>
      </c>
      <c r="N55">
        <v>344084</v>
      </c>
      <c r="O55" s="2">
        <v>8.0600000000000005E-2</v>
      </c>
      <c r="P55" s="3">
        <v>5904</v>
      </c>
      <c r="Q55">
        <f>YEAR([1]!Engagement_Summary[[#This Row],[Week_Start_Date]])</f>
        <v>2024</v>
      </c>
      <c r="R55">
        <f>MONTH([1]!Engagement_Summary[[#This Row],[Week_Start_Date]])</f>
        <v>6</v>
      </c>
      <c r="S55">
        <f t="shared" si="0"/>
        <v>1</v>
      </c>
      <c r="T55">
        <f>[1]!Engagement_Summary[[#This Row],[New_Followers]]-[1]!Engagement_Summary[[#This Row],[Unfollows]]</f>
        <v>629</v>
      </c>
      <c r="Z55" s="45" t="s">
        <v>26</v>
      </c>
      <c r="AA55" s="46">
        <v>48649</v>
      </c>
      <c r="AB55" s="46">
        <v>5791</v>
      </c>
      <c r="AC55" s="46">
        <v>3607</v>
      </c>
      <c r="AD55" s="46">
        <f t="shared" si="1"/>
        <v>58047</v>
      </c>
      <c r="AG55" s="1">
        <v>45446</v>
      </c>
      <c r="AH55" t="s">
        <v>23</v>
      </c>
      <c r="AI55" s="2">
        <v>8.0600000000000005E-2</v>
      </c>
      <c r="AJ55">
        <f>YEAR([1]!Engagement_Summary[[#This Row],[Week_Start_Date]])</f>
        <v>2024</v>
      </c>
      <c r="AK55" s="3">
        <v>5904</v>
      </c>
      <c r="AR55" s="12" t="s">
        <v>13</v>
      </c>
      <c r="AS55" s="12">
        <v>66</v>
      </c>
      <c r="AT55" s="12">
        <f>YEAR([1]!Engagement_Summary[[#This Row],[Week_Start_Date]])</f>
        <v>2024</v>
      </c>
    </row>
    <row r="56" spans="10:46" x14ac:dyDescent="0.25">
      <c r="J56" s="1">
        <v>45453</v>
      </c>
      <c r="K56" t="s">
        <v>23</v>
      </c>
      <c r="L56">
        <v>656</v>
      </c>
      <c r="M56">
        <v>139</v>
      </c>
      <c r="N56">
        <v>49157</v>
      </c>
      <c r="O56" s="2">
        <v>9.0500000000000011E-2</v>
      </c>
      <c r="P56" s="3">
        <v>9920</v>
      </c>
      <c r="Q56">
        <f>YEAR([1]!Engagement_Summary[[#This Row],[Week_Start_Date]])</f>
        <v>2024</v>
      </c>
      <c r="R56">
        <f>MONTH([1]!Engagement_Summary[[#This Row],[Week_Start_Date]])</f>
        <v>7</v>
      </c>
      <c r="S56">
        <f t="shared" si="0"/>
        <v>2</v>
      </c>
      <c r="T56">
        <f>[1]!Engagement_Summary[[#This Row],[New_Followers]]-[1]!Engagement_Summary[[#This Row],[Unfollows]]</f>
        <v>-219</v>
      </c>
      <c r="Z56" s="43" t="s">
        <v>21</v>
      </c>
      <c r="AA56" s="12">
        <v>43761</v>
      </c>
      <c r="AB56" s="12">
        <v>7110</v>
      </c>
      <c r="AC56" s="12">
        <v>5125</v>
      </c>
      <c r="AD56" s="12">
        <f t="shared" si="1"/>
        <v>55996</v>
      </c>
      <c r="AG56" s="1">
        <v>45453</v>
      </c>
      <c r="AH56" t="s">
        <v>23</v>
      </c>
      <c r="AI56" s="2">
        <v>9.0500000000000011E-2</v>
      </c>
      <c r="AJ56">
        <f>YEAR([1]!Engagement_Summary[[#This Row],[Week_Start_Date]])</f>
        <v>2024</v>
      </c>
      <c r="AK56" s="3">
        <v>9920</v>
      </c>
      <c r="AR56" s="12" t="s">
        <v>13</v>
      </c>
      <c r="AS56" s="12">
        <v>430</v>
      </c>
      <c r="AT56" s="12">
        <f>YEAR([1]!Engagement_Summary[[#This Row],[Week_Start_Date]])</f>
        <v>2024</v>
      </c>
    </row>
    <row r="57" spans="10:46" x14ac:dyDescent="0.25">
      <c r="J57" s="1">
        <v>45460</v>
      </c>
      <c r="K57" t="s">
        <v>23</v>
      </c>
      <c r="L57">
        <v>1048</v>
      </c>
      <c r="M57">
        <v>155</v>
      </c>
      <c r="N57">
        <v>456946</v>
      </c>
      <c r="O57" s="2">
        <v>2.46E-2</v>
      </c>
      <c r="P57" s="3">
        <v>11329</v>
      </c>
      <c r="Q57">
        <f>YEAR([1]!Engagement_Summary[[#This Row],[Week_Start_Date]])</f>
        <v>2024</v>
      </c>
      <c r="R57">
        <f>MONTH([1]!Engagement_Summary[[#This Row],[Week_Start_Date]])</f>
        <v>7</v>
      </c>
      <c r="S57">
        <f t="shared" si="0"/>
        <v>3</v>
      </c>
      <c r="T57">
        <f>[1]!Engagement_Summary[[#This Row],[New_Followers]]-[1]!Engagement_Summary[[#This Row],[Unfollows]]</f>
        <v>1672</v>
      </c>
      <c r="Z57" s="43" t="s">
        <v>29</v>
      </c>
      <c r="AA57" s="12">
        <v>27029</v>
      </c>
      <c r="AB57" s="12">
        <v>4550</v>
      </c>
      <c r="AC57" s="12">
        <v>1913</v>
      </c>
      <c r="AD57" s="12">
        <f t="shared" si="1"/>
        <v>33492</v>
      </c>
      <c r="AG57" s="1">
        <v>45460</v>
      </c>
      <c r="AH57" t="s">
        <v>23</v>
      </c>
      <c r="AI57" s="2">
        <v>2.46E-2</v>
      </c>
      <c r="AJ57">
        <f>YEAR([1]!Engagement_Summary[[#This Row],[Week_Start_Date]])</f>
        <v>2024</v>
      </c>
      <c r="AK57" s="3">
        <v>11329</v>
      </c>
      <c r="AR57" s="12" t="s">
        <v>23</v>
      </c>
      <c r="AS57" s="12">
        <v>88</v>
      </c>
      <c r="AT57" s="12">
        <f>YEAR([1]!Engagement_Summary[[#This Row],[Week_Start_Date]])</f>
        <v>2024</v>
      </c>
    </row>
    <row r="58" spans="10:46" x14ac:dyDescent="0.25">
      <c r="J58" s="1">
        <v>45467</v>
      </c>
      <c r="K58" t="s">
        <v>23</v>
      </c>
      <c r="L58">
        <v>911</v>
      </c>
      <c r="M58">
        <v>282</v>
      </c>
      <c r="N58">
        <v>35664</v>
      </c>
      <c r="O58" s="2">
        <v>6.9199999999999998E-2</v>
      </c>
      <c r="P58" s="3">
        <v>18050</v>
      </c>
      <c r="Q58">
        <f>YEAR([1]!Engagement_Summary[[#This Row],[Week_Start_Date]])</f>
        <v>2024</v>
      </c>
      <c r="R58">
        <f>MONTH([1]!Engagement_Summary[[#This Row],[Week_Start_Date]])</f>
        <v>7</v>
      </c>
      <c r="S58">
        <f t="shared" si="0"/>
        <v>4</v>
      </c>
      <c r="T58">
        <f>[1]!Engagement_Summary[[#This Row],[New_Followers]]-[1]!Engagement_Summary[[#This Row],[Unfollows]]</f>
        <v>1845</v>
      </c>
      <c r="Z58" s="43" t="s">
        <v>24</v>
      </c>
      <c r="AA58" s="12">
        <v>20466</v>
      </c>
      <c r="AB58" s="12">
        <v>5090</v>
      </c>
      <c r="AC58" s="12">
        <v>3026</v>
      </c>
      <c r="AD58" s="12">
        <f t="shared" si="1"/>
        <v>28582</v>
      </c>
      <c r="AG58" s="1">
        <v>45467</v>
      </c>
      <c r="AH58" t="s">
        <v>23</v>
      </c>
      <c r="AI58" s="2">
        <v>6.9199999999999998E-2</v>
      </c>
      <c r="AJ58">
        <f>YEAR([1]!Engagement_Summary[[#This Row],[Week_Start_Date]])</f>
        <v>2024</v>
      </c>
      <c r="AK58" s="3">
        <v>18050</v>
      </c>
      <c r="AR58" s="12" t="s">
        <v>23</v>
      </c>
      <c r="AS58" s="12">
        <v>139</v>
      </c>
      <c r="AT58" s="12">
        <f>YEAR([1]!Engagement_Summary[[#This Row],[Week_Start_Date]])</f>
        <v>2024</v>
      </c>
    </row>
    <row r="59" spans="10:46" x14ac:dyDescent="0.25">
      <c r="J59" s="1">
        <v>45474</v>
      </c>
      <c r="K59" t="s">
        <v>23</v>
      </c>
      <c r="L59">
        <v>226</v>
      </c>
      <c r="M59">
        <v>445</v>
      </c>
      <c r="N59">
        <v>419447</v>
      </c>
      <c r="O59" s="2">
        <v>9.3599999999999989E-2</v>
      </c>
      <c r="P59" s="3">
        <v>9566</v>
      </c>
      <c r="Q59">
        <f>YEAR([1]!Engagement_Summary[[#This Row],[Week_Start_Date]])</f>
        <v>2024</v>
      </c>
      <c r="R59">
        <f>MONTH([1]!Engagement_Summary[[#This Row],[Week_Start_Date]])</f>
        <v>7</v>
      </c>
      <c r="S59">
        <f t="shared" si="0"/>
        <v>1</v>
      </c>
      <c r="T59">
        <f>[1]!Engagement_Summary[[#This Row],[New_Followers]]-[1]!Engagement_Summary[[#This Row],[Unfollows]]</f>
        <v>159</v>
      </c>
      <c r="Z59" s="43" t="s">
        <v>69</v>
      </c>
      <c r="AA59" s="12">
        <v>31899</v>
      </c>
      <c r="AB59" s="12">
        <v>4861</v>
      </c>
      <c r="AC59" s="12">
        <v>3910</v>
      </c>
      <c r="AD59" s="12">
        <f t="shared" si="1"/>
        <v>40670</v>
      </c>
      <c r="AG59" s="1">
        <v>45474</v>
      </c>
      <c r="AH59" t="s">
        <v>23</v>
      </c>
      <c r="AI59" s="2">
        <v>9.3599999999999989E-2</v>
      </c>
      <c r="AJ59">
        <f>YEAR([1]!Engagement_Summary[[#This Row],[Week_Start_Date]])</f>
        <v>2024</v>
      </c>
      <c r="AK59" s="3">
        <v>9566</v>
      </c>
      <c r="AR59" s="12" t="s">
        <v>23</v>
      </c>
      <c r="AS59" s="12">
        <v>155</v>
      </c>
      <c r="AT59" s="12">
        <f>YEAR([1]!Engagement_Summary[[#This Row],[Week_Start_Date]])</f>
        <v>2024</v>
      </c>
    </row>
    <row r="60" spans="10:46" x14ac:dyDescent="0.25">
      <c r="J60" s="1">
        <v>45481</v>
      </c>
      <c r="K60" t="s">
        <v>23</v>
      </c>
      <c r="L60">
        <v>1757</v>
      </c>
      <c r="M60">
        <v>85</v>
      </c>
      <c r="N60">
        <v>58223</v>
      </c>
      <c r="O60" s="2">
        <v>8.7400000000000005E-2</v>
      </c>
      <c r="P60" s="3">
        <v>22728</v>
      </c>
      <c r="Q60">
        <f>YEAR([1]!Engagement_Summary[[#This Row],[Week_Start_Date]])</f>
        <v>2024</v>
      </c>
      <c r="R60">
        <f>MONTH([1]!Engagement_Summary[[#This Row],[Week_Start_Date]])</f>
        <v>7</v>
      </c>
      <c r="S60">
        <f t="shared" si="0"/>
        <v>2</v>
      </c>
      <c r="T60">
        <f>[1]!Engagement_Summary[[#This Row],[New_Followers]]-[1]!Engagement_Summary[[#This Row],[Unfollows]]</f>
        <v>541</v>
      </c>
      <c r="Z60" s="43" t="s">
        <v>70</v>
      </c>
      <c r="AA60" s="12">
        <v>29593</v>
      </c>
      <c r="AB60" s="12">
        <v>6326</v>
      </c>
      <c r="AC60" s="12">
        <v>3299</v>
      </c>
      <c r="AD60" s="12">
        <f t="shared" si="1"/>
        <v>39218</v>
      </c>
      <c r="AG60" s="1">
        <v>45481</v>
      </c>
      <c r="AH60" t="s">
        <v>23</v>
      </c>
      <c r="AI60" s="2">
        <v>8.7400000000000005E-2</v>
      </c>
      <c r="AJ60">
        <f>YEAR([1]!Engagement_Summary[[#This Row],[Week_Start_Date]])</f>
        <v>2024</v>
      </c>
      <c r="AK60" s="3">
        <v>22728</v>
      </c>
      <c r="AR60" s="12" t="s">
        <v>23</v>
      </c>
      <c r="AS60" s="12">
        <v>282</v>
      </c>
      <c r="AT60" s="12">
        <f>YEAR([1]!Engagement_Summary[[#This Row],[Week_Start_Date]])</f>
        <v>2024</v>
      </c>
    </row>
    <row r="61" spans="10:46" x14ac:dyDescent="0.25">
      <c r="J61" s="1">
        <v>45488</v>
      </c>
      <c r="K61" t="s">
        <v>23</v>
      </c>
      <c r="L61">
        <v>1960</v>
      </c>
      <c r="M61">
        <v>115</v>
      </c>
      <c r="N61">
        <v>154169</v>
      </c>
      <c r="O61" s="2">
        <v>3.7400000000000003E-2</v>
      </c>
      <c r="P61" s="3">
        <v>10740</v>
      </c>
      <c r="Q61">
        <f>YEAR([1]!Engagement_Summary[[#This Row],[Week_Start_Date]])</f>
        <v>2024</v>
      </c>
      <c r="R61">
        <f>MONTH([1]!Engagement_Summary[[#This Row],[Week_Start_Date]])</f>
        <v>8</v>
      </c>
      <c r="S61">
        <f t="shared" si="0"/>
        <v>3</v>
      </c>
      <c r="T61">
        <f>[1]!Engagement_Summary[[#This Row],[New_Followers]]-[1]!Engagement_Summary[[#This Row],[Unfollows]]</f>
        <v>352</v>
      </c>
      <c r="Z61" s="16" t="s">
        <v>30</v>
      </c>
      <c r="AA61" s="12">
        <v>171549</v>
      </c>
      <c r="AB61" s="12">
        <v>28572</v>
      </c>
      <c r="AC61" s="12">
        <v>12820</v>
      </c>
      <c r="AD61" s="42">
        <f t="shared" si="1"/>
        <v>212941</v>
      </c>
      <c r="AG61" s="1">
        <v>45488</v>
      </c>
      <c r="AH61" t="s">
        <v>23</v>
      </c>
      <c r="AI61" s="2">
        <v>3.7400000000000003E-2</v>
      </c>
      <c r="AJ61">
        <f>YEAR([1]!Engagement_Summary[[#This Row],[Week_Start_Date]])</f>
        <v>2024</v>
      </c>
      <c r="AK61" s="3">
        <v>10740</v>
      </c>
      <c r="AR61" s="12" t="s">
        <v>23</v>
      </c>
      <c r="AS61" s="12">
        <v>445</v>
      </c>
      <c r="AT61" s="12">
        <f>YEAR([1]!Engagement_Summary[[#This Row],[Week_Start_Date]])</f>
        <v>2024</v>
      </c>
    </row>
    <row r="62" spans="10:46" x14ac:dyDescent="0.25">
      <c r="J62" s="1">
        <v>45495</v>
      </c>
      <c r="K62" t="s">
        <v>23</v>
      </c>
      <c r="L62">
        <v>508</v>
      </c>
      <c r="M62">
        <v>349</v>
      </c>
      <c r="N62">
        <v>473812</v>
      </c>
      <c r="O62" s="2">
        <v>7.8799999999999995E-2</v>
      </c>
      <c r="P62" s="3">
        <v>17328</v>
      </c>
      <c r="Q62">
        <f>YEAR([1]!Engagement_Summary[[#This Row],[Week_Start_Date]])</f>
        <v>2024</v>
      </c>
      <c r="R62">
        <f>MONTH([1]!Engagement_Summary[[#This Row],[Week_Start_Date]])</f>
        <v>8</v>
      </c>
      <c r="S62">
        <f t="shared" si="0"/>
        <v>4</v>
      </c>
      <c r="T62">
        <f>[1]!Engagement_Summary[[#This Row],[New_Followers]]-[1]!Engagement_Summary[[#This Row],[Unfollows]]</f>
        <v>1325</v>
      </c>
      <c r="Z62" s="43" t="s">
        <v>26</v>
      </c>
      <c r="AA62" s="12">
        <v>24926</v>
      </c>
      <c r="AB62" s="12">
        <v>6305</v>
      </c>
      <c r="AC62" s="12">
        <v>2422</v>
      </c>
      <c r="AD62" s="12">
        <f t="shared" si="1"/>
        <v>33653</v>
      </c>
      <c r="AG62" s="1">
        <v>45495</v>
      </c>
      <c r="AH62" t="s">
        <v>23</v>
      </c>
      <c r="AI62" s="2">
        <v>7.8799999999999995E-2</v>
      </c>
      <c r="AJ62">
        <f>YEAR([1]!Engagement_Summary[[#This Row],[Week_Start_Date]])</f>
        <v>2024</v>
      </c>
      <c r="AK62" s="3">
        <v>17328</v>
      </c>
      <c r="AR62" s="12" t="s">
        <v>23</v>
      </c>
      <c r="AS62" s="12">
        <v>85</v>
      </c>
      <c r="AT62" s="12">
        <f>YEAR([1]!Engagement_Summary[[#This Row],[Week_Start_Date]])</f>
        <v>2024</v>
      </c>
    </row>
    <row r="63" spans="10:46" x14ac:dyDescent="0.25">
      <c r="J63" s="1">
        <v>45502</v>
      </c>
      <c r="K63" t="s">
        <v>23</v>
      </c>
      <c r="L63">
        <v>653</v>
      </c>
      <c r="M63">
        <v>112</v>
      </c>
      <c r="N63">
        <v>23664</v>
      </c>
      <c r="O63" s="2">
        <v>4.0500000000000001E-2</v>
      </c>
      <c r="P63" s="3">
        <v>15353</v>
      </c>
      <c r="Q63">
        <f>YEAR([1]!Engagement_Summary[[#This Row],[Week_Start_Date]])</f>
        <v>2024</v>
      </c>
      <c r="R63">
        <f>MONTH([1]!Engagement_Summary[[#This Row],[Week_Start_Date]])</f>
        <v>8</v>
      </c>
      <c r="S63">
        <f t="shared" si="0"/>
        <v>5</v>
      </c>
      <c r="T63">
        <f>[1]!Engagement_Summary[[#This Row],[New_Followers]]-[1]!Engagement_Summary[[#This Row],[Unfollows]]</f>
        <v>76</v>
      </c>
      <c r="Z63" s="43" t="s">
        <v>21</v>
      </c>
      <c r="AA63" s="12">
        <v>23903</v>
      </c>
      <c r="AB63" s="12">
        <v>4310</v>
      </c>
      <c r="AC63" s="12">
        <v>2077</v>
      </c>
      <c r="AD63" s="12">
        <f t="shared" si="1"/>
        <v>30290</v>
      </c>
      <c r="AG63" s="1">
        <v>45502</v>
      </c>
      <c r="AH63" t="s">
        <v>23</v>
      </c>
      <c r="AI63" s="2">
        <v>4.0500000000000001E-2</v>
      </c>
      <c r="AJ63">
        <f>YEAR([1]!Engagement_Summary[[#This Row],[Week_Start_Date]])</f>
        <v>2024</v>
      </c>
      <c r="AK63" s="3">
        <v>15353</v>
      </c>
      <c r="AR63" s="12" t="s">
        <v>23</v>
      </c>
      <c r="AS63" s="12">
        <v>115</v>
      </c>
      <c r="AT63" s="12">
        <f>YEAR([1]!Engagement_Summary[[#This Row],[Week_Start_Date]])</f>
        <v>2024</v>
      </c>
    </row>
    <row r="64" spans="10:46" x14ac:dyDescent="0.25">
      <c r="J64" s="1">
        <v>45509</v>
      </c>
      <c r="K64" t="s">
        <v>23</v>
      </c>
      <c r="L64">
        <v>645</v>
      </c>
      <c r="M64">
        <v>293</v>
      </c>
      <c r="N64">
        <v>437968</v>
      </c>
      <c r="O64" s="2">
        <v>7.8299999999999995E-2</v>
      </c>
      <c r="P64" s="3">
        <v>49303</v>
      </c>
      <c r="Q64">
        <f>YEAR([1]!Engagement_Summary[[#This Row],[Week_Start_Date]])</f>
        <v>2024</v>
      </c>
      <c r="R64">
        <f>MONTH([1]!Engagement_Summary[[#This Row],[Week_Start_Date]])</f>
        <v>8</v>
      </c>
      <c r="S64">
        <f t="shared" si="0"/>
        <v>1</v>
      </c>
      <c r="T64">
        <f>[1]!Engagement_Summary[[#This Row],[New_Followers]]-[1]!Engagement_Summary[[#This Row],[Unfollows]]</f>
        <v>1609</v>
      </c>
      <c r="Z64" s="45" t="s">
        <v>29</v>
      </c>
      <c r="AA64" s="46">
        <v>32400</v>
      </c>
      <c r="AB64" s="46">
        <v>4577</v>
      </c>
      <c r="AC64" s="46">
        <v>2668</v>
      </c>
      <c r="AD64" s="46">
        <f t="shared" si="1"/>
        <v>39645</v>
      </c>
      <c r="AG64" s="1">
        <v>45509</v>
      </c>
      <c r="AH64" t="s">
        <v>23</v>
      </c>
      <c r="AI64" s="2">
        <v>7.8299999999999995E-2</v>
      </c>
      <c r="AJ64">
        <f>YEAR([1]!Engagement_Summary[[#This Row],[Week_Start_Date]])</f>
        <v>2024</v>
      </c>
      <c r="AK64" s="3">
        <v>49303</v>
      </c>
      <c r="AR64" s="12" t="s">
        <v>23</v>
      </c>
      <c r="AS64" s="12">
        <v>349</v>
      </c>
      <c r="AT64" s="12">
        <f>YEAR([1]!Engagement_Summary[[#This Row],[Week_Start_Date]])</f>
        <v>2024</v>
      </c>
    </row>
    <row r="65" spans="10:46" x14ac:dyDescent="0.25">
      <c r="J65" s="1">
        <v>45516</v>
      </c>
      <c r="K65" t="s">
        <v>23</v>
      </c>
      <c r="L65">
        <v>1528</v>
      </c>
      <c r="M65">
        <v>203</v>
      </c>
      <c r="N65">
        <v>489188</v>
      </c>
      <c r="O65" s="2">
        <v>6.2300000000000001E-2</v>
      </c>
      <c r="P65" s="3">
        <v>47101</v>
      </c>
      <c r="Q65">
        <f>YEAR([1]!Engagement_Summary[[#This Row],[Week_Start_Date]])</f>
        <v>2024</v>
      </c>
      <c r="R65">
        <f>MONTH([1]!Engagement_Summary[[#This Row],[Week_Start_Date]])</f>
        <v>9</v>
      </c>
      <c r="S65">
        <f t="shared" si="0"/>
        <v>2</v>
      </c>
      <c r="T65">
        <f>[1]!Engagement_Summary[[#This Row],[New_Followers]]-[1]!Engagement_Summary[[#This Row],[Unfollows]]</f>
        <v>1247</v>
      </c>
      <c r="Z65" s="43" t="s">
        <v>24</v>
      </c>
      <c r="AA65" s="12">
        <v>31968</v>
      </c>
      <c r="AB65" s="12">
        <v>3866</v>
      </c>
      <c r="AC65" s="12">
        <v>2012</v>
      </c>
      <c r="AD65" s="12">
        <f t="shared" si="1"/>
        <v>37846</v>
      </c>
      <c r="AG65" s="1">
        <v>45516</v>
      </c>
      <c r="AH65" t="s">
        <v>23</v>
      </c>
      <c r="AI65" s="2">
        <v>6.2300000000000001E-2</v>
      </c>
      <c r="AJ65">
        <f>YEAR([1]!Engagement_Summary[[#This Row],[Week_Start_Date]])</f>
        <v>2024</v>
      </c>
      <c r="AK65" s="3">
        <v>47101</v>
      </c>
      <c r="AR65" s="12" t="s">
        <v>23</v>
      </c>
      <c r="AS65" s="12">
        <v>112</v>
      </c>
      <c r="AT65" s="12">
        <f>YEAR([1]!Engagement_Summary[[#This Row],[Week_Start_Date]])</f>
        <v>2024</v>
      </c>
    </row>
    <row r="66" spans="10:46" x14ac:dyDescent="0.25">
      <c r="J66" s="1">
        <v>45523</v>
      </c>
      <c r="K66" t="s">
        <v>23</v>
      </c>
      <c r="L66">
        <v>215</v>
      </c>
      <c r="M66">
        <v>139</v>
      </c>
      <c r="N66">
        <v>325444</v>
      </c>
      <c r="O66" s="2">
        <v>3.2500000000000001E-2</v>
      </c>
      <c r="P66" s="3">
        <v>35501</v>
      </c>
      <c r="Q66">
        <f>YEAR([1]!Engagement_Summary[[#This Row],[Week_Start_Date]])</f>
        <v>2024</v>
      </c>
      <c r="R66">
        <f>MONTH([1]!Engagement_Summary[[#This Row],[Week_Start_Date]])</f>
        <v>9</v>
      </c>
      <c r="S66">
        <f t="shared" si="0"/>
        <v>3</v>
      </c>
      <c r="T66">
        <f>[1]!Engagement_Summary[[#This Row],[New_Followers]]-[1]!Engagement_Summary[[#This Row],[Unfollows]]</f>
        <v>1572</v>
      </c>
      <c r="Z66" s="43" t="s">
        <v>69</v>
      </c>
      <c r="AA66" s="12">
        <v>27067</v>
      </c>
      <c r="AB66" s="12">
        <v>3928</v>
      </c>
      <c r="AC66" s="12">
        <v>1052</v>
      </c>
      <c r="AD66" s="12">
        <f t="shared" si="1"/>
        <v>32047</v>
      </c>
      <c r="AG66" s="1">
        <v>45523</v>
      </c>
      <c r="AH66" t="s">
        <v>23</v>
      </c>
      <c r="AI66" s="2">
        <v>3.2500000000000001E-2</v>
      </c>
      <c r="AJ66">
        <f>YEAR([1]!Engagement_Summary[[#This Row],[Week_Start_Date]])</f>
        <v>2024</v>
      </c>
      <c r="AK66" s="3">
        <v>35501</v>
      </c>
      <c r="AR66" s="12" t="s">
        <v>23</v>
      </c>
      <c r="AS66" s="12">
        <v>293</v>
      </c>
      <c r="AT66" s="12">
        <f>YEAR([1]!Engagement_Summary[[#This Row],[Week_Start_Date]])</f>
        <v>2024</v>
      </c>
    </row>
    <row r="67" spans="10:46" x14ac:dyDescent="0.25">
      <c r="J67" s="1">
        <v>45530</v>
      </c>
      <c r="K67" t="s">
        <v>23</v>
      </c>
      <c r="L67">
        <v>1685</v>
      </c>
      <c r="M67">
        <v>76</v>
      </c>
      <c r="N67">
        <v>453799</v>
      </c>
      <c r="O67" s="2">
        <v>5.7099999999999998E-2</v>
      </c>
      <c r="P67" s="3">
        <v>24913</v>
      </c>
      <c r="Q67">
        <f>YEAR([1]!Engagement_Summary[[#This Row],[Week_Start_Date]])</f>
        <v>2024</v>
      </c>
      <c r="R67">
        <f>MONTH([1]!Engagement_Summary[[#This Row],[Week_Start_Date]])</f>
        <v>9</v>
      </c>
      <c r="S67">
        <f t="shared" si="0"/>
        <v>4</v>
      </c>
      <c r="T67">
        <f>[1]!Engagement_Summary[[#This Row],[New_Followers]]-[1]!Engagement_Summary[[#This Row],[Unfollows]]</f>
        <v>377</v>
      </c>
      <c r="Z67" s="43" t="s">
        <v>70</v>
      </c>
      <c r="AA67" s="12">
        <v>31285</v>
      </c>
      <c r="AB67" s="12">
        <v>5586</v>
      </c>
      <c r="AC67" s="12">
        <v>2589</v>
      </c>
      <c r="AD67" s="12">
        <f t="shared" si="1"/>
        <v>39460</v>
      </c>
      <c r="AG67" s="1">
        <v>45530</v>
      </c>
      <c r="AH67" t="s">
        <v>23</v>
      </c>
      <c r="AI67" s="2">
        <v>5.7099999999999998E-2</v>
      </c>
      <c r="AJ67">
        <f>YEAR([1]!Engagement_Summary[[#This Row],[Week_Start_Date]])</f>
        <v>2024</v>
      </c>
      <c r="AK67" s="3">
        <v>24913</v>
      </c>
      <c r="AR67" s="12" t="s">
        <v>23</v>
      </c>
      <c r="AS67" s="12">
        <v>203</v>
      </c>
      <c r="AT67" s="12">
        <f>YEAR([1]!Engagement_Summary[[#This Row],[Week_Start_Date]])</f>
        <v>2024</v>
      </c>
    </row>
    <row r="68" spans="10:46" x14ac:dyDescent="0.25">
      <c r="J68" s="1">
        <v>45537</v>
      </c>
      <c r="K68" t="s">
        <v>23</v>
      </c>
      <c r="L68">
        <v>1429</v>
      </c>
      <c r="M68">
        <v>182</v>
      </c>
      <c r="N68">
        <v>101332</v>
      </c>
      <c r="O68" s="2">
        <v>7.1599999999999997E-2</v>
      </c>
      <c r="P68" s="3">
        <v>37829</v>
      </c>
      <c r="Q68">
        <f>YEAR([1]!Engagement_Summary[[#This Row],[Week_Start_Date]])</f>
        <v>2024</v>
      </c>
      <c r="R68">
        <f>MONTH([1]!Engagement_Summary[[#This Row],[Week_Start_Date]])</f>
        <v>9</v>
      </c>
      <c r="S68">
        <f t="shared" si="0"/>
        <v>1</v>
      </c>
      <c r="T68">
        <f>[1]!Engagement_Summary[[#This Row],[New_Followers]]-[1]!Engagement_Summary[[#This Row],[Unfollows]]</f>
        <v>666</v>
      </c>
      <c r="Z68" s="16" t="s">
        <v>22</v>
      </c>
      <c r="AA68" s="12">
        <v>819991</v>
      </c>
      <c r="AB68" s="12">
        <v>142925</v>
      </c>
      <c r="AC68" s="12">
        <v>74851</v>
      </c>
      <c r="AD68" s="42">
        <f t="shared" si="1"/>
        <v>1037767</v>
      </c>
      <c r="AG68" s="1">
        <v>45537</v>
      </c>
      <c r="AH68" t="s">
        <v>23</v>
      </c>
      <c r="AI68" s="2">
        <v>7.1599999999999997E-2</v>
      </c>
      <c r="AJ68">
        <f>YEAR([1]!Engagement_Summary[[#This Row],[Week_Start_Date]])</f>
        <v>2024</v>
      </c>
      <c r="AK68" s="3">
        <v>37829</v>
      </c>
      <c r="AR68" s="12" t="s">
        <v>23</v>
      </c>
      <c r="AS68" s="12">
        <v>139</v>
      </c>
      <c r="AT68" s="12">
        <f>YEAR([1]!Engagement_Summary[[#This Row],[Week_Start_Date]])</f>
        <v>2024</v>
      </c>
    </row>
    <row r="69" spans="10:46" x14ac:dyDescent="0.25">
      <c r="J69" s="1">
        <v>45544</v>
      </c>
      <c r="K69" t="s">
        <v>23</v>
      </c>
      <c r="L69">
        <v>1592</v>
      </c>
      <c r="M69">
        <v>20</v>
      </c>
      <c r="N69">
        <v>378054</v>
      </c>
      <c r="O69" s="2">
        <v>9.0899999999999995E-2</v>
      </c>
      <c r="P69" s="3">
        <v>26663</v>
      </c>
      <c r="Q69">
        <f>YEAR([1]!Engagement_Summary[[#This Row],[Week_Start_Date]])</f>
        <v>2024</v>
      </c>
      <c r="R69">
        <f>MONTH([1]!Engagement_Summary[[#This Row],[Week_Start_Date]])</f>
        <v>9</v>
      </c>
      <c r="S69">
        <f t="shared" ref="S69:S132" si="2" xml:space="preserve"> INT((DAY(J69)-1)/7)+1</f>
        <v>2</v>
      </c>
      <c r="T69">
        <f>[1]!Engagement_Summary[[#This Row],[New_Followers]]-[1]!Engagement_Summary[[#This Row],[Unfollows]]</f>
        <v>1025</v>
      </c>
      <c r="AG69" s="1">
        <v>45544</v>
      </c>
      <c r="AH69" t="s">
        <v>23</v>
      </c>
      <c r="AI69" s="2">
        <v>9.0899999999999995E-2</v>
      </c>
      <c r="AJ69">
        <f>YEAR([1]!Engagement_Summary[[#This Row],[Week_Start_Date]])</f>
        <v>2024</v>
      </c>
      <c r="AK69" s="3">
        <v>26663</v>
      </c>
      <c r="AR69" s="12" t="s">
        <v>23</v>
      </c>
      <c r="AS69" s="12">
        <v>76</v>
      </c>
      <c r="AT69" s="12">
        <f>YEAR([1]!Engagement_Summary[[#This Row],[Week_Start_Date]])</f>
        <v>2024</v>
      </c>
    </row>
    <row r="70" spans="10:46" x14ac:dyDescent="0.25">
      <c r="J70" s="1">
        <v>45551</v>
      </c>
      <c r="K70" t="s">
        <v>23</v>
      </c>
      <c r="L70">
        <v>778</v>
      </c>
      <c r="M70">
        <v>401</v>
      </c>
      <c r="N70">
        <v>50793</v>
      </c>
      <c r="O70" s="2">
        <v>3.4000000000000002E-2</v>
      </c>
      <c r="P70" s="3">
        <v>21939</v>
      </c>
      <c r="Q70">
        <f>YEAR([1]!Engagement_Summary[[#This Row],[Week_Start_Date]])</f>
        <v>2024</v>
      </c>
      <c r="R70">
        <f>MONTH([1]!Engagement_Summary[[#This Row],[Week_Start_Date]])</f>
        <v>10</v>
      </c>
      <c r="S70">
        <f t="shared" si="2"/>
        <v>3</v>
      </c>
      <c r="T70">
        <f>[1]!Engagement_Summary[[#This Row],[New_Followers]]-[1]!Engagement_Summary[[#This Row],[Unfollows]]</f>
        <v>1872</v>
      </c>
      <c r="AG70" s="1">
        <v>45551</v>
      </c>
      <c r="AH70" t="s">
        <v>23</v>
      </c>
      <c r="AI70" s="2">
        <v>3.4000000000000002E-2</v>
      </c>
      <c r="AJ70">
        <f>YEAR([1]!Engagement_Summary[[#This Row],[Week_Start_Date]])</f>
        <v>2024</v>
      </c>
      <c r="AK70" s="3">
        <v>21939</v>
      </c>
      <c r="AR70" s="12" t="s">
        <v>23</v>
      </c>
      <c r="AS70" s="12">
        <v>182</v>
      </c>
      <c r="AT70" s="12">
        <f>YEAR([1]!Engagement_Summary[[#This Row],[Week_Start_Date]])</f>
        <v>2024</v>
      </c>
    </row>
    <row r="71" spans="10:46" x14ac:dyDescent="0.25">
      <c r="J71" s="1">
        <v>45558</v>
      </c>
      <c r="K71" t="s">
        <v>23</v>
      </c>
      <c r="L71">
        <v>817</v>
      </c>
      <c r="M71">
        <v>151</v>
      </c>
      <c r="N71">
        <v>422625</v>
      </c>
      <c r="O71" s="2">
        <v>2.3599999999999999E-2</v>
      </c>
      <c r="P71" s="3">
        <v>1083</v>
      </c>
      <c r="Q71">
        <f>YEAR([1]!Engagement_Summary[[#This Row],[Week_Start_Date]])</f>
        <v>2024</v>
      </c>
      <c r="R71">
        <f>MONTH([1]!Engagement_Summary[[#This Row],[Week_Start_Date]])</f>
        <v>10</v>
      </c>
      <c r="S71">
        <f t="shared" si="2"/>
        <v>4</v>
      </c>
      <c r="T71">
        <f>[1]!Engagement_Summary[[#This Row],[New_Followers]]-[1]!Engagement_Summary[[#This Row],[Unfollows]]</f>
        <v>1224</v>
      </c>
      <c r="AG71" s="1">
        <v>45558</v>
      </c>
      <c r="AH71" t="s">
        <v>23</v>
      </c>
      <c r="AI71" s="2">
        <v>2.3599999999999999E-2</v>
      </c>
      <c r="AJ71">
        <f>YEAR([1]!Engagement_Summary[[#This Row],[Week_Start_Date]])</f>
        <v>2024</v>
      </c>
      <c r="AK71" s="3">
        <v>1083</v>
      </c>
      <c r="AR71" s="12" t="s">
        <v>23</v>
      </c>
      <c r="AS71" s="12">
        <v>20</v>
      </c>
      <c r="AT71" s="12">
        <f>YEAR([1]!Engagement_Summary[[#This Row],[Week_Start_Date]])</f>
        <v>2024</v>
      </c>
    </row>
    <row r="72" spans="10:46" x14ac:dyDescent="0.25">
      <c r="J72" s="1">
        <v>45565</v>
      </c>
      <c r="K72" t="s">
        <v>23</v>
      </c>
      <c r="L72">
        <v>1433</v>
      </c>
      <c r="M72">
        <v>408</v>
      </c>
      <c r="N72">
        <v>370269</v>
      </c>
      <c r="O72" s="2">
        <v>3.3000000000000002E-2</v>
      </c>
      <c r="P72" s="3">
        <v>30575</v>
      </c>
      <c r="Q72">
        <f>YEAR([1]!Engagement_Summary[[#This Row],[Week_Start_Date]])</f>
        <v>2024</v>
      </c>
      <c r="R72">
        <f>MONTH([1]!Engagement_Summary[[#This Row],[Week_Start_Date]])</f>
        <v>10</v>
      </c>
      <c r="S72">
        <f t="shared" si="2"/>
        <v>5</v>
      </c>
      <c r="T72">
        <f>[1]!Engagement_Summary[[#This Row],[New_Followers]]-[1]!Engagement_Summary[[#This Row],[Unfollows]]</f>
        <v>262</v>
      </c>
      <c r="AG72" s="1">
        <v>45565</v>
      </c>
      <c r="AH72" t="s">
        <v>23</v>
      </c>
      <c r="AI72" s="2">
        <v>3.3000000000000002E-2</v>
      </c>
      <c r="AJ72">
        <f>YEAR([1]!Engagement_Summary[[#This Row],[Week_Start_Date]])</f>
        <v>2024</v>
      </c>
      <c r="AK72" s="3">
        <v>30575</v>
      </c>
      <c r="AR72" s="12" t="s">
        <v>23</v>
      </c>
      <c r="AS72" s="12">
        <v>401</v>
      </c>
      <c r="AT72" s="12">
        <f>YEAR([1]!Engagement_Summary[[#This Row],[Week_Start_Date]])</f>
        <v>2024</v>
      </c>
    </row>
    <row r="73" spans="10:46" x14ac:dyDescent="0.25">
      <c r="J73" s="1">
        <v>45572</v>
      </c>
      <c r="K73" t="s">
        <v>23</v>
      </c>
      <c r="L73">
        <v>1939</v>
      </c>
      <c r="M73">
        <v>67</v>
      </c>
      <c r="N73">
        <v>187183</v>
      </c>
      <c r="O73" s="2">
        <v>6.25E-2</v>
      </c>
      <c r="P73" s="3">
        <v>41215</v>
      </c>
      <c r="Q73">
        <f>YEAR([1]!Engagement_Summary[[#This Row],[Week_Start_Date]])</f>
        <v>2024</v>
      </c>
      <c r="R73">
        <f>MONTH([1]!Engagement_Summary[[#This Row],[Week_Start_Date]])</f>
        <v>10</v>
      </c>
      <c r="S73">
        <f t="shared" si="2"/>
        <v>1</v>
      </c>
      <c r="T73">
        <f>[1]!Engagement_Summary[[#This Row],[New_Followers]]-[1]!Engagement_Summary[[#This Row],[Unfollows]]</f>
        <v>576</v>
      </c>
      <c r="AG73" s="1">
        <v>45572</v>
      </c>
      <c r="AH73" t="s">
        <v>23</v>
      </c>
      <c r="AI73" s="2">
        <v>6.25E-2</v>
      </c>
      <c r="AJ73">
        <f>YEAR([1]!Engagement_Summary[[#This Row],[Week_Start_Date]])</f>
        <v>2024</v>
      </c>
      <c r="AK73" s="3">
        <v>41215</v>
      </c>
      <c r="AR73" s="12" t="s">
        <v>23</v>
      </c>
      <c r="AS73" s="12">
        <v>151</v>
      </c>
      <c r="AT73" s="12">
        <f>YEAR([1]!Engagement_Summary[[#This Row],[Week_Start_Date]])</f>
        <v>2024</v>
      </c>
    </row>
    <row r="74" spans="10:46" x14ac:dyDescent="0.25">
      <c r="J74" s="1">
        <v>45579</v>
      </c>
      <c r="K74" t="s">
        <v>23</v>
      </c>
      <c r="L74">
        <v>1527</v>
      </c>
      <c r="M74">
        <v>303</v>
      </c>
      <c r="N74">
        <v>388555</v>
      </c>
      <c r="O74" s="2">
        <v>8.900000000000001E-2</v>
      </c>
      <c r="P74" s="3">
        <v>36397</v>
      </c>
      <c r="Q74">
        <f>YEAR([1]!Engagement_Summary[[#This Row],[Week_Start_Date]])</f>
        <v>2024</v>
      </c>
      <c r="R74">
        <f>MONTH([1]!Engagement_Summary[[#This Row],[Week_Start_Date]])</f>
        <v>11</v>
      </c>
      <c r="S74">
        <f t="shared" si="2"/>
        <v>2</v>
      </c>
      <c r="T74">
        <f>[1]!Engagement_Summary[[#This Row],[New_Followers]]-[1]!Engagement_Summary[[#This Row],[Unfollows]]</f>
        <v>1397</v>
      </c>
      <c r="AG74" s="1">
        <v>45579</v>
      </c>
      <c r="AH74" t="s">
        <v>23</v>
      </c>
      <c r="AI74" s="2">
        <v>8.900000000000001E-2</v>
      </c>
      <c r="AJ74">
        <f>YEAR([1]!Engagement_Summary[[#This Row],[Week_Start_Date]])</f>
        <v>2024</v>
      </c>
      <c r="AK74" s="3">
        <v>36397</v>
      </c>
      <c r="AR74" s="12" t="s">
        <v>23</v>
      </c>
      <c r="AS74" s="12">
        <v>408</v>
      </c>
      <c r="AT74" s="12">
        <f>YEAR([1]!Engagement_Summary[[#This Row],[Week_Start_Date]])</f>
        <v>2024</v>
      </c>
    </row>
    <row r="75" spans="10:46" x14ac:dyDescent="0.25">
      <c r="J75" s="1">
        <v>45586</v>
      </c>
      <c r="K75" t="s">
        <v>23</v>
      </c>
      <c r="L75">
        <v>703</v>
      </c>
      <c r="M75">
        <v>441</v>
      </c>
      <c r="N75">
        <v>357089</v>
      </c>
      <c r="O75" s="2">
        <v>6.5000000000000002E-2</v>
      </c>
      <c r="P75" s="3">
        <v>32478</v>
      </c>
      <c r="Q75">
        <f>YEAR([1]!Engagement_Summary[[#This Row],[Week_Start_Date]])</f>
        <v>2024</v>
      </c>
      <c r="R75">
        <f>MONTH([1]!Engagement_Summary[[#This Row],[Week_Start_Date]])</f>
        <v>11</v>
      </c>
      <c r="S75">
        <f t="shared" si="2"/>
        <v>3</v>
      </c>
      <c r="T75">
        <f>[1]!Engagement_Summary[[#This Row],[New_Followers]]-[1]!Engagement_Summary[[#This Row],[Unfollows]]</f>
        <v>902</v>
      </c>
      <c r="AG75" s="1">
        <v>45586</v>
      </c>
      <c r="AH75" t="s">
        <v>23</v>
      </c>
      <c r="AI75" s="2">
        <v>6.5000000000000002E-2</v>
      </c>
      <c r="AJ75">
        <f>YEAR([1]!Engagement_Summary[[#This Row],[Week_Start_Date]])</f>
        <v>2024</v>
      </c>
      <c r="AK75" s="3">
        <v>32478</v>
      </c>
      <c r="AR75" s="12" t="s">
        <v>23</v>
      </c>
      <c r="AS75" s="12">
        <v>67</v>
      </c>
      <c r="AT75" s="12">
        <f>YEAR([1]!Engagement_Summary[[#This Row],[Week_Start_Date]])</f>
        <v>2024</v>
      </c>
    </row>
    <row r="76" spans="10:46" x14ac:dyDescent="0.25">
      <c r="J76" s="1">
        <v>45593</v>
      </c>
      <c r="K76" t="s">
        <v>23</v>
      </c>
      <c r="L76">
        <v>642</v>
      </c>
      <c r="M76">
        <v>66</v>
      </c>
      <c r="N76">
        <v>346522</v>
      </c>
      <c r="O76" s="2">
        <v>5.8499999999999996E-2</v>
      </c>
      <c r="P76" s="3">
        <v>13116</v>
      </c>
      <c r="Q76">
        <f>YEAR([1]!Engagement_Summary[[#This Row],[Week_Start_Date]])</f>
        <v>2024</v>
      </c>
      <c r="R76">
        <f>MONTH([1]!Engagement_Summary[[#This Row],[Week_Start_Date]])</f>
        <v>11</v>
      </c>
      <c r="S76">
        <f t="shared" si="2"/>
        <v>4</v>
      </c>
      <c r="T76">
        <f>[1]!Engagement_Summary[[#This Row],[New_Followers]]-[1]!Engagement_Summary[[#This Row],[Unfollows]]</f>
        <v>-49</v>
      </c>
      <c r="AG76" s="1">
        <v>45593</v>
      </c>
      <c r="AH76" t="s">
        <v>23</v>
      </c>
      <c r="AI76" s="2">
        <v>5.8499999999999996E-2</v>
      </c>
      <c r="AJ76">
        <f>YEAR([1]!Engagement_Summary[[#This Row],[Week_Start_Date]])</f>
        <v>2024</v>
      </c>
      <c r="AK76" s="3">
        <v>13116</v>
      </c>
      <c r="AR76" s="12" t="s">
        <v>23</v>
      </c>
      <c r="AS76" s="12">
        <v>303</v>
      </c>
      <c r="AT76" s="12">
        <f>YEAR([1]!Engagement_Summary[[#This Row],[Week_Start_Date]])</f>
        <v>2024</v>
      </c>
    </row>
    <row r="77" spans="10:46" x14ac:dyDescent="0.25">
      <c r="J77" s="1">
        <v>45600</v>
      </c>
      <c r="K77" t="s">
        <v>23</v>
      </c>
      <c r="L77">
        <v>1466</v>
      </c>
      <c r="M77">
        <v>69</v>
      </c>
      <c r="N77">
        <v>54935</v>
      </c>
      <c r="O77" s="2">
        <v>6.8499999999999991E-2</v>
      </c>
      <c r="P77" s="3">
        <v>36484</v>
      </c>
      <c r="Q77">
        <f>YEAR([1]!Engagement_Summary[[#This Row],[Week_Start_Date]])</f>
        <v>2024</v>
      </c>
      <c r="R77">
        <f>MONTH([1]!Engagement_Summary[[#This Row],[Week_Start_Date]])</f>
        <v>11</v>
      </c>
      <c r="S77">
        <f t="shared" si="2"/>
        <v>1</v>
      </c>
      <c r="T77">
        <f>[1]!Engagement_Summary[[#This Row],[New_Followers]]-[1]!Engagement_Summary[[#This Row],[Unfollows]]</f>
        <v>1693</v>
      </c>
      <c r="AG77" s="1">
        <v>45600</v>
      </c>
      <c r="AH77" t="s">
        <v>23</v>
      </c>
      <c r="AI77" s="2">
        <v>6.8499999999999991E-2</v>
      </c>
      <c r="AJ77">
        <f>YEAR([1]!Engagement_Summary[[#This Row],[Week_Start_Date]])</f>
        <v>2024</v>
      </c>
      <c r="AK77" s="3">
        <v>36484</v>
      </c>
      <c r="AR77" s="12" t="s">
        <v>23</v>
      </c>
      <c r="AS77" s="12">
        <v>441</v>
      </c>
      <c r="AT77" s="12">
        <f>YEAR([1]!Engagement_Summary[[#This Row],[Week_Start_Date]])</f>
        <v>2024</v>
      </c>
    </row>
    <row r="78" spans="10:46" x14ac:dyDescent="0.25">
      <c r="J78" s="1">
        <v>45607</v>
      </c>
      <c r="K78" t="s">
        <v>23</v>
      </c>
      <c r="L78">
        <v>1075</v>
      </c>
      <c r="M78">
        <v>173</v>
      </c>
      <c r="N78">
        <v>51395</v>
      </c>
      <c r="O78" s="2">
        <v>4.6600000000000003E-2</v>
      </c>
      <c r="P78" s="3">
        <v>47812</v>
      </c>
      <c r="Q78">
        <f>YEAR([1]!Engagement_Summary[[#This Row],[Week_Start_Date]])</f>
        <v>2024</v>
      </c>
      <c r="R78">
        <f>MONTH([1]!Engagement_Summary[[#This Row],[Week_Start_Date]])</f>
        <v>12</v>
      </c>
      <c r="S78">
        <f t="shared" si="2"/>
        <v>2</v>
      </c>
      <c r="T78">
        <f>[1]!Engagement_Summary[[#This Row],[New_Followers]]-[1]!Engagement_Summary[[#This Row],[Unfollows]]</f>
        <v>1625</v>
      </c>
      <c r="AG78" s="1">
        <v>45607</v>
      </c>
      <c r="AH78" t="s">
        <v>23</v>
      </c>
      <c r="AI78" s="2">
        <v>4.6600000000000003E-2</v>
      </c>
      <c r="AJ78">
        <f>YEAR([1]!Engagement_Summary[[#This Row],[Week_Start_Date]])</f>
        <v>2024</v>
      </c>
      <c r="AK78" s="3">
        <v>47812</v>
      </c>
      <c r="AR78" s="12" t="s">
        <v>23</v>
      </c>
      <c r="AS78" s="12">
        <v>66</v>
      </c>
      <c r="AT78" s="12">
        <f>YEAR([1]!Engagement_Summary[[#This Row],[Week_Start_Date]])</f>
        <v>2024</v>
      </c>
    </row>
    <row r="79" spans="10:46" x14ac:dyDescent="0.25">
      <c r="J79" s="1">
        <v>45614</v>
      </c>
      <c r="K79" t="s">
        <v>23</v>
      </c>
      <c r="L79">
        <v>187</v>
      </c>
      <c r="M79">
        <v>236</v>
      </c>
      <c r="N79">
        <v>51087</v>
      </c>
      <c r="O79" s="2">
        <v>9.4100000000000003E-2</v>
      </c>
      <c r="P79" s="3">
        <v>29533</v>
      </c>
      <c r="Q79">
        <f>YEAR([1]!Engagement_Summary[[#This Row],[Week_Start_Date]])</f>
        <v>2024</v>
      </c>
      <c r="R79">
        <f>MONTH([1]!Engagement_Summary[[#This Row],[Week_Start_Date]])</f>
        <v>12</v>
      </c>
      <c r="S79">
        <f t="shared" si="2"/>
        <v>3</v>
      </c>
      <c r="T79">
        <f>[1]!Engagement_Summary[[#This Row],[New_Followers]]-[1]!Engagement_Summary[[#This Row],[Unfollows]]</f>
        <v>1119</v>
      </c>
      <c r="AG79" s="1">
        <v>45614</v>
      </c>
      <c r="AH79" t="s">
        <v>23</v>
      </c>
      <c r="AI79" s="2">
        <v>9.4100000000000003E-2</v>
      </c>
      <c r="AJ79">
        <f>YEAR([1]!Engagement_Summary[[#This Row],[Week_Start_Date]])</f>
        <v>2024</v>
      </c>
      <c r="AK79" s="3">
        <v>29533</v>
      </c>
      <c r="AR79" s="12" t="s">
        <v>23</v>
      </c>
      <c r="AS79" s="12">
        <v>69</v>
      </c>
      <c r="AT79" s="12">
        <f>YEAR([1]!Engagement_Summary[[#This Row],[Week_Start_Date]])</f>
        <v>2024</v>
      </c>
    </row>
    <row r="80" spans="10:46" x14ac:dyDescent="0.25">
      <c r="J80" s="1">
        <v>45621</v>
      </c>
      <c r="K80" t="s">
        <v>23</v>
      </c>
      <c r="L80">
        <v>1854</v>
      </c>
      <c r="M80">
        <v>161</v>
      </c>
      <c r="N80">
        <v>282466</v>
      </c>
      <c r="O80" s="2">
        <v>5.1699999999999996E-2</v>
      </c>
      <c r="P80" s="3">
        <v>1810</v>
      </c>
      <c r="Q80">
        <f>YEAR([1]!Engagement_Summary[[#This Row],[Week_Start_Date]])</f>
        <v>2024</v>
      </c>
      <c r="R80">
        <f>MONTH([1]!Engagement_Summary[[#This Row],[Week_Start_Date]])</f>
        <v>12</v>
      </c>
      <c r="S80">
        <f t="shared" si="2"/>
        <v>4</v>
      </c>
      <c r="T80">
        <f>[1]!Engagement_Summary[[#This Row],[New_Followers]]-[1]!Engagement_Summary[[#This Row],[Unfollows]]</f>
        <v>1432</v>
      </c>
      <c r="AG80" s="1">
        <v>45621</v>
      </c>
      <c r="AH80" t="s">
        <v>23</v>
      </c>
      <c r="AI80" s="2">
        <v>5.1699999999999996E-2</v>
      </c>
      <c r="AJ80">
        <f>YEAR([1]!Engagement_Summary[[#This Row],[Week_Start_Date]])</f>
        <v>2024</v>
      </c>
      <c r="AK80" s="3">
        <v>1810</v>
      </c>
      <c r="AR80" s="12" t="s">
        <v>23</v>
      </c>
      <c r="AS80" s="12">
        <v>173</v>
      </c>
      <c r="AT80" s="12">
        <f>YEAR([1]!Engagement_Summary[[#This Row],[Week_Start_Date]])</f>
        <v>2024</v>
      </c>
    </row>
    <row r="81" spans="10:46" x14ac:dyDescent="0.25">
      <c r="J81" s="1">
        <v>45628</v>
      </c>
      <c r="K81" t="s">
        <v>23</v>
      </c>
      <c r="L81">
        <v>1696</v>
      </c>
      <c r="M81">
        <v>71</v>
      </c>
      <c r="N81">
        <v>421957</v>
      </c>
      <c r="O81" s="2">
        <v>3.7900000000000003E-2</v>
      </c>
      <c r="P81" s="3">
        <v>36103</v>
      </c>
      <c r="Q81">
        <f>YEAR([1]!Engagement_Summary[[#This Row],[Week_Start_Date]])</f>
        <v>2024</v>
      </c>
      <c r="R81">
        <f>MONTH([1]!Engagement_Summary[[#This Row],[Week_Start_Date]])</f>
        <v>12</v>
      </c>
      <c r="S81">
        <f t="shared" si="2"/>
        <v>1</v>
      </c>
      <c r="T81">
        <f>[1]!Engagement_Summary[[#This Row],[New_Followers]]-[1]!Engagement_Summary[[#This Row],[Unfollows]]</f>
        <v>684</v>
      </c>
      <c r="AG81" s="1">
        <v>45628</v>
      </c>
      <c r="AH81" t="s">
        <v>23</v>
      </c>
      <c r="AI81" s="2">
        <v>3.7900000000000003E-2</v>
      </c>
      <c r="AJ81">
        <f>YEAR([1]!Engagement_Summary[[#This Row],[Week_Start_Date]])</f>
        <v>2024</v>
      </c>
      <c r="AK81" s="3">
        <v>36103</v>
      </c>
      <c r="AR81" s="12" t="s">
        <v>23</v>
      </c>
      <c r="AS81" s="12">
        <v>236</v>
      </c>
      <c r="AT81" s="12">
        <f>YEAR([1]!Engagement_Summary[[#This Row],[Week_Start_Date]])</f>
        <v>2024</v>
      </c>
    </row>
    <row r="82" spans="10:46" x14ac:dyDescent="0.25">
      <c r="J82" s="1">
        <v>45635</v>
      </c>
      <c r="K82" t="s">
        <v>23</v>
      </c>
      <c r="L82">
        <v>1494</v>
      </c>
      <c r="M82">
        <v>375</v>
      </c>
      <c r="N82">
        <v>220616</v>
      </c>
      <c r="O82" s="2">
        <v>1.8100000000000002E-2</v>
      </c>
      <c r="P82" s="3">
        <v>22724</v>
      </c>
      <c r="Q82">
        <f>YEAR([1]!Engagement_Summary[[#This Row],[Week_Start_Date]])</f>
        <v>2024</v>
      </c>
      <c r="R82">
        <f>MONTH([1]!Engagement_Summary[[#This Row],[Week_Start_Date]])</f>
        <v>12</v>
      </c>
      <c r="S82">
        <f t="shared" si="2"/>
        <v>2</v>
      </c>
      <c r="T82">
        <f>[1]!Engagement_Summary[[#This Row],[New_Followers]]-[1]!Engagement_Summary[[#This Row],[Unfollows]]</f>
        <v>1765</v>
      </c>
      <c r="AG82" s="1">
        <v>45635</v>
      </c>
      <c r="AH82" t="s">
        <v>23</v>
      </c>
      <c r="AI82" s="2">
        <v>1.8100000000000002E-2</v>
      </c>
      <c r="AJ82">
        <f>YEAR([1]!Engagement_Summary[[#This Row],[Week_Start_Date]])</f>
        <v>2024</v>
      </c>
      <c r="AK82" s="3">
        <v>22724</v>
      </c>
      <c r="AR82" s="12" t="s">
        <v>23</v>
      </c>
      <c r="AS82" s="12">
        <v>161</v>
      </c>
      <c r="AT82" s="12">
        <f>YEAR([1]!Engagement_Summary[[#This Row],[Week_Start_Date]])</f>
        <v>2024</v>
      </c>
    </row>
    <row r="83" spans="10:46" x14ac:dyDescent="0.25">
      <c r="J83" s="1">
        <v>45642</v>
      </c>
      <c r="K83" t="s">
        <v>23</v>
      </c>
      <c r="L83">
        <v>1502</v>
      </c>
      <c r="M83">
        <v>70</v>
      </c>
      <c r="N83">
        <v>465553</v>
      </c>
      <c r="O83" s="2">
        <v>3.32E-2</v>
      </c>
      <c r="P83" s="3">
        <v>20692</v>
      </c>
      <c r="Q83">
        <f>YEAR([1]!Engagement_Summary[[#This Row],[Week_Start_Date]])</f>
        <v>2025</v>
      </c>
      <c r="R83">
        <f>MONTH([1]!Engagement_Summary[[#This Row],[Week_Start_Date]])</f>
        <v>1</v>
      </c>
      <c r="S83">
        <f t="shared" si="2"/>
        <v>3</v>
      </c>
      <c r="T83">
        <f>[1]!Engagement_Summary[[#This Row],[New_Followers]]-[1]!Engagement_Summary[[#This Row],[Unfollows]]</f>
        <v>903</v>
      </c>
      <c r="AG83" s="1">
        <v>45642</v>
      </c>
      <c r="AH83" t="s">
        <v>23</v>
      </c>
      <c r="AI83" s="2">
        <v>3.32E-2</v>
      </c>
      <c r="AJ83">
        <f>YEAR([1]!Engagement_Summary[[#This Row],[Week_Start_Date]])</f>
        <v>2025</v>
      </c>
      <c r="AK83" s="3">
        <v>20692</v>
      </c>
      <c r="AR83" s="12" t="s">
        <v>23</v>
      </c>
      <c r="AS83" s="12">
        <v>71</v>
      </c>
      <c r="AT83" s="12">
        <f>YEAR([1]!Engagement_Summary[[#This Row],[Week_Start_Date]])</f>
        <v>2025</v>
      </c>
    </row>
    <row r="84" spans="10:46" x14ac:dyDescent="0.25">
      <c r="J84" s="1">
        <v>45649</v>
      </c>
      <c r="K84" t="s">
        <v>23</v>
      </c>
      <c r="L84">
        <v>1092</v>
      </c>
      <c r="M84">
        <v>408</v>
      </c>
      <c r="N84">
        <v>280795</v>
      </c>
      <c r="O84" s="2">
        <v>8.4399999999999989E-2</v>
      </c>
      <c r="P84" s="3">
        <v>4683</v>
      </c>
      <c r="Q84">
        <f>YEAR([1]!Engagement_Summary[[#This Row],[Week_Start_Date]])</f>
        <v>2025</v>
      </c>
      <c r="R84">
        <f>MONTH([1]!Engagement_Summary[[#This Row],[Week_Start_Date]])</f>
        <v>1</v>
      </c>
      <c r="S84">
        <f t="shared" si="2"/>
        <v>4</v>
      </c>
      <c r="T84">
        <f>[1]!Engagement_Summary[[#This Row],[New_Followers]]-[1]!Engagement_Summary[[#This Row],[Unfollows]]</f>
        <v>1722</v>
      </c>
      <c r="AG84" s="1">
        <v>45649</v>
      </c>
      <c r="AH84" t="s">
        <v>23</v>
      </c>
      <c r="AI84" s="2">
        <v>8.4399999999999989E-2</v>
      </c>
      <c r="AJ84">
        <f>YEAR([1]!Engagement_Summary[[#This Row],[Week_Start_Date]])</f>
        <v>2025</v>
      </c>
      <c r="AK84" s="3">
        <v>4683</v>
      </c>
      <c r="AR84" s="12" t="s">
        <v>23</v>
      </c>
      <c r="AS84" s="12">
        <v>375</v>
      </c>
      <c r="AT84" s="12">
        <f>YEAR([1]!Engagement_Summary[[#This Row],[Week_Start_Date]])</f>
        <v>2025</v>
      </c>
    </row>
    <row r="85" spans="10:46" x14ac:dyDescent="0.25">
      <c r="J85" s="1">
        <v>45656</v>
      </c>
      <c r="K85" t="s">
        <v>23</v>
      </c>
      <c r="L85">
        <v>1814</v>
      </c>
      <c r="M85">
        <v>49</v>
      </c>
      <c r="N85">
        <v>140804</v>
      </c>
      <c r="O85" s="2">
        <v>1.7600000000000001E-2</v>
      </c>
      <c r="P85" s="3">
        <v>4313</v>
      </c>
      <c r="Q85">
        <f>YEAR([1]!Engagement_Summary[[#This Row],[Week_Start_Date]])</f>
        <v>2025</v>
      </c>
      <c r="R85">
        <f>MONTH([1]!Engagement_Summary[[#This Row],[Week_Start_Date]])</f>
        <v>1</v>
      </c>
      <c r="S85">
        <f t="shared" si="2"/>
        <v>5</v>
      </c>
      <c r="T85">
        <f>[1]!Engagement_Summary[[#This Row],[New_Followers]]-[1]!Engagement_Summary[[#This Row],[Unfollows]]</f>
        <v>1572</v>
      </c>
      <c r="AG85" s="1">
        <v>45656</v>
      </c>
      <c r="AH85" t="s">
        <v>23</v>
      </c>
      <c r="AI85" s="2">
        <v>1.7600000000000001E-2</v>
      </c>
      <c r="AJ85">
        <f>YEAR([1]!Engagement_Summary[[#This Row],[Week_Start_Date]])</f>
        <v>2025</v>
      </c>
      <c r="AK85" s="3">
        <v>4313</v>
      </c>
      <c r="AR85" s="12" t="s">
        <v>23</v>
      </c>
      <c r="AS85" s="12">
        <v>70</v>
      </c>
      <c r="AT85" s="12">
        <f>YEAR([1]!Engagement_Summary[[#This Row],[Week_Start_Date]])</f>
        <v>2025</v>
      </c>
    </row>
    <row r="86" spans="10:46" x14ac:dyDescent="0.25">
      <c r="J86" s="1">
        <v>45663</v>
      </c>
      <c r="K86" t="s">
        <v>23</v>
      </c>
      <c r="L86">
        <v>1013</v>
      </c>
      <c r="M86">
        <v>110</v>
      </c>
      <c r="N86">
        <v>466382</v>
      </c>
      <c r="O86" s="2">
        <v>5.2999999999999999E-2</v>
      </c>
      <c r="P86" s="3">
        <v>37132</v>
      </c>
      <c r="Q86">
        <f>YEAR([1]!Engagement_Summary[[#This Row],[Week_Start_Date]])</f>
        <v>2025</v>
      </c>
      <c r="R86">
        <f>MONTH([1]!Engagement_Summary[[#This Row],[Week_Start_Date]])</f>
        <v>1</v>
      </c>
      <c r="S86">
        <f t="shared" si="2"/>
        <v>1</v>
      </c>
      <c r="T86">
        <f>[1]!Engagement_Summary[[#This Row],[New_Followers]]-[1]!Engagement_Summary[[#This Row],[Unfollows]]</f>
        <v>-166</v>
      </c>
      <c r="AG86" s="1">
        <v>45663</v>
      </c>
      <c r="AH86" t="s">
        <v>23</v>
      </c>
      <c r="AI86" s="2">
        <v>5.2999999999999999E-2</v>
      </c>
      <c r="AJ86">
        <f>YEAR([1]!Engagement_Summary[[#This Row],[Week_Start_Date]])</f>
        <v>2025</v>
      </c>
      <c r="AK86" s="3">
        <v>37132</v>
      </c>
      <c r="AR86" s="12" t="s">
        <v>23</v>
      </c>
      <c r="AS86" s="12">
        <v>408</v>
      </c>
      <c r="AT86" s="12">
        <f>YEAR([1]!Engagement_Summary[[#This Row],[Week_Start_Date]])</f>
        <v>2025</v>
      </c>
    </row>
    <row r="87" spans="10:46" x14ac:dyDescent="0.25">
      <c r="J87" s="1">
        <v>45670</v>
      </c>
      <c r="K87" t="s">
        <v>23</v>
      </c>
      <c r="L87">
        <v>1855</v>
      </c>
      <c r="M87">
        <v>133</v>
      </c>
      <c r="N87">
        <v>349413</v>
      </c>
      <c r="O87" s="2">
        <v>3.3000000000000002E-2</v>
      </c>
      <c r="P87" s="3">
        <v>14548</v>
      </c>
      <c r="Q87">
        <f>YEAR([1]!Engagement_Summary[[#This Row],[Week_Start_Date]])</f>
        <v>2025</v>
      </c>
      <c r="R87">
        <f>MONTH([1]!Engagement_Summary[[#This Row],[Week_Start_Date]])</f>
        <v>2</v>
      </c>
      <c r="S87">
        <f t="shared" si="2"/>
        <v>2</v>
      </c>
      <c r="T87">
        <f>[1]!Engagement_Summary[[#This Row],[New_Followers]]-[1]!Engagement_Summary[[#This Row],[Unfollows]]</f>
        <v>1080</v>
      </c>
      <c r="AG87" s="1">
        <v>45670</v>
      </c>
      <c r="AH87" t="s">
        <v>23</v>
      </c>
      <c r="AI87" s="2">
        <v>3.3000000000000002E-2</v>
      </c>
      <c r="AJ87">
        <f>YEAR([1]!Engagement_Summary[[#This Row],[Week_Start_Date]])</f>
        <v>2025</v>
      </c>
      <c r="AK87" s="3">
        <v>14548</v>
      </c>
      <c r="AR87" s="12" t="s">
        <v>23</v>
      </c>
      <c r="AS87" s="12">
        <v>49</v>
      </c>
      <c r="AT87" s="12">
        <f>YEAR([1]!Engagement_Summary[[#This Row],[Week_Start_Date]])</f>
        <v>2025</v>
      </c>
    </row>
    <row r="88" spans="10:46" x14ac:dyDescent="0.25">
      <c r="J88" s="1">
        <v>45677</v>
      </c>
      <c r="K88" t="s">
        <v>23</v>
      </c>
      <c r="L88">
        <v>1748</v>
      </c>
      <c r="M88">
        <v>176</v>
      </c>
      <c r="N88">
        <v>383681</v>
      </c>
      <c r="O88" s="2">
        <v>9.2399999999999996E-2</v>
      </c>
      <c r="P88" s="3">
        <v>43122</v>
      </c>
      <c r="Q88">
        <f>YEAR([1]!Engagement_Summary[[#This Row],[Week_Start_Date]])</f>
        <v>2025</v>
      </c>
      <c r="R88">
        <f>MONTH([1]!Engagement_Summary[[#This Row],[Week_Start_Date]])</f>
        <v>2</v>
      </c>
      <c r="S88">
        <f t="shared" si="2"/>
        <v>3</v>
      </c>
      <c r="T88">
        <f>[1]!Engagement_Summary[[#This Row],[New_Followers]]-[1]!Engagement_Summary[[#This Row],[Unfollows]]</f>
        <v>1723</v>
      </c>
      <c r="AG88" s="1">
        <v>45677</v>
      </c>
      <c r="AH88" t="s">
        <v>23</v>
      </c>
      <c r="AI88" s="2">
        <v>9.2399999999999996E-2</v>
      </c>
      <c r="AJ88">
        <f>YEAR([1]!Engagement_Summary[[#This Row],[Week_Start_Date]])</f>
        <v>2025</v>
      </c>
      <c r="AK88" s="3">
        <v>43122</v>
      </c>
      <c r="AR88" s="12" t="s">
        <v>23</v>
      </c>
      <c r="AS88" s="12">
        <v>110</v>
      </c>
      <c r="AT88" s="12">
        <f>YEAR([1]!Engagement_Summary[[#This Row],[Week_Start_Date]])</f>
        <v>2025</v>
      </c>
    </row>
    <row r="89" spans="10:46" x14ac:dyDescent="0.25">
      <c r="J89" s="1">
        <v>45684</v>
      </c>
      <c r="K89" t="s">
        <v>23</v>
      </c>
      <c r="L89">
        <v>115</v>
      </c>
      <c r="M89">
        <v>281</v>
      </c>
      <c r="N89">
        <v>357265</v>
      </c>
      <c r="O89" s="2">
        <v>9.2300000000000007E-2</v>
      </c>
      <c r="P89" s="3">
        <v>25525</v>
      </c>
      <c r="Q89">
        <f>YEAR([1]!Engagement_Summary[[#This Row],[Week_Start_Date]])</f>
        <v>2025</v>
      </c>
      <c r="R89">
        <f>MONTH([1]!Engagement_Summary[[#This Row],[Week_Start_Date]])</f>
        <v>2</v>
      </c>
      <c r="S89">
        <f t="shared" si="2"/>
        <v>4</v>
      </c>
      <c r="T89">
        <f>[1]!Engagement_Summary[[#This Row],[New_Followers]]-[1]!Engagement_Summary[[#This Row],[Unfollows]]</f>
        <v>965</v>
      </c>
      <c r="AG89" s="1">
        <v>45684</v>
      </c>
      <c r="AH89" t="s">
        <v>23</v>
      </c>
      <c r="AI89" s="2">
        <v>9.2300000000000007E-2</v>
      </c>
      <c r="AJ89">
        <f>YEAR([1]!Engagement_Summary[[#This Row],[Week_Start_Date]])</f>
        <v>2025</v>
      </c>
      <c r="AK89" s="3">
        <v>25525</v>
      </c>
      <c r="AR89" s="12" t="s">
        <v>23</v>
      </c>
      <c r="AS89" s="12">
        <v>133</v>
      </c>
      <c r="AT89" s="12">
        <f>YEAR([1]!Engagement_Summary[[#This Row],[Week_Start_Date]])</f>
        <v>2025</v>
      </c>
    </row>
    <row r="90" spans="10:46" x14ac:dyDescent="0.25">
      <c r="J90" s="1">
        <v>45691</v>
      </c>
      <c r="K90" t="s">
        <v>23</v>
      </c>
      <c r="L90">
        <v>1556</v>
      </c>
      <c r="M90">
        <v>476</v>
      </c>
      <c r="N90">
        <v>351556</v>
      </c>
      <c r="O90" s="2">
        <v>3.8900000000000004E-2</v>
      </c>
      <c r="P90" s="3">
        <v>10825</v>
      </c>
      <c r="Q90">
        <f>YEAR([1]!Engagement_Summary[[#This Row],[Week_Start_Date]])</f>
        <v>2025</v>
      </c>
      <c r="R90">
        <f>MONTH([1]!Engagement_Summary[[#This Row],[Week_Start_Date]])</f>
        <v>2</v>
      </c>
      <c r="S90">
        <f t="shared" si="2"/>
        <v>1</v>
      </c>
      <c r="T90">
        <f>[1]!Engagement_Summary[[#This Row],[New_Followers]]-[1]!Engagement_Summary[[#This Row],[Unfollows]]</f>
        <v>1375</v>
      </c>
      <c r="AG90" s="1">
        <v>45691</v>
      </c>
      <c r="AH90" t="s">
        <v>23</v>
      </c>
      <c r="AI90" s="2">
        <v>3.8900000000000004E-2</v>
      </c>
      <c r="AJ90">
        <f>YEAR([1]!Engagement_Summary[[#This Row],[Week_Start_Date]])</f>
        <v>2025</v>
      </c>
      <c r="AK90" s="3">
        <v>10825</v>
      </c>
      <c r="AR90" s="12" t="s">
        <v>23</v>
      </c>
      <c r="AS90" s="12">
        <v>176</v>
      </c>
      <c r="AT90" s="12">
        <f>YEAR([1]!Engagement_Summary[[#This Row],[Week_Start_Date]])</f>
        <v>2025</v>
      </c>
    </row>
    <row r="91" spans="10:46" x14ac:dyDescent="0.25">
      <c r="J91" s="1">
        <v>45698</v>
      </c>
      <c r="K91" t="s">
        <v>23</v>
      </c>
      <c r="L91">
        <v>1957</v>
      </c>
      <c r="M91">
        <v>234</v>
      </c>
      <c r="N91">
        <v>222126</v>
      </c>
      <c r="O91" s="2">
        <v>4.6100000000000002E-2</v>
      </c>
      <c r="P91" s="3">
        <v>3314</v>
      </c>
      <c r="Q91">
        <f>YEAR([1]!Engagement_Summary[[#This Row],[Week_Start_Date]])</f>
        <v>2025</v>
      </c>
      <c r="R91">
        <f>MONTH([1]!Engagement_Summary[[#This Row],[Week_Start_Date]])</f>
        <v>3</v>
      </c>
      <c r="S91">
        <f t="shared" si="2"/>
        <v>2</v>
      </c>
      <c r="T91">
        <f>[1]!Engagement_Summary[[#This Row],[New_Followers]]-[1]!Engagement_Summary[[#This Row],[Unfollows]]</f>
        <v>1315</v>
      </c>
      <c r="AG91" s="1">
        <v>45698</v>
      </c>
      <c r="AH91" t="s">
        <v>23</v>
      </c>
      <c r="AI91" s="2">
        <v>4.6100000000000002E-2</v>
      </c>
      <c r="AJ91">
        <f>YEAR([1]!Engagement_Summary[[#This Row],[Week_Start_Date]])</f>
        <v>2025</v>
      </c>
      <c r="AK91" s="3">
        <v>3314</v>
      </c>
      <c r="AR91" s="12" t="s">
        <v>23</v>
      </c>
      <c r="AS91" s="12">
        <v>281</v>
      </c>
      <c r="AT91" s="12">
        <f>YEAR([1]!Engagement_Summary[[#This Row],[Week_Start_Date]])</f>
        <v>2025</v>
      </c>
    </row>
    <row r="92" spans="10:46" x14ac:dyDescent="0.25">
      <c r="J92" s="1">
        <v>45705</v>
      </c>
      <c r="K92" t="s">
        <v>23</v>
      </c>
      <c r="L92">
        <v>1138</v>
      </c>
      <c r="M92">
        <v>173</v>
      </c>
      <c r="N92">
        <v>453243</v>
      </c>
      <c r="O92" s="2">
        <v>2.86E-2</v>
      </c>
      <c r="P92" s="3">
        <v>44097</v>
      </c>
      <c r="Q92">
        <f>YEAR([1]!Engagement_Summary[[#This Row],[Week_Start_Date]])</f>
        <v>2025</v>
      </c>
      <c r="R92">
        <f>MONTH([1]!Engagement_Summary[[#This Row],[Week_Start_Date]])</f>
        <v>3</v>
      </c>
      <c r="S92">
        <f t="shared" si="2"/>
        <v>3</v>
      </c>
      <c r="T92">
        <f>[1]!Engagement_Summary[[#This Row],[New_Followers]]-[1]!Engagement_Summary[[#This Row],[Unfollows]]</f>
        <v>212</v>
      </c>
      <c r="AG92" s="1">
        <v>45705</v>
      </c>
      <c r="AH92" t="s">
        <v>23</v>
      </c>
      <c r="AI92" s="2">
        <v>2.86E-2</v>
      </c>
      <c r="AJ92">
        <f>YEAR([1]!Engagement_Summary[[#This Row],[Week_Start_Date]])</f>
        <v>2025</v>
      </c>
      <c r="AK92" s="3">
        <v>44097</v>
      </c>
      <c r="AR92" s="12" t="s">
        <v>23</v>
      </c>
      <c r="AS92" s="12">
        <v>476</v>
      </c>
      <c r="AT92" s="12">
        <f>YEAR([1]!Engagement_Summary[[#This Row],[Week_Start_Date]])</f>
        <v>2025</v>
      </c>
    </row>
    <row r="93" spans="10:46" x14ac:dyDescent="0.25">
      <c r="J93" s="1">
        <v>45712</v>
      </c>
      <c r="K93" t="s">
        <v>23</v>
      </c>
      <c r="L93">
        <v>1440</v>
      </c>
      <c r="M93">
        <v>65</v>
      </c>
      <c r="N93">
        <v>126524</v>
      </c>
      <c r="O93" s="2">
        <v>4.3400000000000001E-2</v>
      </c>
      <c r="P93" s="3">
        <v>49772</v>
      </c>
      <c r="Q93">
        <f>YEAR([1]!Engagement_Summary[[#This Row],[Week_Start_Date]])</f>
        <v>2025</v>
      </c>
      <c r="R93">
        <f>MONTH([1]!Engagement_Summary[[#This Row],[Week_Start_Date]])</f>
        <v>3</v>
      </c>
      <c r="S93">
        <f t="shared" si="2"/>
        <v>4</v>
      </c>
      <c r="T93">
        <f>[1]!Engagement_Summary[[#This Row],[New_Followers]]-[1]!Engagement_Summary[[#This Row],[Unfollows]]</f>
        <v>680</v>
      </c>
      <c r="AG93" s="1">
        <v>45712</v>
      </c>
      <c r="AH93" t="s">
        <v>23</v>
      </c>
      <c r="AI93" s="2">
        <v>4.3400000000000001E-2</v>
      </c>
      <c r="AJ93">
        <f>YEAR([1]!Engagement_Summary[[#This Row],[Week_Start_Date]])</f>
        <v>2025</v>
      </c>
      <c r="AK93" s="3">
        <v>49772</v>
      </c>
      <c r="AR93" s="12" t="s">
        <v>23</v>
      </c>
      <c r="AS93" s="12">
        <v>234</v>
      </c>
      <c r="AT93" s="12">
        <f>YEAR([1]!Engagement_Summary[[#This Row],[Week_Start_Date]])</f>
        <v>2025</v>
      </c>
    </row>
    <row r="94" spans="10:46" x14ac:dyDescent="0.25">
      <c r="J94" s="1">
        <v>45719</v>
      </c>
      <c r="K94" t="s">
        <v>23</v>
      </c>
      <c r="L94">
        <v>1371</v>
      </c>
      <c r="M94">
        <v>56</v>
      </c>
      <c r="N94">
        <v>257579</v>
      </c>
      <c r="O94" s="2">
        <v>8.6199999999999999E-2</v>
      </c>
      <c r="P94" s="3">
        <v>33799</v>
      </c>
      <c r="Q94">
        <f>YEAR([1]!Engagement_Summary[[#This Row],[Week_Start_Date]])</f>
        <v>2025</v>
      </c>
      <c r="R94">
        <f>MONTH([1]!Engagement_Summary[[#This Row],[Week_Start_Date]])</f>
        <v>3</v>
      </c>
      <c r="S94">
        <f t="shared" si="2"/>
        <v>1</v>
      </c>
      <c r="T94">
        <f>[1]!Engagement_Summary[[#This Row],[New_Followers]]-[1]!Engagement_Summary[[#This Row],[Unfollows]]</f>
        <v>461</v>
      </c>
      <c r="AG94" s="1">
        <v>45719</v>
      </c>
      <c r="AH94" t="s">
        <v>23</v>
      </c>
      <c r="AI94" s="2">
        <v>8.6199999999999999E-2</v>
      </c>
      <c r="AJ94">
        <f>YEAR([1]!Engagement_Summary[[#This Row],[Week_Start_Date]])</f>
        <v>2025</v>
      </c>
      <c r="AK94" s="3">
        <v>33799</v>
      </c>
      <c r="AR94" s="12" t="s">
        <v>23</v>
      </c>
      <c r="AS94" s="12">
        <v>173</v>
      </c>
      <c r="AT94" s="12">
        <f>YEAR([1]!Engagement_Summary[[#This Row],[Week_Start_Date]])</f>
        <v>2025</v>
      </c>
    </row>
    <row r="95" spans="10:46" x14ac:dyDescent="0.25">
      <c r="J95" s="1">
        <v>45726</v>
      </c>
      <c r="K95" t="s">
        <v>23</v>
      </c>
      <c r="L95">
        <v>393</v>
      </c>
      <c r="M95">
        <v>181</v>
      </c>
      <c r="N95">
        <v>462142</v>
      </c>
      <c r="O95" s="2">
        <v>7.2300000000000003E-2</v>
      </c>
      <c r="P95" s="3">
        <v>6296</v>
      </c>
      <c r="Q95">
        <f>YEAR([1]!Engagement_Summary[[#This Row],[Week_Start_Date]])</f>
        <v>2025</v>
      </c>
      <c r="R95">
        <f>MONTH([1]!Engagement_Summary[[#This Row],[Week_Start_Date]])</f>
        <v>3</v>
      </c>
      <c r="S95">
        <f t="shared" si="2"/>
        <v>2</v>
      </c>
      <c r="T95">
        <f>[1]!Engagement_Summary[[#This Row],[New_Followers]]-[1]!Engagement_Summary[[#This Row],[Unfollows]]</f>
        <v>641</v>
      </c>
      <c r="AG95" s="1">
        <v>45726</v>
      </c>
      <c r="AH95" t="s">
        <v>23</v>
      </c>
      <c r="AI95" s="2">
        <v>7.2300000000000003E-2</v>
      </c>
      <c r="AJ95">
        <f>YEAR([1]!Engagement_Summary[[#This Row],[Week_Start_Date]])</f>
        <v>2025</v>
      </c>
      <c r="AK95" s="3">
        <v>6296</v>
      </c>
      <c r="AR95" s="12" t="s">
        <v>23</v>
      </c>
      <c r="AS95" s="12">
        <v>65</v>
      </c>
      <c r="AT95" s="12">
        <f>YEAR([1]!Engagement_Summary[[#This Row],[Week_Start_Date]])</f>
        <v>2025</v>
      </c>
    </row>
    <row r="96" spans="10:46" x14ac:dyDescent="0.25">
      <c r="J96" s="1">
        <v>45733</v>
      </c>
      <c r="K96" t="s">
        <v>23</v>
      </c>
      <c r="L96">
        <v>1102</v>
      </c>
      <c r="M96">
        <v>422</v>
      </c>
      <c r="N96">
        <v>410330</v>
      </c>
      <c r="O96" s="2">
        <v>7.7399999999999997E-2</v>
      </c>
      <c r="P96" s="3">
        <v>9480</v>
      </c>
      <c r="Q96">
        <f>YEAR([1]!Engagement_Summary[[#This Row],[Week_Start_Date]])</f>
        <v>2025</v>
      </c>
      <c r="R96">
        <f>MONTH([1]!Engagement_Summary[[#This Row],[Week_Start_Date]])</f>
        <v>4</v>
      </c>
      <c r="S96">
        <f t="shared" si="2"/>
        <v>3</v>
      </c>
      <c r="T96">
        <f>[1]!Engagement_Summary[[#This Row],[New_Followers]]-[1]!Engagement_Summary[[#This Row],[Unfollows]]</f>
        <v>167</v>
      </c>
      <c r="AG96" s="1">
        <v>45733</v>
      </c>
      <c r="AH96" t="s">
        <v>23</v>
      </c>
      <c r="AI96" s="2">
        <v>7.7399999999999997E-2</v>
      </c>
      <c r="AJ96">
        <f>YEAR([1]!Engagement_Summary[[#This Row],[Week_Start_Date]])</f>
        <v>2025</v>
      </c>
      <c r="AK96" s="3">
        <v>9480</v>
      </c>
      <c r="AR96" s="12" t="s">
        <v>23</v>
      </c>
      <c r="AS96" s="12">
        <v>56</v>
      </c>
      <c r="AT96" s="12">
        <f>YEAR([1]!Engagement_Summary[[#This Row],[Week_Start_Date]])</f>
        <v>2025</v>
      </c>
    </row>
    <row r="97" spans="10:46" x14ac:dyDescent="0.25">
      <c r="J97" s="1">
        <v>45740</v>
      </c>
      <c r="K97" t="s">
        <v>23</v>
      </c>
      <c r="L97">
        <v>490</v>
      </c>
      <c r="M97">
        <v>29</v>
      </c>
      <c r="N97">
        <v>364810</v>
      </c>
      <c r="O97" s="2">
        <v>1.5300000000000001E-2</v>
      </c>
      <c r="P97" s="3">
        <v>49077</v>
      </c>
      <c r="Q97">
        <f>YEAR([1]!Engagement_Summary[[#This Row],[Week_Start_Date]])</f>
        <v>2025</v>
      </c>
      <c r="R97">
        <f>MONTH([1]!Engagement_Summary[[#This Row],[Week_Start_Date]])</f>
        <v>4</v>
      </c>
      <c r="S97">
        <f t="shared" si="2"/>
        <v>4</v>
      </c>
      <c r="T97">
        <f>[1]!Engagement_Summary[[#This Row],[New_Followers]]-[1]!Engagement_Summary[[#This Row],[Unfollows]]</f>
        <v>-160</v>
      </c>
      <c r="AG97" s="1">
        <v>45740</v>
      </c>
      <c r="AH97" t="s">
        <v>23</v>
      </c>
      <c r="AI97" s="2">
        <v>1.5300000000000001E-2</v>
      </c>
      <c r="AJ97">
        <f>YEAR([1]!Engagement_Summary[[#This Row],[Week_Start_Date]])</f>
        <v>2025</v>
      </c>
      <c r="AK97" s="3">
        <v>49077</v>
      </c>
      <c r="AR97" s="12" t="s">
        <v>23</v>
      </c>
      <c r="AS97" s="12">
        <v>181</v>
      </c>
      <c r="AT97" s="12">
        <f>YEAR([1]!Engagement_Summary[[#This Row],[Week_Start_Date]])</f>
        <v>2025</v>
      </c>
    </row>
    <row r="98" spans="10:46" x14ac:dyDescent="0.25">
      <c r="J98" s="1">
        <v>45747</v>
      </c>
      <c r="K98" t="s">
        <v>23</v>
      </c>
      <c r="L98">
        <v>1033</v>
      </c>
      <c r="M98">
        <v>392</v>
      </c>
      <c r="N98">
        <v>282780</v>
      </c>
      <c r="O98" s="2">
        <v>6.2699999999999992E-2</v>
      </c>
      <c r="P98" s="3">
        <v>23140</v>
      </c>
      <c r="Q98">
        <f>YEAR([1]!Engagement_Summary[[#This Row],[Week_Start_Date]])</f>
        <v>2025</v>
      </c>
      <c r="R98">
        <f>MONTH([1]!Engagement_Summary[[#This Row],[Week_Start_Date]])</f>
        <v>4</v>
      </c>
      <c r="S98">
        <f t="shared" si="2"/>
        <v>5</v>
      </c>
      <c r="T98">
        <f>[1]!Engagement_Summary[[#This Row],[New_Followers]]-[1]!Engagement_Summary[[#This Row],[Unfollows]]</f>
        <v>603</v>
      </c>
      <c r="AG98" s="1">
        <v>45747</v>
      </c>
      <c r="AH98" t="s">
        <v>23</v>
      </c>
      <c r="AI98" s="2">
        <v>6.2699999999999992E-2</v>
      </c>
      <c r="AJ98">
        <f>YEAR([1]!Engagement_Summary[[#This Row],[Week_Start_Date]])</f>
        <v>2025</v>
      </c>
      <c r="AK98" s="3">
        <v>23140</v>
      </c>
      <c r="AR98" s="12" t="s">
        <v>23</v>
      </c>
      <c r="AS98" s="12">
        <v>422</v>
      </c>
      <c r="AT98" s="12">
        <f>YEAR([1]!Engagement_Summary[[#This Row],[Week_Start_Date]])</f>
        <v>2025</v>
      </c>
    </row>
    <row r="99" spans="10:46" x14ac:dyDescent="0.25">
      <c r="J99" s="1">
        <v>45754</v>
      </c>
      <c r="K99" t="s">
        <v>23</v>
      </c>
      <c r="L99">
        <v>559</v>
      </c>
      <c r="M99">
        <v>392</v>
      </c>
      <c r="N99">
        <v>78789</v>
      </c>
      <c r="O99" s="2">
        <v>3.1899999999999998E-2</v>
      </c>
      <c r="P99" s="3">
        <v>2436</v>
      </c>
      <c r="Q99">
        <f>YEAR([1]!Engagement_Summary[[#This Row],[Week_Start_Date]])</f>
        <v>2025</v>
      </c>
      <c r="R99">
        <f>MONTH([1]!Engagement_Summary[[#This Row],[Week_Start_Date]])</f>
        <v>4</v>
      </c>
      <c r="S99">
        <f t="shared" si="2"/>
        <v>1</v>
      </c>
      <c r="T99">
        <f>[1]!Engagement_Summary[[#This Row],[New_Followers]]-[1]!Engagement_Summary[[#This Row],[Unfollows]]</f>
        <v>1539</v>
      </c>
      <c r="AG99" s="1">
        <v>45754</v>
      </c>
      <c r="AH99" t="s">
        <v>23</v>
      </c>
      <c r="AI99" s="2">
        <v>3.1899999999999998E-2</v>
      </c>
      <c r="AJ99">
        <f>YEAR([1]!Engagement_Summary[[#This Row],[Week_Start_Date]])</f>
        <v>2025</v>
      </c>
      <c r="AK99" s="3">
        <v>2436</v>
      </c>
      <c r="AR99" s="12" t="s">
        <v>23</v>
      </c>
      <c r="AS99" s="12">
        <v>29</v>
      </c>
      <c r="AT99" s="12">
        <f>YEAR([1]!Engagement_Summary[[#This Row],[Week_Start_Date]])</f>
        <v>2025</v>
      </c>
    </row>
    <row r="100" spans="10:46" x14ac:dyDescent="0.25">
      <c r="J100" s="1">
        <v>45761</v>
      </c>
      <c r="K100" t="s">
        <v>23</v>
      </c>
      <c r="L100">
        <v>198</v>
      </c>
      <c r="M100">
        <v>358</v>
      </c>
      <c r="N100">
        <v>66682</v>
      </c>
      <c r="O100" s="2">
        <v>6.7299999999999999E-2</v>
      </c>
      <c r="P100" s="3">
        <v>2293</v>
      </c>
      <c r="Q100">
        <f>YEAR([1]!Engagement_Summary[[#This Row],[Week_Start_Date]])</f>
        <v>2025</v>
      </c>
      <c r="R100">
        <f>MONTH([1]!Engagement_Summary[[#This Row],[Week_Start_Date]])</f>
        <v>5</v>
      </c>
      <c r="S100">
        <f t="shared" si="2"/>
        <v>2</v>
      </c>
      <c r="T100">
        <f>[1]!Engagement_Summary[[#This Row],[New_Followers]]-[1]!Engagement_Summary[[#This Row],[Unfollows]]</f>
        <v>1881</v>
      </c>
      <c r="AG100" s="1">
        <v>45761</v>
      </c>
      <c r="AH100" t="s">
        <v>23</v>
      </c>
      <c r="AI100" s="2">
        <v>6.7299999999999999E-2</v>
      </c>
      <c r="AJ100">
        <f>YEAR([1]!Engagement_Summary[[#This Row],[Week_Start_Date]])</f>
        <v>2025</v>
      </c>
      <c r="AK100" s="3">
        <v>2293</v>
      </c>
      <c r="AR100" s="12" t="s">
        <v>23</v>
      </c>
      <c r="AS100" s="12">
        <v>392</v>
      </c>
      <c r="AT100" s="12">
        <f>YEAR([1]!Engagement_Summary[[#This Row],[Week_Start_Date]])</f>
        <v>2025</v>
      </c>
    </row>
    <row r="101" spans="10:46" x14ac:dyDescent="0.25">
      <c r="J101" s="1">
        <v>45768</v>
      </c>
      <c r="K101" t="s">
        <v>23</v>
      </c>
      <c r="L101">
        <v>961</v>
      </c>
      <c r="M101">
        <v>358</v>
      </c>
      <c r="N101">
        <v>62942</v>
      </c>
      <c r="O101" s="2">
        <v>6.8000000000000005E-2</v>
      </c>
      <c r="P101" s="3">
        <v>18693</v>
      </c>
      <c r="Q101">
        <f>YEAR([1]!Engagement_Summary[[#This Row],[Week_Start_Date]])</f>
        <v>2025</v>
      </c>
      <c r="R101">
        <f>MONTH([1]!Engagement_Summary[[#This Row],[Week_Start_Date]])</f>
        <v>5</v>
      </c>
      <c r="S101">
        <f t="shared" si="2"/>
        <v>3</v>
      </c>
      <c r="T101">
        <f>[1]!Engagement_Summary[[#This Row],[New_Followers]]-[1]!Engagement_Summary[[#This Row],[Unfollows]]</f>
        <v>1656</v>
      </c>
      <c r="AG101" s="1">
        <v>45768</v>
      </c>
      <c r="AH101" t="s">
        <v>23</v>
      </c>
      <c r="AI101" s="2">
        <v>6.8000000000000005E-2</v>
      </c>
      <c r="AJ101">
        <f>YEAR([1]!Engagement_Summary[[#This Row],[Week_Start_Date]])</f>
        <v>2025</v>
      </c>
      <c r="AK101" s="3">
        <v>18693</v>
      </c>
      <c r="AR101" s="12" t="s">
        <v>23</v>
      </c>
      <c r="AS101" s="12">
        <v>392</v>
      </c>
      <c r="AT101" s="12">
        <f>YEAR([1]!Engagement_Summary[[#This Row],[Week_Start_Date]])</f>
        <v>2025</v>
      </c>
    </row>
    <row r="102" spans="10:46" x14ac:dyDescent="0.25">
      <c r="J102" s="1">
        <v>45775</v>
      </c>
      <c r="K102" t="s">
        <v>23</v>
      </c>
      <c r="L102">
        <v>1693</v>
      </c>
      <c r="M102">
        <v>154</v>
      </c>
      <c r="N102">
        <v>445944</v>
      </c>
      <c r="O102" s="2">
        <v>5.6900000000000006E-2</v>
      </c>
      <c r="P102" s="3">
        <v>14216</v>
      </c>
      <c r="Q102">
        <f>YEAR([1]!Engagement_Summary[[#This Row],[Week_Start_Date]])</f>
        <v>2024</v>
      </c>
      <c r="R102">
        <f>MONTH([1]!Engagement_Summary[[#This Row],[Week_Start_Date]])</f>
        <v>6</v>
      </c>
      <c r="S102">
        <f t="shared" si="2"/>
        <v>4</v>
      </c>
      <c r="T102">
        <f>[1]!Engagement_Summary[[#This Row],[New_Followers]]-[1]!Engagement_Summary[[#This Row],[Unfollows]]</f>
        <v>415</v>
      </c>
      <c r="AG102" s="1">
        <v>45775</v>
      </c>
      <c r="AH102" t="s">
        <v>23</v>
      </c>
      <c r="AI102" s="2">
        <v>5.6900000000000006E-2</v>
      </c>
      <c r="AJ102">
        <f>YEAR([1]!Engagement_Summary[[#This Row],[Week_Start_Date]])</f>
        <v>2024</v>
      </c>
      <c r="AK102" s="3">
        <v>14216</v>
      </c>
      <c r="AR102" s="12" t="s">
        <v>23</v>
      </c>
      <c r="AS102" s="12">
        <v>358</v>
      </c>
      <c r="AT102" s="12">
        <f>YEAR([1]!Engagement_Summary[[#This Row],[Week_Start_Date]])</f>
        <v>2024</v>
      </c>
    </row>
    <row r="103" spans="10:46" x14ac:dyDescent="0.25">
      <c r="J103" s="1">
        <v>45782</v>
      </c>
      <c r="K103" t="s">
        <v>23</v>
      </c>
      <c r="L103">
        <v>1957</v>
      </c>
      <c r="M103">
        <v>76</v>
      </c>
      <c r="N103">
        <v>447902</v>
      </c>
      <c r="O103" s="2">
        <v>6.0899999999999996E-2</v>
      </c>
      <c r="P103" s="3">
        <v>33381</v>
      </c>
      <c r="Q103">
        <f>YEAR([1]!Engagement_Summary[[#This Row],[Week_Start_Date]])</f>
        <v>2024</v>
      </c>
      <c r="R103">
        <f>MONTH([1]!Engagement_Summary[[#This Row],[Week_Start_Date]])</f>
        <v>6</v>
      </c>
      <c r="S103">
        <f t="shared" si="2"/>
        <v>1</v>
      </c>
      <c r="T103">
        <f>[1]!Engagement_Summary[[#This Row],[New_Followers]]-[1]!Engagement_Summary[[#This Row],[Unfollows]]</f>
        <v>186</v>
      </c>
      <c r="AG103" s="1">
        <v>45782</v>
      </c>
      <c r="AH103" t="s">
        <v>23</v>
      </c>
      <c r="AI103" s="2">
        <v>6.0899999999999996E-2</v>
      </c>
      <c r="AJ103">
        <f>YEAR([1]!Engagement_Summary[[#This Row],[Week_Start_Date]])</f>
        <v>2024</v>
      </c>
      <c r="AK103" s="3">
        <v>33381</v>
      </c>
      <c r="AR103" s="12" t="s">
        <v>23</v>
      </c>
      <c r="AS103" s="12">
        <v>358</v>
      </c>
      <c r="AT103" s="12">
        <f>YEAR([1]!Engagement_Summary[[#This Row],[Week_Start_Date]])</f>
        <v>2024</v>
      </c>
    </row>
    <row r="104" spans="10:46" x14ac:dyDescent="0.25">
      <c r="J104" s="1">
        <v>45789</v>
      </c>
      <c r="K104" t="s">
        <v>23</v>
      </c>
      <c r="L104">
        <v>1765</v>
      </c>
      <c r="M104">
        <v>109</v>
      </c>
      <c r="N104">
        <v>468301</v>
      </c>
      <c r="O104" s="2">
        <v>1.8200000000000001E-2</v>
      </c>
      <c r="P104" s="3">
        <v>20042</v>
      </c>
      <c r="Q104">
        <f>YEAR([1]!Engagement_Summary[[#This Row],[Week_Start_Date]])</f>
        <v>2024</v>
      </c>
      <c r="R104">
        <f>MONTH([1]!Engagement_Summary[[#This Row],[Week_Start_Date]])</f>
        <v>6</v>
      </c>
      <c r="S104">
        <f t="shared" si="2"/>
        <v>2</v>
      </c>
      <c r="T104">
        <f>[1]!Engagement_Summary[[#This Row],[New_Followers]]-[1]!Engagement_Summary[[#This Row],[Unfollows]]</f>
        <v>1295</v>
      </c>
      <c r="AG104" s="1">
        <v>45789</v>
      </c>
      <c r="AH104" t="s">
        <v>23</v>
      </c>
      <c r="AI104" s="2">
        <v>1.8200000000000001E-2</v>
      </c>
      <c r="AJ104">
        <f>YEAR([1]!Engagement_Summary[[#This Row],[Week_Start_Date]])</f>
        <v>2024</v>
      </c>
      <c r="AK104" s="3">
        <v>20042</v>
      </c>
      <c r="AR104" s="12" t="s">
        <v>23</v>
      </c>
      <c r="AS104" s="12">
        <v>154</v>
      </c>
      <c r="AT104" s="12">
        <f>YEAR([1]!Engagement_Summary[[#This Row],[Week_Start_Date]])</f>
        <v>2024</v>
      </c>
    </row>
    <row r="105" spans="10:46" x14ac:dyDescent="0.25">
      <c r="J105" s="1">
        <v>45446</v>
      </c>
      <c r="K105" t="s">
        <v>27</v>
      </c>
      <c r="L105">
        <v>584</v>
      </c>
      <c r="M105">
        <v>169</v>
      </c>
      <c r="N105">
        <v>146834</v>
      </c>
      <c r="O105" s="2">
        <v>8.3100000000000007E-2</v>
      </c>
      <c r="P105" s="3">
        <v>26752</v>
      </c>
      <c r="Q105">
        <f>YEAR([1]!Engagement_Summary[[#This Row],[Week_Start_Date]])</f>
        <v>2024</v>
      </c>
      <c r="R105">
        <f>MONTH([1]!Engagement_Summary[[#This Row],[Week_Start_Date]])</f>
        <v>6</v>
      </c>
      <c r="S105">
        <f t="shared" si="2"/>
        <v>1</v>
      </c>
      <c r="T105">
        <f>[1]!Engagement_Summary[[#This Row],[New_Followers]]-[1]!Engagement_Summary[[#This Row],[Unfollows]]</f>
        <v>835</v>
      </c>
      <c r="AG105" s="1">
        <v>45446</v>
      </c>
      <c r="AH105" t="s">
        <v>27</v>
      </c>
      <c r="AI105" s="2">
        <v>8.3100000000000007E-2</v>
      </c>
      <c r="AJ105">
        <f>YEAR([1]!Engagement_Summary[[#This Row],[Week_Start_Date]])</f>
        <v>2024</v>
      </c>
      <c r="AK105" s="3">
        <v>26752</v>
      </c>
      <c r="AR105" s="12" t="s">
        <v>23</v>
      </c>
      <c r="AS105" s="12">
        <v>76</v>
      </c>
      <c r="AT105" s="12">
        <f>YEAR([1]!Engagement_Summary[[#This Row],[Week_Start_Date]])</f>
        <v>2024</v>
      </c>
    </row>
    <row r="106" spans="10:46" x14ac:dyDescent="0.25">
      <c r="J106" s="1">
        <v>45453</v>
      </c>
      <c r="K106" t="s">
        <v>27</v>
      </c>
      <c r="L106">
        <v>436</v>
      </c>
      <c r="M106">
        <v>250</v>
      </c>
      <c r="N106">
        <v>254347</v>
      </c>
      <c r="O106" s="2">
        <v>4.0099999999999997E-2</v>
      </c>
      <c r="P106" s="3">
        <v>8912</v>
      </c>
      <c r="Q106">
        <f>YEAR([1]!Engagement_Summary[[#This Row],[Week_Start_Date]])</f>
        <v>2024</v>
      </c>
      <c r="R106">
        <f>MONTH([1]!Engagement_Summary[[#This Row],[Week_Start_Date]])</f>
        <v>7</v>
      </c>
      <c r="S106">
        <f t="shared" si="2"/>
        <v>2</v>
      </c>
      <c r="T106">
        <f>[1]!Engagement_Summary[[#This Row],[New_Followers]]-[1]!Engagement_Summary[[#This Row],[Unfollows]]</f>
        <v>1357</v>
      </c>
      <c r="AG106" s="1">
        <v>45453</v>
      </c>
      <c r="AH106" t="s">
        <v>27</v>
      </c>
      <c r="AI106" s="2">
        <v>4.0099999999999997E-2</v>
      </c>
      <c r="AJ106">
        <f>YEAR([1]!Engagement_Summary[[#This Row],[Week_Start_Date]])</f>
        <v>2024</v>
      </c>
      <c r="AK106" s="3">
        <v>8912</v>
      </c>
      <c r="AR106" s="12" t="s">
        <v>23</v>
      </c>
      <c r="AS106" s="12">
        <v>109</v>
      </c>
      <c r="AT106" s="12">
        <f>YEAR([1]!Engagement_Summary[[#This Row],[Week_Start_Date]])</f>
        <v>2024</v>
      </c>
    </row>
    <row r="107" spans="10:46" x14ac:dyDescent="0.25">
      <c r="J107" s="1">
        <v>45460</v>
      </c>
      <c r="K107" t="s">
        <v>27</v>
      </c>
      <c r="L107">
        <v>1335</v>
      </c>
      <c r="M107">
        <v>40</v>
      </c>
      <c r="N107">
        <v>122732</v>
      </c>
      <c r="O107" s="2">
        <v>8.1900000000000001E-2</v>
      </c>
      <c r="P107" s="3">
        <v>22482</v>
      </c>
      <c r="Q107">
        <f>YEAR([1]!Engagement_Summary[[#This Row],[Week_Start_Date]])</f>
        <v>2024</v>
      </c>
      <c r="R107">
        <f>MONTH([1]!Engagement_Summary[[#This Row],[Week_Start_Date]])</f>
        <v>7</v>
      </c>
      <c r="S107">
        <f t="shared" si="2"/>
        <v>3</v>
      </c>
      <c r="T107">
        <f>[1]!Engagement_Summary[[#This Row],[New_Followers]]-[1]!Engagement_Summary[[#This Row],[Unfollows]]</f>
        <v>547</v>
      </c>
      <c r="AG107" s="1">
        <v>45460</v>
      </c>
      <c r="AH107" t="s">
        <v>27</v>
      </c>
      <c r="AI107" s="2">
        <v>8.1900000000000001E-2</v>
      </c>
      <c r="AJ107">
        <f>YEAR([1]!Engagement_Summary[[#This Row],[Week_Start_Date]])</f>
        <v>2024</v>
      </c>
      <c r="AK107" s="3">
        <v>22482</v>
      </c>
      <c r="AR107" s="12" t="s">
        <v>27</v>
      </c>
      <c r="AS107" s="12">
        <v>169</v>
      </c>
      <c r="AT107" s="12">
        <f>YEAR([1]!Engagement_Summary[[#This Row],[Week_Start_Date]])</f>
        <v>2024</v>
      </c>
    </row>
    <row r="108" spans="10:46" x14ac:dyDescent="0.25">
      <c r="J108" s="1">
        <v>45467</v>
      </c>
      <c r="K108" t="s">
        <v>27</v>
      </c>
      <c r="L108">
        <v>1238</v>
      </c>
      <c r="M108">
        <v>403</v>
      </c>
      <c r="N108">
        <v>298421</v>
      </c>
      <c r="O108" s="2">
        <v>3.5000000000000003E-2</v>
      </c>
      <c r="P108" s="3">
        <v>31280</v>
      </c>
      <c r="Q108">
        <f>YEAR([1]!Engagement_Summary[[#This Row],[Week_Start_Date]])</f>
        <v>2024</v>
      </c>
      <c r="R108">
        <f>MONTH([1]!Engagement_Summary[[#This Row],[Week_Start_Date]])</f>
        <v>7</v>
      </c>
      <c r="S108">
        <f t="shared" si="2"/>
        <v>4</v>
      </c>
      <c r="T108">
        <f>[1]!Engagement_Summary[[#This Row],[New_Followers]]-[1]!Engagement_Summary[[#This Row],[Unfollows]]</f>
        <v>429</v>
      </c>
      <c r="AG108" s="1">
        <v>45467</v>
      </c>
      <c r="AH108" t="s">
        <v>27</v>
      </c>
      <c r="AI108" s="2">
        <v>3.5000000000000003E-2</v>
      </c>
      <c r="AJ108">
        <f>YEAR([1]!Engagement_Summary[[#This Row],[Week_Start_Date]])</f>
        <v>2024</v>
      </c>
      <c r="AK108" s="3">
        <v>31280</v>
      </c>
      <c r="AR108" s="12" t="s">
        <v>27</v>
      </c>
      <c r="AS108" s="12">
        <v>250</v>
      </c>
      <c r="AT108" s="12">
        <f>YEAR([1]!Engagement_Summary[[#This Row],[Week_Start_Date]])</f>
        <v>2024</v>
      </c>
    </row>
    <row r="109" spans="10:46" x14ac:dyDescent="0.25">
      <c r="J109" s="1">
        <v>45474</v>
      </c>
      <c r="K109" t="s">
        <v>27</v>
      </c>
      <c r="L109">
        <v>1420</v>
      </c>
      <c r="M109">
        <v>63</v>
      </c>
      <c r="N109">
        <v>315305</v>
      </c>
      <c r="O109" s="2">
        <v>6.1900000000000004E-2</v>
      </c>
      <c r="P109" s="3">
        <v>5914</v>
      </c>
      <c r="Q109">
        <f>YEAR([1]!Engagement_Summary[[#This Row],[Week_Start_Date]])</f>
        <v>2024</v>
      </c>
      <c r="R109">
        <f>MONTH([1]!Engagement_Summary[[#This Row],[Week_Start_Date]])</f>
        <v>7</v>
      </c>
      <c r="S109">
        <f t="shared" si="2"/>
        <v>1</v>
      </c>
      <c r="T109">
        <f>[1]!Engagement_Summary[[#This Row],[New_Followers]]-[1]!Engagement_Summary[[#This Row],[Unfollows]]</f>
        <v>1316</v>
      </c>
      <c r="AG109" s="1">
        <v>45474</v>
      </c>
      <c r="AH109" t="s">
        <v>27</v>
      </c>
      <c r="AI109" s="2">
        <v>6.1900000000000004E-2</v>
      </c>
      <c r="AJ109">
        <f>YEAR([1]!Engagement_Summary[[#This Row],[Week_Start_Date]])</f>
        <v>2024</v>
      </c>
      <c r="AK109" s="3">
        <v>5914</v>
      </c>
      <c r="AR109" s="12" t="s">
        <v>27</v>
      </c>
      <c r="AS109" s="12">
        <v>40</v>
      </c>
      <c r="AT109" s="12">
        <f>YEAR([1]!Engagement_Summary[[#This Row],[Week_Start_Date]])</f>
        <v>2024</v>
      </c>
    </row>
    <row r="110" spans="10:46" x14ac:dyDescent="0.25">
      <c r="J110" s="1">
        <v>45481</v>
      </c>
      <c r="K110" t="s">
        <v>27</v>
      </c>
      <c r="L110">
        <v>987</v>
      </c>
      <c r="M110">
        <v>440</v>
      </c>
      <c r="N110">
        <v>389810</v>
      </c>
      <c r="O110" s="2">
        <v>4.6600000000000003E-2</v>
      </c>
      <c r="P110" s="3">
        <v>2932</v>
      </c>
      <c r="Q110">
        <f>YEAR([1]!Engagement_Summary[[#This Row],[Week_Start_Date]])</f>
        <v>2024</v>
      </c>
      <c r="R110">
        <f>MONTH([1]!Engagement_Summary[[#This Row],[Week_Start_Date]])</f>
        <v>7</v>
      </c>
      <c r="S110">
        <f t="shared" si="2"/>
        <v>2</v>
      </c>
      <c r="T110">
        <f>[1]!Engagement_Summary[[#This Row],[New_Followers]]-[1]!Engagement_Summary[[#This Row],[Unfollows]]</f>
        <v>1495</v>
      </c>
      <c r="AG110" s="1">
        <v>45481</v>
      </c>
      <c r="AH110" t="s">
        <v>27</v>
      </c>
      <c r="AI110" s="2">
        <v>4.6600000000000003E-2</v>
      </c>
      <c r="AJ110">
        <f>YEAR([1]!Engagement_Summary[[#This Row],[Week_Start_Date]])</f>
        <v>2024</v>
      </c>
      <c r="AK110" s="3">
        <v>2932</v>
      </c>
      <c r="AR110" s="12" t="s">
        <v>27</v>
      </c>
      <c r="AS110" s="12">
        <v>403</v>
      </c>
      <c r="AT110" s="12">
        <f>YEAR([1]!Engagement_Summary[[#This Row],[Week_Start_Date]])</f>
        <v>2024</v>
      </c>
    </row>
    <row r="111" spans="10:46" x14ac:dyDescent="0.25">
      <c r="J111" s="1">
        <v>45488</v>
      </c>
      <c r="K111" t="s">
        <v>27</v>
      </c>
      <c r="L111">
        <v>704</v>
      </c>
      <c r="M111">
        <v>275</v>
      </c>
      <c r="N111">
        <v>226002</v>
      </c>
      <c r="O111" s="2">
        <v>8.5600000000000009E-2</v>
      </c>
      <c r="P111" s="3">
        <v>32393</v>
      </c>
      <c r="Q111">
        <f>YEAR([1]!Engagement_Summary[[#This Row],[Week_Start_Date]])</f>
        <v>2024</v>
      </c>
      <c r="R111">
        <f>MONTH([1]!Engagement_Summary[[#This Row],[Week_Start_Date]])</f>
        <v>8</v>
      </c>
      <c r="S111">
        <f t="shared" si="2"/>
        <v>3</v>
      </c>
      <c r="T111">
        <f>[1]!Engagement_Summary[[#This Row],[New_Followers]]-[1]!Engagement_Summary[[#This Row],[Unfollows]]</f>
        <v>328</v>
      </c>
      <c r="AG111" s="1">
        <v>45488</v>
      </c>
      <c r="AH111" t="s">
        <v>27</v>
      </c>
      <c r="AI111" s="2">
        <v>8.5600000000000009E-2</v>
      </c>
      <c r="AJ111">
        <f>YEAR([1]!Engagement_Summary[[#This Row],[Week_Start_Date]])</f>
        <v>2024</v>
      </c>
      <c r="AK111" s="3">
        <v>32393</v>
      </c>
      <c r="AR111" s="12" t="s">
        <v>27</v>
      </c>
      <c r="AS111" s="12">
        <v>63</v>
      </c>
      <c r="AT111" s="12">
        <f>YEAR([1]!Engagement_Summary[[#This Row],[Week_Start_Date]])</f>
        <v>2024</v>
      </c>
    </row>
    <row r="112" spans="10:46" x14ac:dyDescent="0.25">
      <c r="J112" s="1">
        <v>45495</v>
      </c>
      <c r="K112" t="s">
        <v>27</v>
      </c>
      <c r="L112">
        <v>1701</v>
      </c>
      <c r="M112">
        <v>385</v>
      </c>
      <c r="N112">
        <v>198278</v>
      </c>
      <c r="O112" s="2">
        <v>5.3399999999999996E-2</v>
      </c>
      <c r="P112" s="3">
        <v>32763</v>
      </c>
      <c r="Q112">
        <f>YEAR([1]!Engagement_Summary[[#This Row],[Week_Start_Date]])</f>
        <v>2024</v>
      </c>
      <c r="R112">
        <f>MONTH([1]!Engagement_Summary[[#This Row],[Week_Start_Date]])</f>
        <v>8</v>
      </c>
      <c r="S112">
        <f t="shared" si="2"/>
        <v>4</v>
      </c>
      <c r="T112">
        <f>[1]!Engagement_Summary[[#This Row],[New_Followers]]-[1]!Engagement_Summary[[#This Row],[Unfollows]]</f>
        <v>37</v>
      </c>
      <c r="AG112" s="1">
        <v>45495</v>
      </c>
      <c r="AH112" t="s">
        <v>27</v>
      </c>
      <c r="AI112" s="2">
        <v>5.3399999999999996E-2</v>
      </c>
      <c r="AJ112">
        <f>YEAR([1]!Engagement_Summary[[#This Row],[Week_Start_Date]])</f>
        <v>2024</v>
      </c>
      <c r="AK112" s="3">
        <v>32763</v>
      </c>
      <c r="AR112" s="12" t="s">
        <v>27</v>
      </c>
      <c r="AS112" s="12">
        <v>440</v>
      </c>
      <c r="AT112" s="12">
        <f>YEAR([1]!Engagement_Summary[[#This Row],[Week_Start_Date]])</f>
        <v>2024</v>
      </c>
    </row>
    <row r="113" spans="10:46" x14ac:dyDescent="0.25">
      <c r="J113" s="1">
        <v>45502</v>
      </c>
      <c r="K113" t="s">
        <v>27</v>
      </c>
      <c r="L113">
        <v>1756</v>
      </c>
      <c r="M113">
        <v>261</v>
      </c>
      <c r="N113">
        <v>287574</v>
      </c>
      <c r="O113" s="2">
        <v>4.36E-2</v>
      </c>
      <c r="P113" s="3">
        <v>39272</v>
      </c>
      <c r="Q113">
        <f>YEAR([1]!Engagement_Summary[[#This Row],[Week_Start_Date]])</f>
        <v>2024</v>
      </c>
      <c r="R113">
        <f>MONTH([1]!Engagement_Summary[[#This Row],[Week_Start_Date]])</f>
        <v>8</v>
      </c>
      <c r="S113">
        <f t="shared" si="2"/>
        <v>5</v>
      </c>
      <c r="T113">
        <f>[1]!Engagement_Summary[[#This Row],[New_Followers]]-[1]!Engagement_Summary[[#This Row],[Unfollows]]</f>
        <v>1665</v>
      </c>
      <c r="AG113" s="1">
        <v>45502</v>
      </c>
      <c r="AH113" t="s">
        <v>27</v>
      </c>
      <c r="AI113" s="2">
        <v>4.36E-2</v>
      </c>
      <c r="AJ113">
        <f>YEAR([1]!Engagement_Summary[[#This Row],[Week_Start_Date]])</f>
        <v>2024</v>
      </c>
      <c r="AK113" s="3">
        <v>39272</v>
      </c>
      <c r="AR113" s="12" t="s">
        <v>27</v>
      </c>
      <c r="AS113" s="12">
        <v>275</v>
      </c>
      <c r="AT113" s="12">
        <f>YEAR([1]!Engagement_Summary[[#This Row],[Week_Start_Date]])</f>
        <v>2024</v>
      </c>
    </row>
    <row r="114" spans="10:46" x14ac:dyDescent="0.25">
      <c r="J114" s="1">
        <v>45509</v>
      </c>
      <c r="K114" t="s">
        <v>27</v>
      </c>
      <c r="L114">
        <v>826</v>
      </c>
      <c r="M114">
        <v>498</v>
      </c>
      <c r="N114">
        <v>449994</v>
      </c>
      <c r="O114" s="2">
        <v>9.4299999999999995E-2</v>
      </c>
      <c r="P114" s="3">
        <v>12384</v>
      </c>
      <c r="Q114">
        <f>YEAR([1]!Engagement_Summary[[#This Row],[Week_Start_Date]])</f>
        <v>2024</v>
      </c>
      <c r="R114">
        <f>MONTH([1]!Engagement_Summary[[#This Row],[Week_Start_Date]])</f>
        <v>8</v>
      </c>
      <c r="S114">
        <f t="shared" si="2"/>
        <v>1</v>
      </c>
      <c r="T114">
        <f>[1]!Engagement_Summary[[#This Row],[New_Followers]]-[1]!Engagement_Summary[[#This Row],[Unfollows]]</f>
        <v>1229</v>
      </c>
      <c r="AG114" s="1">
        <v>45509</v>
      </c>
      <c r="AH114" t="s">
        <v>27</v>
      </c>
      <c r="AI114" s="2">
        <v>9.4299999999999995E-2</v>
      </c>
      <c r="AJ114">
        <f>YEAR([1]!Engagement_Summary[[#This Row],[Week_Start_Date]])</f>
        <v>2024</v>
      </c>
      <c r="AK114" s="3">
        <v>12384</v>
      </c>
      <c r="AR114" s="12" t="s">
        <v>27</v>
      </c>
      <c r="AS114" s="12">
        <v>385</v>
      </c>
      <c r="AT114" s="12">
        <f>YEAR([1]!Engagement_Summary[[#This Row],[Week_Start_Date]])</f>
        <v>2024</v>
      </c>
    </row>
    <row r="115" spans="10:46" x14ac:dyDescent="0.25">
      <c r="J115" s="1">
        <v>45516</v>
      </c>
      <c r="K115" t="s">
        <v>27</v>
      </c>
      <c r="L115">
        <v>485</v>
      </c>
      <c r="M115">
        <v>448</v>
      </c>
      <c r="N115">
        <v>434883</v>
      </c>
      <c r="O115" s="2">
        <v>8.5500000000000007E-2</v>
      </c>
      <c r="P115" s="3">
        <v>33258</v>
      </c>
      <c r="Q115">
        <f>YEAR([1]!Engagement_Summary[[#This Row],[Week_Start_Date]])</f>
        <v>2024</v>
      </c>
      <c r="R115">
        <f>MONTH([1]!Engagement_Summary[[#This Row],[Week_Start_Date]])</f>
        <v>9</v>
      </c>
      <c r="S115">
        <f t="shared" si="2"/>
        <v>2</v>
      </c>
      <c r="T115">
        <f>[1]!Engagement_Summary[[#This Row],[New_Followers]]-[1]!Engagement_Summary[[#This Row],[Unfollows]]</f>
        <v>197</v>
      </c>
      <c r="AG115" s="1">
        <v>45516</v>
      </c>
      <c r="AH115" t="s">
        <v>27</v>
      </c>
      <c r="AI115" s="2">
        <v>8.5500000000000007E-2</v>
      </c>
      <c r="AJ115">
        <f>YEAR([1]!Engagement_Summary[[#This Row],[Week_Start_Date]])</f>
        <v>2024</v>
      </c>
      <c r="AK115" s="3">
        <v>33258</v>
      </c>
      <c r="AR115" s="12" t="s">
        <v>27</v>
      </c>
      <c r="AS115" s="12">
        <v>261</v>
      </c>
      <c r="AT115" s="12">
        <f>YEAR([1]!Engagement_Summary[[#This Row],[Week_Start_Date]])</f>
        <v>2024</v>
      </c>
    </row>
    <row r="116" spans="10:46" x14ac:dyDescent="0.25">
      <c r="J116" s="1">
        <v>45523</v>
      </c>
      <c r="K116" t="s">
        <v>27</v>
      </c>
      <c r="L116">
        <v>1751</v>
      </c>
      <c r="M116">
        <v>86</v>
      </c>
      <c r="N116">
        <v>188655</v>
      </c>
      <c r="O116" s="2">
        <v>7.2400000000000006E-2</v>
      </c>
      <c r="P116" s="3">
        <v>22206</v>
      </c>
      <c r="Q116">
        <f>YEAR([1]!Engagement_Summary[[#This Row],[Week_Start_Date]])</f>
        <v>2024</v>
      </c>
      <c r="R116">
        <f>MONTH([1]!Engagement_Summary[[#This Row],[Week_Start_Date]])</f>
        <v>9</v>
      </c>
      <c r="S116">
        <f t="shared" si="2"/>
        <v>3</v>
      </c>
      <c r="T116">
        <f>[1]!Engagement_Summary[[#This Row],[New_Followers]]-[1]!Engagement_Summary[[#This Row],[Unfollows]]</f>
        <v>260</v>
      </c>
      <c r="AG116" s="1">
        <v>45523</v>
      </c>
      <c r="AH116" t="s">
        <v>27</v>
      </c>
      <c r="AI116" s="2">
        <v>7.2400000000000006E-2</v>
      </c>
      <c r="AJ116">
        <f>YEAR([1]!Engagement_Summary[[#This Row],[Week_Start_Date]])</f>
        <v>2024</v>
      </c>
      <c r="AK116" s="3">
        <v>22206</v>
      </c>
      <c r="AR116" s="12" t="s">
        <v>27</v>
      </c>
      <c r="AS116" s="12">
        <v>498</v>
      </c>
      <c r="AT116" s="12">
        <f>YEAR([1]!Engagement_Summary[[#This Row],[Week_Start_Date]])</f>
        <v>2024</v>
      </c>
    </row>
    <row r="117" spans="10:46" x14ac:dyDescent="0.25">
      <c r="J117" s="1">
        <v>45530</v>
      </c>
      <c r="K117" t="s">
        <v>27</v>
      </c>
      <c r="L117">
        <v>1300</v>
      </c>
      <c r="M117">
        <v>71</v>
      </c>
      <c r="N117">
        <v>186454</v>
      </c>
      <c r="O117" s="2">
        <v>3.9100000000000003E-2</v>
      </c>
      <c r="P117" s="3">
        <v>9942</v>
      </c>
      <c r="Q117">
        <f>YEAR([1]!Engagement_Summary[[#This Row],[Week_Start_Date]])</f>
        <v>2024</v>
      </c>
      <c r="R117">
        <f>MONTH([1]!Engagement_Summary[[#This Row],[Week_Start_Date]])</f>
        <v>9</v>
      </c>
      <c r="S117">
        <f t="shared" si="2"/>
        <v>4</v>
      </c>
      <c r="T117">
        <f>[1]!Engagement_Summary[[#This Row],[New_Followers]]-[1]!Engagement_Summary[[#This Row],[Unfollows]]</f>
        <v>1125</v>
      </c>
      <c r="AG117" s="1">
        <v>45530</v>
      </c>
      <c r="AH117" t="s">
        <v>27</v>
      </c>
      <c r="AI117" s="2">
        <v>3.9100000000000003E-2</v>
      </c>
      <c r="AJ117">
        <f>YEAR([1]!Engagement_Summary[[#This Row],[Week_Start_Date]])</f>
        <v>2024</v>
      </c>
      <c r="AK117" s="3">
        <v>9942</v>
      </c>
      <c r="AR117" s="12" t="s">
        <v>27</v>
      </c>
      <c r="AS117" s="12">
        <v>448</v>
      </c>
      <c r="AT117" s="12">
        <f>YEAR([1]!Engagement_Summary[[#This Row],[Week_Start_Date]])</f>
        <v>2024</v>
      </c>
    </row>
    <row r="118" spans="10:46" x14ac:dyDescent="0.25">
      <c r="J118" s="1">
        <v>45537</v>
      </c>
      <c r="K118" t="s">
        <v>27</v>
      </c>
      <c r="L118">
        <v>557</v>
      </c>
      <c r="M118">
        <v>360</v>
      </c>
      <c r="N118">
        <v>318779</v>
      </c>
      <c r="O118" s="2">
        <v>8.0199999999999994E-2</v>
      </c>
      <c r="P118" s="3">
        <v>25797</v>
      </c>
      <c r="Q118">
        <f>YEAR([1]!Engagement_Summary[[#This Row],[Week_Start_Date]])</f>
        <v>2024</v>
      </c>
      <c r="R118">
        <f>MONTH([1]!Engagement_Summary[[#This Row],[Week_Start_Date]])</f>
        <v>9</v>
      </c>
      <c r="S118">
        <f t="shared" si="2"/>
        <v>1</v>
      </c>
      <c r="T118">
        <f>[1]!Engagement_Summary[[#This Row],[New_Followers]]-[1]!Engagement_Summary[[#This Row],[Unfollows]]</f>
        <v>1680</v>
      </c>
      <c r="AG118" s="1">
        <v>45537</v>
      </c>
      <c r="AH118" t="s">
        <v>27</v>
      </c>
      <c r="AI118" s="2">
        <v>8.0199999999999994E-2</v>
      </c>
      <c r="AJ118">
        <f>YEAR([1]!Engagement_Summary[[#This Row],[Week_Start_Date]])</f>
        <v>2024</v>
      </c>
      <c r="AK118" s="3">
        <v>25797</v>
      </c>
      <c r="AR118" s="12" t="s">
        <v>27</v>
      </c>
      <c r="AS118" s="12">
        <v>86</v>
      </c>
      <c r="AT118" s="12">
        <f>YEAR([1]!Engagement_Summary[[#This Row],[Week_Start_Date]])</f>
        <v>2024</v>
      </c>
    </row>
    <row r="119" spans="10:46" x14ac:dyDescent="0.25">
      <c r="J119" s="1">
        <v>45544</v>
      </c>
      <c r="K119" t="s">
        <v>27</v>
      </c>
      <c r="L119">
        <v>751</v>
      </c>
      <c r="M119">
        <v>491</v>
      </c>
      <c r="N119">
        <v>434047</v>
      </c>
      <c r="O119" s="2">
        <v>9.2399999999999996E-2</v>
      </c>
      <c r="P119" s="3">
        <v>15476</v>
      </c>
      <c r="Q119">
        <f>YEAR([1]!Engagement_Summary[[#This Row],[Week_Start_Date]])</f>
        <v>2024</v>
      </c>
      <c r="R119">
        <f>MONTH([1]!Engagement_Summary[[#This Row],[Week_Start_Date]])</f>
        <v>9</v>
      </c>
      <c r="S119">
        <f t="shared" si="2"/>
        <v>2</v>
      </c>
      <c r="T119">
        <f>[1]!Engagement_Summary[[#This Row],[New_Followers]]-[1]!Engagement_Summary[[#This Row],[Unfollows]]</f>
        <v>599</v>
      </c>
      <c r="AG119" s="1">
        <v>45544</v>
      </c>
      <c r="AH119" t="s">
        <v>27</v>
      </c>
      <c r="AI119" s="2">
        <v>9.2399999999999996E-2</v>
      </c>
      <c r="AJ119">
        <f>YEAR([1]!Engagement_Summary[[#This Row],[Week_Start_Date]])</f>
        <v>2024</v>
      </c>
      <c r="AK119" s="3">
        <v>15476</v>
      </c>
      <c r="AR119" s="12" t="s">
        <v>27</v>
      </c>
      <c r="AS119" s="12">
        <v>71</v>
      </c>
      <c r="AT119" s="12">
        <f>YEAR([1]!Engagement_Summary[[#This Row],[Week_Start_Date]])</f>
        <v>2024</v>
      </c>
    </row>
    <row r="120" spans="10:46" x14ac:dyDescent="0.25">
      <c r="J120" s="1">
        <v>45551</v>
      </c>
      <c r="K120" t="s">
        <v>27</v>
      </c>
      <c r="L120">
        <v>1472</v>
      </c>
      <c r="M120">
        <v>347</v>
      </c>
      <c r="N120">
        <v>392355</v>
      </c>
      <c r="O120" s="2">
        <v>8.5900000000000004E-2</v>
      </c>
      <c r="P120" s="3">
        <v>30270</v>
      </c>
      <c r="Q120">
        <f>YEAR([1]!Engagement_Summary[[#This Row],[Week_Start_Date]])</f>
        <v>2024</v>
      </c>
      <c r="R120">
        <f>MONTH([1]!Engagement_Summary[[#This Row],[Week_Start_Date]])</f>
        <v>10</v>
      </c>
      <c r="S120">
        <f t="shared" si="2"/>
        <v>3</v>
      </c>
      <c r="T120">
        <f>[1]!Engagement_Summary[[#This Row],[New_Followers]]-[1]!Engagement_Summary[[#This Row],[Unfollows]]</f>
        <v>107</v>
      </c>
      <c r="AG120" s="1">
        <v>45551</v>
      </c>
      <c r="AH120" t="s">
        <v>27</v>
      </c>
      <c r="AI120" s="2">
        <v>8.5900000000000004E-2</v>
      </c>
      <c r="AJ120">
        <f>YEAR([1]!Engagement_Summary[[#This Row],[Week_Start_Date]])</f>
        <v>2024</v>
      </c>
      <c r="AK120" s="3">
        <v>30270</v>
      </c>
      <c r="AR120" s="12" t="s">
        <v>27</v>
      </c>
      <c r="AS120" s="12">
        <v>360</v>
      </c>
      <c r="AT120" s="12">
        <f>YEAR([1]!Engagement_Summary[[#This Row],[Week_Start_Date]])</f>
        <v>2024</v>
      </c>
    </row>
    <row r="121" spans="10:46" x14ac:dyDescent="0.25">
      <c r="J121" s="1">
        <v>45558</v>
      </c>
      <c r="K121" t="s">
        <v>27</v>
      </c>
      <c r="L121">
        <v>1911</v>
      </c>
      <c r="M121">
        <v>231</v>
      </c>
      <c r="N121">
        <v>268516</v>
      </c>
      <c r="O121" s="2">
        <v>8.5500000000000007E-2</v>
      </c>
      <c r="P121" s="3">
        <v>24018</v>
      </c>
      <c r="Q121">
        <f>YEAR([1]!Engagement_Summary[[#This Row],[Week_Start_Date]])</f>
        <v>2024</v>
      </c>
      <c r="R121">
        <f>MONTH([1]!Engagement_Summary[[#This Row],[Week_Start_Date]])</f>
        <v>10</v>
      </c>
      <c r="S121">
        <f t="shared" si="2"/>
        <v>4</v>
      </c>
      <c r="T121">
        <f>[1]!Engagement_Summary[[#This Row],[New_Followers]]-[1]!Engagement_Summary[[#This Row],[Unfollows]]</f>
        <v>-20</v>
      </c>
      <c r="AG121" s="1">
        <v>45558</v>
      </c>
      <c r="AH121" t="s">
        <v>27</v>
      </c>
      <c r="AI121" s="2">
        <v>8.5500000000000007E-2</v>
      </c>
      <c r="AJ121">
        <f>YEAR([1]!Engagement_Summary[[#This Row],[Week_Start_Date]])</f>
        <v>2024</v>
      </c>
      <c r="AK121" s="3">
        <v>24018</v>
      </c>
      <c r="AR121" s="12" t="s">
        <v>27</v>
      </c>
      <c r="AS121" s="12">
        <v>491</v>
      </c>
      <c r="AT121" s="12">
        <f>YEAR([1]!Engagement_Summary[[#This Row],[Week_Start_Date]])</f>
        <v>2024</v>
      </c>
    </row>
    <row r="122" spans="10:46" x14ac:dyDescent="0.25">
      <c r="J122" s="1">
        <v>45565</v>
      </c>
      <c r="K122" t="s">
        <v>27</v>
      </c>
      <c r="L122">
        <v>752</v>
      </c>
      <c r="M122">
        <v>153</v>
      </c>
      <c r="N122">
        <v>64906</v>
      </c>
      <c r="O122" s="2">
        <v>2.0899999999999998E-2</v>
      </c>
      <c r="P122" s="3">
        <v>12148</v>
      </c>
      <c r="Q122">
        <f>YEAR([1]!Engagement_Summary[[#This Row],[Week_Start_Date]])</f>
        <v>2024</v>
      </c>
      <c r="R122">
        <f>MONTH([1]!Engagement_Summary[[#This Row],[Week_Start_Date]])</f>
        <v>10</v>
      </c>
      <c r="S122">
        <f t="shared" si="2"/>
        <v>5</v>
      </c>
      <c r="T122">
        <f>[1]!Engagement_Summary[[#This Row],[New_Followers]]-[1]!Engagement_Summary[[#This Row],[Unfollows]]</f>
        <v>636</v>
      </c>
      <c r="AG122" s="1">
        <v>45565</v>
      </c>
      <c r="AH122" t="s">
        <v>27</v>
      </c>
      <c r="AI122" s="2">
        <v>2.0899999999999998E-2</v>
      </c>
      <c r="AJ122">
        <f>YEAR([1]!Engagement_Summary[[#This Row],[Week_Start_Date]])</f>
        <v>2024</v>
      </c>
      <c r="AK122" s="3">
        <v>12148</v>
      </c>
      <c r="AR122" s="12" t="s">
        <v>27</v>
      </c>
      <c r="AS122" s="12">
        <v>347</v>
      </c>
      <c r="AT122" s="12">
        <f>YEAR([1]!Engagement_Summary[[#This Row],[Week_Start_Date]])</f>
        <v>2024</v>
      </c>
    </row>
    <row r="123" spans="10:46" x14ac:dyDescent="0.25">
      <c r="J123" s="1">
        <v>45572</v>
      </c>
      <c r="K123" t="s">
        <v>27</v>
      </c>
      <c r="L123">
        <v>437</v>
      </c>
      <c r="M123">
        <v>330</v>
      </c>
      <c r="N123">
        <v>476486</v>
      </c>
      <c r="O123" s="2">
        <v>4.9699999999999994E-2</v>
      </c>
      <c r="P123" s="3">
        <v>4509</v>
      </c>
      <c r="Q123">
        <f>YEAR([1]!Engagement_Summary[[#This Row],[Week_Start_Date]])</f>
        <v>2024</v>
      </c>
      <c r="R123">
        <f>MONTH([1]!Engagement_Summary[[#This Row],[Week_Start_Date]])</f>
        <v>10</v>
      </c>
      <c r="S123">
        <f t="shared" si="2"/>
        <v>1</v>
      </c>
      <c r="T123">
        <f>[1]!Engagement_Summary[[#This Row],[New_Followers]]-[1]!Engagement_Summary[[#This Row],[Unfollows]]</f>
        <v>37</v>
      </c>
      <c r="AG123" s="1">
        <v>45572</v>
      </c>
      <c r="AH123" t="s">
        <v>27</v>
      </c>
      <c r="AI123" s="2">
        <v>4.9699999999999994E-2</v>
      </c>
      <c r="AJ123">
        <f>YEAR([1]!Engagement_Summary[[#This Row],[Week_Start_Date]])</f>
        <v>2024</v>
      </c>
      <c r="AK123" s="3">
        <v>4509</v>
      </c>
      <c r="AR123" s="12" t="s">
        <v>27</v>
      </c>
      <c r="AS123" s="12">
        <v>231</v>
      </c>
      <c r="AT123" s="12">
        <f>YEAR([1]!Engagement_Summary[[#This Row],[Week_Start_Date]])</f>
        <v>2024</v>
      </c>
    </row>
    <row r="124" spans="10:46" x14ac:dyDescent="0.25">
      <c r="J124" s="1">
        <v>45579</v>
      </c>
      <c r="K124" t="s">
        <v>27</v>
      </c>
      <c r="L124">
        <v>201</v>
      </c>
      <c r="M124">
        <v>221</v>
      </c>
      <c r="N124">
        <v>309772</v>
      </c>
      <c r="O124" s="2">
        <v>5.9000000000000004E-2</v>
      </c>
      <c r="P124" s="3">
        <v>33174</v>
      </c>
      <c r="Q124">
        <f>YEAR([1]!Engagement_Summary[[#This Row],[Week_Start_Date]])</f>
        <v>2024</v>
      </c>
      <c r="R124">
        <f>MONTH([1]!Engagement_Summary[[#This Row],[Week_Start_Date]])</f>
        <v>11</v>
      </c>
      <c r="S124">
        <f t="shared" si="2"/>
        <v>2</v>
      </c>
      <c r="T124">
        <f>[1]!Engagement_Summary[[#This Row],[New_Followers]]-[1]!Engagement_Summary[[#This Row],[Unfollows]]</f>
        <v>1603</v>
      </c>
      <c r="AG124" s="1">
        <v>45579</v>
      </c>
      <c r="AH124" t="s">
        <v>27</v>
      </c>
      <c r="AI124" s="2">
        <v>5.9000000000000004E-2</v>
      </c>
      <c r="AJ124">
        <f>YEAR([1]!Engagement_Summary[[#This Row],[Week_Start_Date]])</f>
        <v>2024</v>
      </c>
      <c r="AK124" s="3">
        <v>33174</v>
      </c>
      <c r="AR124" s="12" t="s">
        <v>27</v>
      </c>
      <c r="AS124" s="12">
        <v>153</v>
      </c>
      <c r="AT124" s="12">
        <f>YEAR([1]!Engagement_Summary[[#This Row],[Week_Start_Date]])</f>
        <v>2024</v>
      </c>
    </row>
    <row r="125" spans="10:46" x14ac:dyDescent="0.25">
      <c r="J125" s="1">
        <v>45586</v>
      </c>
      <c r="K125" t="s">
        <v>27</v>
      </c>
      <c r="L125">
        <v>697</v>
      </c>
      <c r="M125">
        <v>61</v>
      </c>
      <c r="N125">
        <v>258287</v>
      </c>
      <c r="O125" s="2">
        <v>8.2500000000000004E-2</v>
      </c>
      <c r="P125" s="3">
        <v>21208</v>
      </c>
      <c r="Q125">
        <f>YEAR([1]!Engagement_Summary[[#This Row],[Week_Start_Date]])</f>
        <v>2024</v>
      </c>
      <c r="R125">
        <f>MONTH([1]!Engagement_Summary[[#This Row],[Week_Start_Date]])</f>
        <v>11</v>
      </c>
      <c r="S125">
        <f t="shared" si="2"/>
        <v>3</v>
      </c>
      <c r="T125">
        <f>[1]!Engagement_Summary[[#This Row],[New_Followers]]-[1]!Engagement_Summary[[#This Row],[Unfollows]]</f>
        <v>1150</v>
      </c>
      <c r="AG125" s="1">
        <v>45586</v>
      </c>
      <c r="AH125" t="s">
        <v>27</v>
      </c>
      <c r="AI125" s="2">
        <v>8.2500000000000004E-2</v>
      </c>
      <c r="AJ125">
        <f>YEAR([1]!Engagement_Summary[[#This Row],[Week_Start_Date]])</f>
        <v>2024</v>
      </c>
      <c r="AK125" s="3">
        <v>21208</v>
      </c>
      <c r="AR125" s="12" t="s">
        <v>27</v>
      </c>
      <c r="AS125" s="12">
        <v>330</v>
      </c>
      <c r="AT125" s="12">
        <f>YEAR([1]!Engagement_Summary[[#This Row],[Week_Start_Date]])</f>
        <v>2024</v>
      </c>
    </row>
    <row r="126" spans="10:46" x14ac:dyDescent="0.25">
      <c r="J126" s="1">
        <v>45593</v>
      </c>
      <c r="K126" t="s">
        <v>27</v>
      </c>
      <c r="L126">
        <v>191</v>
      </c>
      <c r="M126">
        <v>154</v>
      </c>
      <c r="N126">
        <v>240550</v>
      </c>
      <c r="O126" s="2">
        <v>5.2199999999999996E-2</v>
      </c>
      <c r="P126" s="3">
        <v>15827</v>
      </c>
      <c r="Q126">
        <f>YEAR([1]!Engagement_Summary[[#This Row],[Week_Start_Date]])</f>
        <v>2024</v>
      </c>
      <c r="R126">
        <f>MONTH([1]!Engagement_Summary[[#This Row],[Week_Start_Date]])</f>
        <v>11</v>
      </c>
      <c r="S126">
        <f t="shared" si="2"/>
        <v>4</v>
      </c>
      <c r="T126">
        <f>[1]!Engagement_Summary[[#This Row],[New_Followers]]-[1]!Engagement_Summary[[#This Row],[Unfollows]]</f>
        <v>445</v>
      </c>
      <c r="AG126" s="1">
        <v>45593</v>
      </c>
      <c r="AH126" t="s">
        <v>27</v>
      </c>
      <c r="AI126" s="2">
        <v>5.2199999999999996E-2</v>
      </c>
      <c r="AJ126">
        <f>YEAR([1]!Engagement_Summary[[#This Row],[Week_Start_Date]])</f>
        <v>2024</v>
      </c>
      <c r="AK126" s="3">
        <v>15827</v>
      </c>
      <c r="AR126" s="12" t="s">
        <v>27</v>
      </c>
      <c r="AS126" s="12">
        <v>221</v>
      </c>
      <c r="AT126" s="12">
        <f>YEAR([1]!Engagement_Summary[[#This Row],[Week_Start_Date]])</f>
        <v>2024</v>
      </c>
    </row>
    <row r="127" spans="10:46" x14ac:dyDescent="0.25">
      <c r="J127" s="1">
        <v>45600</v>
      </c>
      <c r="K127" t="s">
        <v>27</v>
      </c>
      <c r="L127">
        <v>1821</v>
      </c>
      <c r="M127">
        <v>218</v>
      </c>
      <c r="N127">
        <v>439080</v>
      </c>
      <c r="O127" s="2">
        <v>5.6799999999999996E-2</v>
      </c>
      <c r="P127" s="3">
        <v>36095</v>
      </c>
      <c r="Q127">
        <f>YEAR([1]!Engagement_Summary[[#This Row],[Week_Start_Date]])</f>
        <v>2024</v>
      </c>
      <c r="R127">
        <f>MONTH([1]!Engagement_Summary[[#This Row],[Week_Start_Date]])</f>
        <v>11</v>
      </c>
      <c r="S127">
        <f t="shared" si="2"/>
        <v>1</v>
      </c>
      <c r="T127">
        <f>[1]!Engagement_Summary[[#This Row],[New_Followers]]-[1]!Engagement_Summary[[#This Row],[Unfollows]]</f>
        <v>98</v>
      </c>
      <c r="AG127" s="1">
        <v>45600</v>
      </c>
      <c r="AH127" t="s">
        <v>27</v>
      </c>
      <c r="AI127" s="2">
        <v>5.6799999999999996E-2</v>
      </c>
      <c r="AJ127">
        <f>YEAR([1]!Engagement_Summary[[#This Row],[Week_Start_Date]])</f>
        <v>2024</v>
      </c>
      <c r="AK127" s="3">
        <v>36095</v>
      </c>
      <c r="AR127" s="12" t="s">
        <v>27</v>
      </c>
      <c r="AS127" s="12">
        <v>61</v>
      </c>
      <c r="AT127" s="12">
        <f>YEAR([1]!Engagement_Summary[[#This Row],[Week_Start_Date]])</f>
        <v>2024</v>
      </c>
    </row>
    <row r="128" spans="10:46" x14ac:dyDescent="0.25">
      <c r="J128" s="1">
        <v>45607</v>
      </c>
      <c r="K128" t="s">
        <v>27</v>
      </c>
      <c r="L128">
        <v>1487</v>
      </c>
      <c r="M128">
        <v>337</v>
      </c>
      <c r="N128">
        <v>87305</v>
      </c>
      <c r="O128" s="2">
        <v>2.46E-2</v>
      </c>
      <c r="P128" s="3">
        <v>30428</v>
      </c>
      <c r="Q128">
        <f>YEAR([1]!Engagement_Summary[[#This Row],[Week_Start_Date]])</f>
        <v>2024</v>
      </c>
      <c r="R128">
        <f>MONTH([1]!Engagement_Summary[[#This Row],[Week_Start_Date]])</f>
        <v>12</v>
      </c>
      <c r="S128">
        <f t="shared" si="2"/>
        <v>2</v>
      </c>
      <c r="T128">
        <f>[1]!Engagement_Summary[[#This Row],[New_Followers]]-[1]!Engagement_Summary[[#This Row],[Unfollows]]</f>
        <v>1173</v>
      </c>
      <c r="AG128" s="1">
        <v>45607</v>
      </c>
      <c r="AH128" t="s">
        <v>27</v>
      </c>
      <c r="AI128" s="2">
        <v>2.46E-2</v>
      </c>
      <c r="AJ128">
        <f>YEAR([1]!Engagement_Summary[[#This Row],[Week_Start_Date]])</f>
        <v>2024</v>
      </c>
      <c r="AK128" s="3">
        <v>30428</v>
      </c>
      <c r="AR128" s="12" t="s">
        <v>27</v>
      </c>
      <c r="AS128" s="12">
        <v>154</v>
      </c>
      <c r="AT128" s="12">
        <f>YEAR([1]!Engagement_Summary[[#This Row],[Week_Start_Date]])</f>
        <v>2024</v>
      </c>
    </row>
    <row r="129" spans="10:46" x14ac:dyDescent="0.25">
      <c r="J129" s="1">
        <v>45614</v>
      </c>
      <c r="K129" t="s">
        <v>27</v>
      </c>
      <c r="L129">
        <v>628</v>
      </c>
      <c r="M129">
        <v>183</v>
      </c>
      <c r="N129">
        <v>487523</v>
      </c>
      <c r="O129" s="2">
        <v>7.3200000000000001E-2</v>
      </c>
      <c r="P129" s="3">
        <v>5391</v>
      </c>
      <c r="Q129">
        <f>YEAR([1]!Engagement_Summary[[#This Row],[Week_Start_Date]])</f>
        <v>2024</v>
      </c>
      <c r="R129">
        <f>MONTH([1]!Engagement_Summary[[#This Row],[Week_Start_Date]])</f>
        <v>12</v>
      </c>
      <c r="S129">
        <f t="shared" si="2"/>
        <v>3</v>
      </c>
      <c r="T129">
        <f>[1]!Engagement_Summary[[#This Row],[New_Followers]]-[1]!Engagement_Summary[[#This Row],[Unfollows]]</f>
        <v>1727</v>
      </c>
      <c r="AG129" s="1">
        <v>45614</v>
      </c>
      <c r="AH129" t="s">
        <v>27</v>
      </c>
      <c r="AI129" s="2">
        <v>7.3200000000000001E-2</v>
      </c>
      <c r="AJ129">
        <f>YEAR([1]!Engagement_Summary[[#This Row],[Week_Start_Date]])</f>
        <v>2024</v>
      </c>
      <c r="AK129" s="3">
        <v>5391</v>
      </c>
      <c r="AR129" s="12" t="s">
        <v>27</v>
      </c>
      <c r="AS129" s="12">
        <v>218</v>
      </c>
      <c r="AT129" s="12">
        <f>YEAR([1]!Engagement_Summary[[#This Row],[Week_Start_Date]])</f>
        <v>2024</v>
      </c>
    </row>
    <row r="130" spans="10:46" x14ac:dyDescent="0.25">
      <c r="J130" s="1">
        <v>45621</v>
      </c>
      <c r="K130" t="s">
        <v>27</v>
      </c>
      <c r="L130">
        <v>330</v>
      </c>
      <c r="M130">
        <v>232</v>
      </c>
      <c r="N130">
        <v>88455</v>
      </c>
      <c r="O130" s="2">
        <v>2.69E-2</v>
      </c>
      <c r="P130" s="3">
        <v>39530</v>
      </c>
      <c r="Q130">
        <f>YEAR([1]!Engagement_Summary[[#This Row],[Week_Start_Date]])</f>
        <v>2024</v>
      </c>
      <c r="R130">
        <f>MONTH([1]!Engagement_Summary[[#This Row],[Week_Start_Date]])</f>
        <v>12</v>
      </c>
      <c r="S130">
        <f t="shared" si="2"/>
        <v>4</v>
      </c>
      <c r="T130">
        <f>[1]!Engagement_Summary[[#This Row],[New_Followers]]-[1]!Engagement_Summary[[#This Row],[Unfollows]]</f>
        <v>1359</v>
      </c>
      <c r="AG130" s="1">
        <v>45621</v>
      </c>
      <c r="AH130" t="s">
        <v>27</v>
      </c>
      <c r="AI130" s="2">
        <v>2.69E-2</v>
      </c>
      <c r="AJ130">
        <f>YEAR([1]!Engagement_Summary[[#This Row],[Week_Start_Date]])</f>
        <v>2024</v>
      </c>
      <c r="AK130" s="3">
        <v>39530</v>
      </c>
      <c r="AR130" s="12" t="s">
        <v>27</v>
      </c>
      <c r="AS130" s="12">
        <v>337</v>
      </c>
      <c r="AT130" s="12">
        <f>YEAR([1]!Engagement_Summary[[#This Row],[Week_Start_Date]])</f>
        <v>2024</v>
      </c>
    </row>
    <row r="131" spans="10:46" x14ac:dyDescent="0.25">
      <c r="J131" s="1">
        <v>45628</v>
      </c>
      <c r="K131" t="s">
        <v>27</v>
      </c>
      <c r="L131">
        <v>1441</v>
      </c>
      <c r="M131">
        <v>268</v>
      </c>
      <c r="N131">
        <v>309904</v>
      </c>
      <c r="O131" s="2">
        <v>6.3700000000000007E-2</v>
      </c>
      <c r="P131" s="3">
        <v>3455</v>
      </c>
      <c r="Q131">
        <f>YEAR([1]!Engagement_Summary[[#This Row],[Week_Start_Date]])</f>
        <v>2024</v>
      </c>
      <c r="R131">
        <f>MONTH([1]!Engagement_Summary[[#This Row],[Week_Start_Date]])</f>
        <v>12</v>
      </c>
      <c r="S131">
        <f t="shared" si="2"/>
        <v>1</v>
      </c>
      <c r="T131">
        <f>[1]!Engagement_Summary[[#This Row],[New_Followers]]-[1]!Engagement_Summary[[#This Row],[Unfollows]]</f>
        <v>911</v>
      </c>
      <c r="AG131" s="1">
        <v>45628</v>
      </c>
      <c r="AH131" t="s">
        <v>27</v>
      </c>
      <c r="AI131" s="2">
        <v>6.3700000000000007E-2</v>
      </c>
      <c r="AJ131">
        <f>YEAR([1]!Engagement_Summary[[#This Row],[Week_Start_Date]])</f>
        <v>2024</v>
      </c>
      <c r="AK131" s="3">
        <v>3455</v>
      </c>
      <c r="AR131" s="12" t="s">
        <v>27</v>
      </c>
      <c r="AS131" s="12">
        <v>183</v>
      </c>
      <c r="AT131" s="12">
        <f>YEAR([1]!Engagement_Summary[[#This Row],[Week_Start_Date]])</f>
        <v>2024</v>
      </c>
    </row>
    <row r="132" spans="10:46" x14ac:dyDescent="0.25">
      <c r="J132" s="1">
        <v>45635</v>
      </c>
      <c r="K132" t="s">
        <v>27</v>
      </c>
      <c r="L132">
        <v>1937</v>
      </c>
      <c r="M132">
        <v>210</v>
      </c>
      <c r="N132">
        <v>20607</v>
      </c>
      <c r="O132" s="2">
        <v>4.2000000000000003E-2</v>
      </c>
      <c r="P132" s="3">
        <v>20861</v>
      </c>
      <c r="Q132">
        <f>YEAR([1]!Engagement_Summary[[#This Row],[Week_Start_Date]])</f>
        <v>2024</v>
      </c>
      <c r="R132">
        <f>MONTH([1]!Engagement_Summary[[#This Row],[Week_Start_Date]])</f>
        <v>12</v>
      </c>
      <c r="S132">
        <f t="shared" si="2"/>
        <v>2</v>
      </c>
      <c r="T132">
        <f>[1]!Engagement_Summary[[#This Row],[New_Followers]]-[1]!Engagement_Summary[[#This Row],[Unfollows]]</f>
        <v>1529</v>
      </c>
      <c r="AG132" s="1">
        <v>45635</v>
      </c>
      <c r="AH132" t="s">
        <v>27</v>
      </c>
      <c r="AI132" s="2">
        <v>4.2000000000000003E-2</v>
      </c>
      <c r="AJ132">
        <f>YEAR([1]!Engagement_Summary[[#This Row],[Week_Start_Date]])</f>
        <v>2024</v>
      </c>
      <c r="AK132" s="3">
        <v>20861</v>
      </c>
      <c r="AR132" s="12" t="s">
        <v>27</v>
      </c>
      <c r="AS132" s="12">
        <v>232</v>
      </c>
      <c r="AT132" s="12">
        <f>YEAR([1]!Engagement_Summary[[#This Row],[Week_Start_Date]])</f>
        <v>2024</v>
      </c>
    </row>
    <row r="133" spans="10:46" x14ac:dyDescent="0.25">
      <c r="J133" s="1">
        <v>45642</v>
      </c>
      <c r="K133" t="s">
        <v>27</v>
      </c>
      <c r="L133">
        <v>1592</v>
      </c>
      <c r="M133">
        <v>233</v>
      </c>
      <c r="N133">
        <v>327183</v>
      </c>
      <c r="O133" s="2">
        <v>6.6600000000000006E-2</v>
      </c>
      <c r="P133" s="3">
        <v>13316</v>
      </c>
      <c r="Q133">
        <f>YEAR([1]!Engagement_Summary[[#This Row],[Week_Start_Date]])</f>
        <v>2025</v>
      </c>
      <c r="R133">
        <f>MONTH([1]!Engagement_Summary[[#This Row],[Week_Start_Date]])</f>
        <v>1</v>
      </c>
      <c r="S133">
        <f t="shared" ref="S133:S196" si="3" xml:space="preserve"> INT((DAY(J133)-1)/7)+1</f>
        <v>3</v>
      </c>
      <c r="T133">
        <f>[1]!Engagement_Summary[[#This Row],[New_Followers]]-[1]!Engagement_Summary[[#This Row],[Unfollows]]</f>
        <v>1188</v>
      </c>
      <c r="AG133" s="1">
        <v>45642</v>
      </c>
      <c r="AH133" t="s">
        <v>27</v>
      </c>
      <c r="AI133" s="2">
        <v>6.6600000000000006E-2</v>
      </c>
      <c r="AJ133">
        <f>YEAR([1]!Engagement_Summary[[#This Row],[Week_Start_Date]])</f>
        <v>2025</v>
      </c>
      <c r="AK133" s="3">
        <v>13316</v>
      </c>
      <c r="AR133" s="12" t="s">
        <v>27</v>
      </c>
      <c r="AS133" s="12">
        <v>268</v>
      </c>
      <c r="AT133" s="12">
        <f>YEAR([1]!Engagement_Summary[[#This Row],[Week_Start_Date]])</f>
        <v>2025</v>
      </c>
    </row>
    <row r="134" spans="10:46" x14ac:dyDescent="0.25">
      <c r="J134" s="1">
        <v>45649</v>
      </c>
      <c r="K134" t="s">
        <v>27</v>
      </c>
      <c r="L134">
        <v>1137</v>
      </c>
      <c r="M134">
        <v>226</v>
      </c>
      <c r="N134">
        <v>81119</v>
      </c>
      <c r="O134" s="2">
        <v>7.7399999999999997E-2</v>
      </c>
      <c r="P134" s="3">
        <v>35359</v>
      </c>
      <c r="Q134">
        <f>YEAR([1]!Engagement_Summary[[#This Row],[Week_Start_Date]])</f>
        <v>2025</v>
      </c>
      <c r="R134">
        <f>MONTH([1]!Engagement_Summary[[#This Row],[Week_Start_Date]])</f>
        <v>1</v>
      </c>
      <c r="S134">
        <f t="shared" si="3"/>
        <v>4</v>
      </c>
      <c r="T134">
        <f>[1]!Engagement_Summary[[#This Row],[New_Followers]]-[1]!Engagement_Summary[[#This Row],[Unfollows]]</f>
        <v>-144</v>
      </c>
      <c r="AG134" s="1">
        <v>45649</v>
      </c>
      <c r="AH134" t="s">
        <v>27</v>
      </c>
      <c r="AI134" s="2">
        <v>7.7399999999999997E-2</v>
      </c>
      <c r="AJ134">
        <f>YEAR([1]!Engagement_Summary[[#This Row],[Week_Start_Date]])</f>
        <v>2025</v>
      </c>
      <c r="AK134" s="3">
        <v>35359</v>
      </c>
      <c r="AR134" s="12" t="s">
        <v>27</v>
      </c>
      <c r="AS134" s="12">
        <v>210</v>
      </c>
      <c r="AT134" s="12">
        <f>YEAR([1]!Engagement_Summary[[#This Row],[Week_Start_Date]])</f>
        <v>2025</v>
      </c>
    </row>
    <row r="135" spans="10:46" x14ac:dyDescent="0.25">
      <c r="J135" s="1">
        <v>45656</v>
      </c>
      <c r="K135" t="s">
        <v>27</v>
      </c>
      <c r="L135">
        <v>1786</v>
      </c>
      <c r="M135">
        <v>257</v>
      </c>
      <c r="N135">
        <v>274831</v>
      </c>
      <c r="O135" s="2">
        <v>4.6799999999999994E-2</v>
      </c>
      <c r="P135" s="3">
        <v>9118</v>
      </c>
      <c r="Q135">
        <f>YEAR([1]!Engagement_Summary[[#This Row],[Week_Start_Date]])</f>
        <v>2025</v>
      </c>
      <c r="R135">
        <f>MONTH([1]!Engagement_Summary[[#This Row],[Week_Start_Date]])</f>
        <v>1</v>
      </c>
      <c r="S135">
        <f t="shared" si="3"/>
        <v>5</v>
      </c>
      <c r="T135">
        <f>[1]!Engagement_Summary[[#This Row],[New_Followers]]-[1]!Engagement_Summary[[#This Row],[Unfollows]]</f>
        <v>891</v>
      </c>
      <c r="AG135" s="1">
        <v>45656</v>
      </c>
      <c r="AH135" t="s">
        <v>27</v>
      </c>
      <c r="AI135" s="2">
        <v>4.6799999999999994E-2</v>
      </c>
      <c r="AJ135">
        <f>YEAR([1]!Engagement_Summary[[#This Row],[Week_Start_Date]])</f>
        <v>2025</v>
      </c>
      <c r="AK135" s="3">
        <v>9118</v>
      </c>
      <c r="AR135" s="12" t="s">
        <v>27</v>
      </c>
      <c r="AS135" s="12">
        <v>233</v>
      </c>
      <c r="AT135" s="12">
        <f>YEAR([1]!Engagement_Summary[[#This Row],[Week_Start_Date]])</f>
        <v>2025</v>
      </c>
    </row>
    <row r="136" spans="10:46" x14ac:dyDescent="0.25">
      <c r="J136" s="1">
        <v>45663</v>
      </c>
      <c r="K136" t="s">
        <v>27</v>
      </c>
      <c r="L136">
        <v>1633</v>
      </c>
      <c r="M136">
        <v>445</v>
      </c>
      <c r="N136">
        <v>371156</v>
      </c>
      <c r="O136" s="2">
        <v>2.2200000000000001E-2</v>
      </c>
      <c r="P136" s="3">
        <v>2798</v>
      </c>
      <c r="Q136">
        <f>YEAR([1]!Engagement_Summary[[#This Row],[Week_Start_Date]])</f>
        <v>2025</v>
      </c>
      <c r="R136">
        <f>MONTH([1]!Engagement_Summary[[#This Row],[Week_Start_Date]])</f>
        <v>1</v>
      </c>
      <c r="S136">
        <f t="shared" si="3"/>
        <v>1</v>
      </c>
      <c r="T136">
        <f>[1]!Engagement_Summary[[#This Row],[New_Followers]]-[1]!Engagement_Summary[[#This Row],[Unfollows]]</f>
        <v>1426</v>
      </c>
      <c r="AG136" s="1">
        <v>45663</v>
      </c>
      <c r="AH136" t="s">
        <v>27</v>
      </c>
      <c r="AI136" s="2">
        <v>2.2200000000000001E-2</v>
      </c>
      <c r="AJ136">
        <f>YEAR([1]!Engagement_Summary[[#This Row],[Week_Start_Date]])</f>
        <v>2025</v>
      </c>
      <c r="AK136" s="3">
        <v>2798</v>
      </c>
      <c r="AR136" s="12" t="s">
        <v>27</v>
      </c>
      <c r="AS136" s="12">
        <v>226</v>
      </c>
      <c r="AT136" s="12">
        <f>YEAR([1]!Engagement_Summary[[#This Row],[Week_Start_Date]])</f>
        <v>2025</v>
      </c>
    </row>
    <row r="137" spans="10:46" x14ac:dyDescent="0.25">
      <c r="J137" s="1">
        <v>45670</v>
      </c>
      <c r="K137" t="s">
        <v>27</v>
      </c>
      <c r="L137">
        <v>118</v>
      </c>
      <c r="M137">
        <v>262</v>
      </c>
      <c r="N137">
        <v>487896</v>
      </c>
      <c r="O137" s="2">
        <v>2.5600000000000001E-2</v>
      </c>
      <c r="P137" s="3">
        <v>12350</v>
      </c>
      <c r="Q137">
        <f>YEAR([1]!Engagement_Summary[[#This Row],[Week_Start_Date]])</f>
        <v>2025</v>
      </c>
      <c r="R137">
        <f>MONTH([1]!Engagement_Summary[[#This Row],[Week_Start_Date]])</f>
        <v>2</v>
      </c>
      <c r="S137">
        <f t="shared" si="3"/>
        <v>2</v>
      </c>
      <c r="T137">
        <f>[1]!Engagement_Summary[[#This Row],[New_Followers]]-[1]!Engagement_Summary[[#This Row],[Unfollows]]</f>
        <v>569</v>
      </c>
      <c r="AG137" s="1">
        <v>45670</v>
      </c>
      <c r="AH137" t="s">
        <v>27</v>
      </c>
      <c r="AI137" s="2">
        <v>2.5600000000000001E-2</v>
      </c>
      <c r="AJ137">
        <f>YEAR([1]!Engagement_Summary[[#This Row],[Week_Start_Date]])</f>
        <v>2025</v>
      </c>
      <c r="AK137" s="3">
        <v>12350</v>
      </c>
      <c r="AR137" s="12" t="s">
        <v>27</v>
      </c>
      <c r="AS137" s="12">
        <v>257</v>
      </c>
      <c r="AT137" s="12">
        <f>YEAR([1]!Engagement_Summary[[#This Row],[Week_Start_Date]])</f>
        <v>2025</v>
      </c>
    </row>
    <row r="138" spans="10:46" x14ac:dyDescent="0.25">
      <c r="J138" s="1">
        <v>45677</v>
      </c>
      <c r="K138" t="s">
        <v>27</v>
      </c>
      <c r="L138">
        <v>1040</v>
      </c>
      <c r="M138">
        <v>149</v>
      </c>
      <c r="N138">
        <v>124404</v>
      </c>
      <c r="O138" s="2">
        <v>5.2300000000000006E-2</v>
      </c>
      <c r="P138" s="3">
        <v>45380</v>
      </c>
      <c r="Q138">
        <f>YEAR([1]!Engagement_Summary[[#This Row],[Week_Start_Date]])</f>
        <v>2025</v>
      </c>
      <c r="R138">
        <f>MONTH([1]!Engagement_Summary[[#This Row],[Week_Start_Date]])</f>
        <v>2</v>
      </c>
      <c r="S138">
        <f t="shared" si="3"/>
        <v>3</v>
      </c>
      <c r="T138">
        <f>[1]!Engagement_Summary[[#This Row],[New_Followers]]-[1]!Engagement_Summary[[#This Row],[Unfollows]]</f>
        <v>1202</v>
      </c>
      <c r="AG138" s="1">
        <v>45677</v>
      </c>
      <c r="AH138" t="s">
        <v>27</v>
      </c>
      <c r="AI138" s="2">
        <v>5.2300000000000006E-2</v>
      </c>
      <c r="AJ138">
        <f>YEAR([1]!Engagement_Summary[[#This Row],[Week_Start_Date]])</f>
        <v>2025</v>
      </c>
      <c r="AK138" s="3">
        <v>45380</v>
      </c>
      <c r="AR138" s="12" t="s">
        <v>27</v>
      </c>
      <c r="AS138" s="12">
        <v>445</v>
      </c>
      <c r="AT138" s="12">
        <f>YEAR([1]!Engagement_Summary[[#This Row],[Week_Start_Date]])</f>
        <v>2025</v>
      </c>
    </row>
    <row r="139" spans="10:46" x14ac:dyDescent="0.25">
      <c r="J139" s="1">
        <v>45684</v>
      </c>
      <c r="K139" t="s">
        <v>27</v>
      </c>
      <c r="L139">
        <v>1501</v>
      </c>
      <c r="M139">
        <v>75</v>
      </c>
      <c r="N139">
        <v>262569</v>
      </c>
      <c r="O139" s="2">
        <v>2.0099999999999996E-2</v>
      </c>
      <c r="P139" s="3">
        <v>19119</v>
      </c>
      <c r="Q139">
        <f>YEAR([1]!Engagement_Summary[[#This Row],[Week_Start_Date]])</f>
        <v>2025</v>
      </c>
      <c r="R139">
        <f>MONTH([1]!Engagement_Summary[[#This Row],[Week_Start_Date]])</f>
        <v>2</v>
      </c>
      <c r="S139">
        <f t="shared" si="3"/>
        <v>4</v>
      </c>
      <c r="T139">
        <f>[1]!Engagement_Summary[[#This Row],[New_Followers]]-[1]!Engagement_Summary[[#This Row],[Unfollows]]</f>
        <v>-37</v>
      </c>
      <c r="AG139" s="1">
        <v>45684</v>
      </c>
      <c r="AH139" t="s">
        <v>27</v>
      </c>
      <c r="AI139" s="2">
        <v>2.0099999999999996E-2</v>
      </c>
      <c r="AJ139">
        <f>YEAR([1]!Engagement_Summary[[#This Row],[Week_Start_Date]])</f>
        <v>2025</v>
      </c>
      <c r="AK139" s="3">
        <v>19119</v>
      </c>
      <c r="AR139" s="12" t="s">
        <v>27</v>
      </c>
      <c r="AS139" s="12">
        <v>262</v>
      </c>
      <c r="AT139" s="12">
        <f>YEAR([1]!Engagement_Summary[[#This Row],[Week_Start_Date]])</f>
        <v>2025</v>
      </c>
    </row>
    <row r="140" spans="10:46" x14ac:dyDescent="0.25">
      <c r="J140" s="1">
        <v>45691</v>
      </c>
      <c r="K140" t="s">
        <v>27</v>
      </c>
      <c r="L140">
        <v>927</v>
      </c>
      <c r="M140">
        <v>358</v>
      </c>
      <c r="N140">
        <v>177554</v>
      </c>
      <c r="O140" s="2">
        <v>6.9500000000000006E-2</v>
      </c>
      <c r="P140" s="3">
        <v>48270</v>
      </c>
      <c r="Q140">
        <f>YEAR([1]!Engagement_Summary[[#This Row],[Week_Start_Date]])</f>
        <v>2025</v>
      </c>
      <c r="R140">
        <f>MONTH([1]!Engagement_Summary[[#This Row],[Week_Start_Date]])</f>
        <v>2</v>
      </c>
      <c r="S140">
        <f t="shared" si="3"/>
        <v>1</v>
      </c>
      <c r="T140">
        <f>[1]!Engagement_Summary[[#This Row],[New_Followers]]-[1]!Engagement_Summary[[#This Row],[Unfollows]]</f>
        <v>708</v>
      </c>
      <c r="AG140" s="1">
        <v>45691</v>
      </c>
      <c r="AH140" t="s">
        <v>27</v>
      </c>
      <c r="AI140" s="2">
        <v>6.9500000000000006E-2</v>
      </c>
      <c r="AJ140">
        <f>YEAR([1]!Engagement_Summary[[#This Row],[Week_Start_Date]])</f>
        <v>2025</v>
      </c>
      <c r="AK140" s="3">
        <v>48270</v>
      </c>
      <c r="AR140" s="12" t="s">
        <v>27</v>
      </c>
      <c r="AS140" s="12">
        <v>149</v>
      </c>
      <c r="AT140" s="12">
        <f>YEAR([1]!Engagement_Summary[[#This Row],[Week_Start_Date]])</f>
        <v>2025</v>
      </c>
    </row>
    <row r="141" spans="10:46" x14ac:dyDescent="0.25">
      <c r="J141" s="1">
        <v>45698</v>
      </c>
      <c r="K141" t="s">
        <v>27</v>
      </c>
      <c r="L141">
        <v>1587</v>
      </c>
      <c r="M141">
        <v>385</v>
      </c>
      <c r="N141">
        <v>126582</v>
      </c>
      <c r="O141" s="2">
        <v>6.9900000000000004E-2</v>
      </c>
      <c r="P141" s="3">
        <v>42832</v>
      </c>
      <c r="Q141">
        <f>YEAR([1]!Engagement_Summary[[#This Row],[Week_Start_Date]])</f>
        <v>2025</v>
      </c>
      <c r="R141">
        <f>MONTH([1]!Engagement_Summary[[#This Row],[Week_Start_Date]])</f>
        <v>3</v>
      </c>
      <c r="S141">
        <f t="shared" si="3"/>
        <v>2</v>
      </c>
      <c r="T141">
        <f>[1]!Engagement_Summary[[#This Row],[New_Followers]]-[1]!Engagement_Summary[[#This Row],[Unfollows]]</f>
        <v>899</v>
      </c>
      <c r="AG141" s="1">
        <v>45698</v>
      </c>
      <c r="AH141" t="s">
        <v>27</v>
      </c>
      <c r="AI141" s="2">
        <v>6.9900000000000004E-2</v>
      </c>
      <c r="AJ141">
        <f>YEAR([1]!Engagement_Summary[[#This Row],[Week_Start_Date]])</f>
        <v>2025</v>
      </c>
      <c r="AK141" s="3">
        <v>42832</v>
      </c>
      <c r="AR141" s="12" t="s">
        <v>27</v>
      </c>
      <c r="AS141" s="12">
        <v>75</v>
      </c>
      <c r="AT141" s="12">
        <f>YEAR([1]!Engagement_Summary[[#This Row],[Week_Start_Date]])</f>
        <v>2025</v>
      </c>
    </row>
    <row r="142" spans="10:46" x14ac:dyDescent="0.25">
      <c r="J142" s="1">
        <v>45705</v>
      </c>
      <c r="K142" t="s">
        <v>27</v>
      </c>
      <c r="L142">
        <v>362</v>
      </c>
      <c r="M142">
        <v>399</v>
      </c>
      <c r="N142">
        <v>145608</v>
      </c>
      <c r="O142" s="2">
        <v>7.2999999999999995E-2</v>
      </c>
      <c r="P142" s="3">
        <v>37636</v>
      </c>
      <c r="Q142">
        <f>YEAR([1]!Engagement_Summary[[#This Row],[Week_Start_Date]])</f>
        <v>2025</v>
      </c>
      <c r="R142">
        <f>MONTH([1]!Engagement_Summary[[#This Row],[Week_Start_Date]])</f>
        <v>3</v>
      </c>
      <c r="S142">
        <f t="shared" si="3"/>
        <v>3</v>
      </c>
      <c r="T142">
        <f>[1]!Engagement_Summary[[#This Row],[New_Followers]]-[1]!Engagement_Summary[[#This Row],[Unfollows]]</f>
        <v>1350</v>
      </c>
      <c r="AG142" s="1">
        <v>45705</v>
      </c>
      <c r="AH142" t="s">
        <v>27</v>
      </c>
      <c r="AI142" s="2">
        <v>7.2999999999999995E-2</v>
      </c>
      <c r="AJ142">
        <f>YEAR([1]!Engagement_Summary[[#This Row],[Week_Start_Date]])</f>
        <v>2025</v>
      </c>
      <c r="AK142" s="3">
        <v>37636</v>
      </c>
      <c r="AR142" s="12" t="s">
        <v>27</v>
      </c>
      <c r="AS142" s="12">
        <v>358</v>
      </c>
      <c r="AT142" s="12">
        <f>YEAR([1]!Engagement_Summary[[#This Row],[Week_Start_Date]])</f>
        <v>2025</v>
      </c>
    </row>
    <row r="143" spans="10:46" x14ac:dyDescent="0.25">
      <c r="J143" s="1">
        <v>45712</v>
      </c>
      <c r="K143" t="s">
        <v>27</v>
      </c>
      <c r="L143">
        <v>861</v>
      </c>
      <c r="M143">
        <v>153</v>
      </c>
      <c r="N143">
        <v>317007</v>
      </c>
      <c r="O143" s="2">
        <v>3.85E-2</v>
      </c>
      <c r="P143" s="3">
        <v>8718</v>
      </c>
      <c r="Q143">
        <f>YEAR([1]!Engagement_Summary[[#This Row],[Week_Start_Date]])</f>
        <v>2025</v>
      </c>
      <c r="R143">
        <f>MONTH([1]!Engagement_Summary[[#This Row],[Week_Start_Date]])</f>
        <v>3</v>
      </c>
      <c r="S143">
        <f t="shared" si="3"/>
        <v>4</v>
      </c>
      <c r="T143">
        <f>[1]!Engagement_Summary[[#This Row],[New_Followers]]-[1]!Engagement_Summary[[#This Row],[Unfollows]]</f>
        <v>861</v>
      </c>
      <c r="AG143" s="1">
        <v>45712</v>
      </c>
      <c r="AH143" t="s">
        <v>27</v>
      </c>
      <c r="AI143" s="2">
        <v>3.85E-2</v>
      </c>
      <c r="AJ143">
        <f>YEAR([1]!Engagement_Summary[[#This Row],[Week_Start_Date]])</f>
        <v>2025</v>
      </c>
      <c r="AK143" s="3">
        <v>8718</v>
      </c>
      <c r="AR143" s="12" t="s">
        <v>27</v>
      </c>
      <c r="AS143" s="12">
        <v>385</v>
      </c>
      <c r="AT143" s="12">
        <f>YEAR([1]!Engagement_Summary[[#This Row],[Week_Start_Date]])</f>
        <v>2025</v>
      </c>
    </row>
    <row r="144" spans="10:46" x14ac:dyDescent="0.25">
      <c r="J144" s="1">
        <v>45719</v>
      </c>
      <c r="K144" t="s">
        <v>27</v>
      </c>
      <c r="L144">
        <v>946</v>
      </c>
      <c r="M144">
        <v>47</v>
      </c>
      <c r="N144">
        <v>466575</v>
      </c>
      <c r="O144" s="2">
        <v>8.3299999999999999E-2</v>
      </c>
      <c r="P144" s="3">
        <v>10002</v>
      </c>
      <c r="Q144">
        <f>YEAR([1]!Engagement_Summary[[#This Row],[Week_Start_Date]])</f>
        <v>2025</v>
      </c>
      <c r="R144">
        <f>MONTH([1]!Engagement_Summary[[#This Row],[Week_Start_Date]])</f>
        <v>3</v>
      </c>
      <c r="S144">
        <f t="shared" si="3"/>
        <v>1</v>
      </c>
      <c r="T144">
        <f>[1]!Engagement_Summary[[#This Row],[New_Followers]]-[1]!Engagement_Summary[[#This Row],[Unfollows]]</f>
        <v>292</v>
      </c>
      <c r="AG144" s="1">
        <v>45719</v>
      </c>
      <c r="AH144" t="s">
        <v>27</v>
      </c>
      <c r="AI144" s="2">
        <v>8.3299999999999999E-2</v>
      </c>
      <c r="AJ144">
        <f>YEAR([1]!Engagement_Summary[[#This Row],[Week_Start_Date]])</f>
        <v>2025</v>
      </c>
      <c r="AK144" s="3">
        <v>10002</v>
      </c>
      <c r="AR144" s="12" t="s">
        <v>27</v>
      </c>
      <c r="AS144" s="12">
        <v>399</v>
      </c>
      <c r="AT144" s="12">
        <f>YEAR([1]!Engagement_Summary[[#This Row],[Week_Start_Date]])</f>
        <v>2025</v>
      </c>
    </row>
    <row r="145" spans="10:46" x14ac:dyDescent="0.25">
      <c r="J145" s="1">
        <v>45726</v>
      </c>
      <c r="K145" t="s">
        <v>27</v>
      </c>
      <c r="L145">
        <v>1399</v>
      </c>
      <c r="M145">
        <v>49</v>
      </c>
      <c r="N145">
        <v>12471</v>
      </c>
      <c r="O145" s="2">
        <v>5.1200000000000002E-2</v>
      </c>
      <c r="P145" s="3">
        <v>14722</v>
      </c>
      <c r="Q145">
        <f>YEAR([1]!Engagement_Summary[[#This Row],[Week_Start_Date]])</f>
        <v>2025</v>
      </c>
      <c r="R145">
        <f>MONTH([1]!Engagement_Summary[[#This Row],[Week_Start_Date]])</f>
        <v>3</v>
      </c>
      <c r="S145">
        <f t="shared" si="3"/>
        <v>2</v>
      </c>
      <c r="T145">
        <f>[1]!Engagement_Summary[[#This Row],[New_Followers]]-[1]!Engagement_Summary[[#This Row],[Unfollows]]</f>
        <v>1676</v>
      </c>
      <c r="AG145" s="1">
        <v>45726</v>
      </c>
      <c r="AH145" t="s">
        <v>27</v>
      </c>
      <c r="AI145" s="2">
        <v>5.1200000000000002E-2</v>
      </c>
      <c r="AJ145">
        <f>YEAR([1]!Engagement_Summary[[#This Row],[Week_Start_Date]])</f>
        <v>2025</v>
      </c>
      <c r="AK145" s="3">
        <v>14722</v>
      </c>
      <c r="AR145" s="12" t="s">
        <v>27</v>
      </c>
      <c r="AS145" s="12">
        <v>153</v>
      </c>
      <c r="AT145" s="12">
        <f>YEAR([1]!Engagement_Summary[[#This Row],[Week_Start_Date]])</f>
        <v>2025</v>
      </c>
    </row>
    <row r="146" spans="10:46" x14ac:dyDescent="0.25">
      <c r="J146" s="1">
        <v>45733</v>
      </c>
      <c r="K146" t="s">
        <v>27</v>
      </c>
      <c r="L146">
        <v>1077</v>
      </c>
      <c r="M146">
        <v>216</v>
      </c>
      <c r="N146">
        <v>12447</v>
      </c>
      <c r="O146" s="2">
        <v>1.8000000000000002E-2</v>
      </c>
      <c r="P146" s="3">
        <v>14068</v>
      </c>
      <c r="Q146">
        <f>YEAR([1]!Engagement_Summary[[#This Row],[Week_Start_Date]])</f>
        <v>2025</v>
      </c>
      <c r="R146">
        <f>MONTH([1]!Engagement_Summary[[#This Row],[Week_Start_Date]])</f>
        <v>4</v>
      </c>
      <c r="S146">
        <f t="shared" si="3"/>
        <v>3</v>
      </c>
      <c r="T146">
        <f>[1]!Engagement_Summary[[#This Row],[New_Followers]]-[1]!Engagement_Summary[[#This Row],[Unfollows]]</f>
        <v>1007</v>
      </c>
      <c r="AG146" s="1">
        <v>45733</v>
      </c>
      <c r="AH146" t="s">
        <v>27</v>
      </c>
      <c r="AI146" s="2">
        <v>1.8000000000000002E-2</v>
      </c>
      <c r="AJ146">
        <f>YEAR([1]!Engagement_Summary[[#This Row],[Week_Start_Date]])</f>
        <v>2025</v>
      </c>
      <c r="AK146" s="3">
        <v>14068</v>
      </c>
      <c r="AR146" s="12" t="s">
        <v>27</v>
      </c>
      <c r="AS146" s="12">
        <v>47</v>
      </c>
      <c r="AT146" s="12">
        <f>YEAR([1]!Engagement_Summary[[#This Row],[Week_Start_Date]])</f>
        <v>2025</v>
      </c>
    </row>
    <row r="147" spans="10:46" x14ac:dyDescent="0.25">
      <c r="J147" s="1">
        <v>45740</v>
      </c>
      <c r="K147" t="s">
        <v>27</v>
      </c>
      <c r="L147">
        <v>364</v>
      </c>
      <c r="M147">
        <v>72</v>
      </c>
      <c r="N147">
        <v>211090</v>
      </c>
      <c r="O147" s="2">
        <v>5.5300000000000002E-2</v>
      </c>
      <c r="P147" s="3">
        <v>21061</v>
      </c>
      <c r="Q147">
        <f>YEAR([1]!Engagement_Summary[[#This Row],[Week_Start_Date]])</f>
        <v>2025</v>
      </c>
      <c r="R147">
        <f>MONTH([1]!Engagement_Summary[[#This Row],[Week_Start_Date]])</f>
        <v>4</v>
      </c>
      <c r="S147">
        <f t="shared" si="3"/>
        <v>4</v>
      </c>
      <c r="T147">
        <f>[1]!Engagement_Summary[[#This Row],[New_Followers]]-[1]!Engagement_Summary[[#This Row],[Unfollows]]</f>
        <v>53</v>
      </c>
      <c r="AG147" s="1">
        <v>45740</v>
      </c>
      <c r="AH147" t="s">
        <v>27</v>
      </c>
      <c r="AI147" s="2">
        <v>5.5300000000000002E-2</v>
      </c>
      <c r="AJ147">
        <f>YEAR([1]!Engagement_Summary[[#This Row],[Week_Start_Date]])</f>
        <v>2025</v>
      </c>
      <c r="AK147" s="3">
        <v>21061</v>
      </c>
      <c r="AR147" s="12" t="s">
        <v>27</v>
      </c>
      <c r="AS147" s="12">
        <v>49</v>
      </c>
      <c r="AT147" s="12">
        <f>YEAR([1]!Engagement_Summary[[#This Row],[Week_Start_Date]])</f>
        <v>2025</v>
      </c>
    </row>
    <row r="148" spans="10:46" x14ac:dyDescent="0.25">
      <c r="J148" s="1">
        <v>45747</v>
      </c>
      <c r="K148" t="s">
        <v>27</v>
      </c>
      <c r="L148">
        <v>1946</v>
      </c>
      <c r="M148">
        <v>270</v>
      </c>
      <c r="N148">
        <v>198350</v>
      </c>
      <c r="O148" s="2">
        <v>7.4999999999999997E-2</v>
      </c>
      <c r="P148" s="3">
        <v>11805</v>
      </c>
      <c r="Q148">
        <f>YEAR([1]!Engagement_Summary[[#This Row],[Week_Start_Date]])</f>
        <v>2025</v>
      </c>
      <c r="R148">
        <f>MONTH([1]!Engagement_Summary[[#This Row],[Week_Start_Date]])</f>
        <v>4</v>
      </c>
      <c r="S148">
        <f t="shared" si="3"/>
        <v>5</v>
      </c>
      <c r="T148">
        <f>[1]!Engagement_Summary[[#This Row],[New_Followers]]-[1]!Engagement_Summary[[#This Row],[Unfollows]]</f>
        <v>759</v>
      </c>
      <c r="AG148" s="1">
        <v>45747</v>
      </c>
      <c r="AH148" t="s">
        <v>27</v>
      </c>
      <c r="AI148" s="2">
        <v>7.4999999999999997E-2</v>
      </c>
      <c r="AJ148">
        <f>YEAR([1]!Engagement_Summary[[#This Row],[Week_Start_Date]])</f>
        <v>2025</v>
      </c>
      <c r="AK148" s="3">
        <v>11805</v>
      </c>
      <c r="AR148" s="12" t="s">
        <v>27</v>
      </c>
      <c r="AS148" s="12">
        <v>216</v>
      </c>
      <c r="AT148" s="12">
        <f>YEAR([1]!Engagement_Summary[[#This Row],[Week_Start_Date]])</f>
        <v>2025</v>
      </c>
    </row>
    <row r="149" spans="10:46" x14ac:dyDescent="0.25">
      <c r="J149" s="1">
        <v>45754</v>
      </c>
      <c r="K149" t="s">
        <v>27</v>
      </c>
      <c r="L149">
        <v>1432</v>
      </c>
      <c r="M149">
        <v>425</v>
      </c>
      <c r="N149">
        <v>29589</v>
      </c>
      <c r="O149" s="2">
        <v>4.4999999999999998E-2</v>
      </c>
      <c r="P149" s="3">
        <v>42964</v>
      </c>
      <c r="Q149">
        <f>YEAR([1]!Engagement_Summary[[#This Row],[Week_Start_Date]])</f>
        <v>2025</v>
      </c>
      <c r="R149">
        <f>MONTH([1]!Engagement_Summary[[#This Row],[Week_Start_Date]])</f>
        <v>4</v>
      </c>
      <c r="S149">
        <f t="shared" si="3"/>
        <v>1</v>
      </c>
      <c r="T149">
        <f>[1]!Engagement_Summary[[#This Row],[New_Followers]]-[1]!Engagement_Summary[[#This Row],[Unfollows]]</f>
        <v>948</v>
      </c>
      <c r="AG149" s="1">
        <v>45754</v>
      </c>
      <c r="AH149" t="s">
        <v>27</v>
      </c>
      <c r="AI149" s="2">
        <v>4.4999999999999998E-2</v>
      </c>
      <c r="AJ149">
        <f>YEAR([1]!Engagement_Summary[[#This Row],[Week_Start_Date]])</f>
        <v>2025</v>
      </c>
      <c r="AK149" s="3">
        <v>42964</v>
      </c>
      <c r="AR149" s="12" t="s">
        <v>27</v>
      </c>
      <c r="AS149" s="12">
        <v>72</v>
      </c>
      <c r="AT149" s="12">
        <f>YEAR([1]!Engagement_Summary[[#This Row],[Week_Start_Date]])</f>
        <v>2025</v>
      </c>
    </row>
    <row r="150" spans="10:46" x14ac:dyDescent="0.25">
      <c r="J150" s="1">
        <v>45761</v>
      </c>
      <c r="K150" t="s">
        <v>27</v>
      </c>
      <c r="L150">
        <v>353</v>
      </c>
      <c r="M150">
        <v>300</v>
      </c>
      <c r="N150">
        <v>142507</v>
      </c>
      <c r="O150" s="2">
        <v>5.2999999999999999E-2</v>
      </c>
      <c r="P150" s="3">
        <v>11035</v>
      </c>
      <c r="Q150">
        <f>YEAR([1]!Engagement_Summary[[#This Row],[Week_Start_Date]])</f>
        <v>2025</v>
      </c>
      <c r="R150">
        <f>MONTH([1]!Engagement_Summary[[#This Row],[Week_Start_Date]])</f>
        <v>5</v>
      </c>
      <c r="S150">
        <f t="shared" si="3"/>
        <v>2</v>
      </c>
      <c r="T150">
        <f>[1]!Engagement_Summary[[#This Row],[New_Followers]]-[1]!Engagement_Summary[[#This Row],[Unfollows]]</f>
        <v>1510</v>
      </c>
      <c r="AG150" s="1">
        <v>45761</v>
      </c>
      <c r="AH150" t="s">
        <v>27</v>
      </c>
      <c r="AI150" s="2">
        <v>5.2999999999999999E-2</v>
      </c>
      <c r="AJ150">
        <f>YEAR([1]!Engagement_Summary[[#This Row],[Week_Start_Date]])</f>
        <v>2025</v>
      </c>
      <c r="AK150" s="3">
        <v>11035</v>
      </c>
      <c r="AR150" s="12" t="s">
        <v>27</v>
      </c>
      <c r="AS150" s="12">
        <v>270</v>
      </c>
      <c r="AT150" s="12">
        <f>YEAR([1]!Engagement_Summary[[#This Row],[Week_Start_Date]])</f>
        <v>2025</v>
      </c>
    </row>
    <row r="151" spans="10:46" x14ac:dyDescent="0.25">
      <c r="J151" s="1">
        <v>45768</v>
      </c>
      <c r="K151" t="s">
        <v>27</v>
      </c>
      <c r="L151">
        <v>1147</v>
      </c>
      <c r="M151">
        <v>388</v>
      </c>
      <c r="N151">
        <v>333851</v>
      </c>
      <c r="O151" s="2">
        <v>2.4399999999999998E-2</v>
      </c>
      <c r="P151" s="3">
        <v>8471</v>
      </c>
      <c r="Q151">
        <f>YEAR([1]!Engagement_Summary[[#This Row],[Week_Start_Date]])</f>
        <v>2025</v>
      </c>
      <c r="R151">
        <f>MONTH([1]!Engagement_Summary[[#This Row],[Week_Start_Date]])</f>
        <v>5</v>
      </c>
      <c r="S151">
        <f t="shared" si="3"/>
        <v>3</v>
      </c>
      <c r="T151">
        <f>[1]!Engagement_Summary[[#This Row],[New_Followers]]-[1]!Engagement_Summary[[#This Row],[Unfollows]]</f>
        <v>269</v>
      </c>
      <c r="AG151" s="1">
        <v>45768</v>
      </c>
      <c r="AH151" t="s">
        <v>27</v>
      </c>
      <c r="AI151" s="2">
        <v>2.4399999999999998E-2</v>
      </c>
      <c r="AJ151">
        <f>YEAR([1]!Engagement_Summary[[#This Row],[Week_Start_Date]])</f>
        <v>2025</v>
      </c>
      <c r="AK151" s="3">
        <v>8471</v>
      </c>
      <c r="AR151" s="12" t="s">
        <v>27</v>
      </c>
      <c r="AS151" s="12">
        <v>425</v>
      </c>
      <c r="AT151" s="12">
        <f>YEAR([1]!Engagement_Summary[[#This Row],[Week_Start_Date]])</f>
        <v>2025</v>
      </c>
    </row>
    <row r="152" spans="10:46" x14ac:dyDescent="0.25">
      <c r="J152" s="1">
        <v>45775</v>
      </c>
      <c r="K152" t="s">
        <v>27</v>
      </c>
      <c r="L152">
        <v>1222</v>
      </c>
      <c r="M152">
        <v>274</v>
      </c>
      <c r="N152">
        <v>487289</v>
      </c>
      <c r="O152" s="2">
        <v>3.1600000000000003E-2</v>
      </c>
      <c r="P152" s="3">
        <v>32500</v>
      </c>
      <c r="Q152">
        <f>YEAR([1]!Engagement_Summary[[#This Row],[Week_Start_Date]])</f>
        <v>2024</v>
      </c>
      <c r="R152">
        <f>MONTH([1]!Engagement_Summary[[#This Row],[Week_Start_Date]])</f>
        <v>6</v>
      </c>
      <c r="S152">
        <f t="shared" si="3"/>
        <v>4</v>
      </c>
      <c r="T152">
        <f>[1]!Engagement_Summary[[#This Row],[New_Followers]]-[1]!Engagement_Summary[[#This Row],[Unfollows]]</f>
        <v>1090</v>
      </c>
      <c r="AG152" s="1">
        <v>45775</v>
      </c>
      <c r="AH152" t="s">
        <v>27</v>
      </c>
      <c r="AI152" s="2">
        <v>3.1600000000000003E-2</v>
      </c>
      <c r="AJ152">
        <f>YEAR([1]!Engagement_Summary[[#This Row],[Week_Start_Date]])</f>
        <v>2024</v>
      </c>
      <c r="AK152" s="3">
        <v>32500</v>
      </c>
      <c r="AR152" s="12" t="s">
        <v>27</v>
      </c>
      <c r="AS152" s="12">
        <v>300</v>
      </c>
      <c r="AT152" s="12">
        <f>YEAR([1]!Engagement_Summary[[#This Row],[Week_Start_Date]])</f>
        <v>2024</v>
      </c>
    </row>
    <row r="153" spans="10:46" x14ac:dyDescent="0.25">
      <c r="J153" s="1">
        <v>45782</v>
      </c>
      <c r="K153" t="s">
        <v>27</v>
      </c>
      <c r="L153">
        <v>1581</v>
      </c>
      <c r="M153">
        <v>71</v>
      </c>
      <c r="N153">
        <v>484364</v>
      </c>
      <c r="O153" s="2">
        <v>3.5499999999999997E-2</v>
      </c>
      <c r="P153" s="3">
        <v>16149</v>
      </c>
      <c r="Q153">
        <f>YEAR([1]!Engagement_Summary[[#This Row],[Week_Start_Date]])</f>
        <v>2024</v>
      </c>
      <c r="R153">
        <f>MONTH([1]!Engagement_Summary[[#This Row],[Week_Start_Date]])</f>
        <v>6</v>
      </c>
      <c r="S153">
        <f t="shared" si="3"/>
        <v>1</v>
      </c>
      <c r="T153">
        <f>[1]!Engagement_Summary[[#This Row],[New_Followers]]-[1]!Engagement_Summary[[#This Row],[Unfollows]]</f>
        <v>994</v>
      </c>
      <c r="AG153" s="1">
        <v>45782</v>
      </c>
      <c r="AH153" t="s">
        <v>27</v>
      </c>
      <c r="AI153" s="2">
        <v>3.5499999999999997E-2</v>
      </c>
      <c r="AJ153">
        <f>YEAR([1]!Engagement_Summary[[#This Row],[Week_Start_Date]])</f>
        <v>2024</v>
      </c>
      <c r="AK153" s="3">
        <v>16149</v>
      </c>
      <c r="AR153" s="12" t="s">
        <v>27</v>
      </c>
      <c r="AS153" s="12">
        <v>388</v>
      </c>
      <c r="AT153" s="12">
        <f>YEAR([1]!Engagement_Summary[[#This Row],[Week_Start_Date]])</f>
        <v>2024</v>
      </c>
    </row>
    <row r="154" spans="10:46" x14ac:dyDescent="0.25">
      <c r="J154" s="1">
        <v>45789</v>
      </c>
      <c r="K154" t="s">
        <v>27</v>
      </c>
      <c r="L154">
        <v>337</v>
      </c>
      <c r="M154">
        <v>68</v>
      </c>
      <c r="N154">
        <v>456298</v>
      </c>
      <c r="O154" s="2">
        <v>7.5700000000000003E-2</v>
      </c>
      <c r="P154" s="3">
        <v>4007</v>
      </c>
      <c r="Q154">
        <f>YEAR([1]!Engagement_Summary[[#This Row],[Week_Start_Date]])</f>
        <v>2024</v>
      </c>
      <c r="R154">
        <f>MONTH([1]!Engagement_Summary[[#This Row],[Week_Start_Date]])</f>
        <v>6</v>
      </c>
      <c r="S154">
        <f t="shared" si="3"/>
        <v>2</v>
      </c>
      <c r="T154">
        <f>[1]!Engagement_Summary[[#This Row],[New_Followers]]-[1]!Engagement_Summary[[#This Row],[Unfollows]]</f>
        <v>337</v>
      </c>
      <c r="AG154" s="1">
        <v>45789</v>
      </c>
      <c r="AH154" t="s">
        <v>27</v>
      </c>
      <c r="AI154" s="2">
        <v>7.5700000000000003E-2</v>
      </c>
      <c r="AJ154">
        <f>YEAR([1]!Engagement_Summary[[#This Row],[Week_Start_Date]])</f>
        <v>2024</v>
      </c>
      <c r="AK154" s="3">
        <v>4007</v>
      </c>
      <c r="AR154" s="12" t="s">
        <v>27</v>
      </c>
      <c r="AS154" s="12">
        <v>274</v>
      </c>
      <c r="AT154" s="12">
        <f>YEAR([1]!Engagement_Summary[[#This Row],[Week_Start_Date]])</f>
        <v>2024</v>
      </c>
    </row>
    <row r="155" spans="10:46" x14ac:dyDescent="0.25">
      <c r="J155" s="1">
        <v>45446</v>
      </c>
      <c r="K155" t="s">
        <v>30</v>
      </c>
      <c r="L155">
        <v>1535</v>
      </c>
      <c r="M155">
        <v>445</v>
      </c>
      <c r="N155">
        <v>395536</v>
      </c>
      <c r="O155" s="2">
        <v>4.1100000000000005E-2</v>
      </c>
      <c r="P155" s="3">
        <v>30671</v>
      </c>
      <c r="Q155">
        <f>YEAR([1]!Engagement_Summary[[#This Row],[Week_Start_Date]])</f>
        <v>2024</v>
      </c>
      <c r="R155">
        <f>MONTH([1]!Engagement_Summary[[#This Row],[Week_Start_Date]])</f>
        <v>6</v>
      </c>
      <c r="S155">
        <f t="shared" si="3"/>
        <v>1</v>
      </c>
      <c r="T155">
        <f>[1]!Engagement_Summary[[#This Row],[New_Followers]]-[1]!Engagement_Summary[[#This Row],[Unfollows]]</f>
        <v>-123</v>
      </c>
      <c r="AG155" s="1">
        <v>45446</v>
      </c>
      <c r="AH155" t="s">
        <v>30</v>
      </c>
      <c r="AI155" s="2">
        <v>4.1100000000000005E-2</v>
      </c>
      <c r="AJ155">
        <f>YEAR([1]!Engagement_Summary[[#This Row],[Week_Start_Date]])</f>
        <v>2024</v>
      </c>
      <c r="AK155" s="3">
        <v>30671</v>
      </c>
      <c r="AR155" s="12" t="s">
        <v>27</v>
      </c>
      <c r="AS155" s="12">
        <v>71</v>
      </c>
      <c r="AT155" s="12">
        <f>YEAR([1]!Engagement_Summary[[#This Row],[Week_Start_Date]])</f>
        <v>2024</v>
      </c>
    </row>
    <row r="156" spans="10:46" x14ac:dyDescent="0.25">
      <c r="J156" s="1">
        <v>45453</v>
      </c>
      <c r="K156" t="s">
        <v>30</v>
      </c>
      <c r="L156">
        <v>1197</v>
      </c>
      <c r="M156">
        <v>203</v>
      </c>
      <c r="N156">
        <v>413878</v>
      </c>
      <c r="O156" s="2">
        <v>3.1600000000000003E-2</v>
      </c>
      <c r="P156" s="3">
        <v>21205</v>
      </c>
      <c r="Q156">
        <f>YEAR([1]!Engagement_Summary[[#This Row],[Week_Start_Date]])</f>
        <v>2024</v>
      </c>
      <c r="R156">
        <f>MONTH([1]!Engagement_Summary[[#This Row],[Week_Start_Date]])</f>
        <v>7</v>
      </c>
      <c r="S156">
        <f t="shared" si="3"/>
        <v>2</v>
      </c>
      <c r="T156">
        <f>[1]!Engagement_Summary[[#This Row],[New_Followers]]-[1]!Engagement_Summary[[#This Row],[Unfollows]]</f>
        <v>91</v>
      </c>
      <c r="AG156" s="1">
        <v>45453</v>
      </c>
      <c r="AH156" t="s">
        <v>30</v>
      </c>
      <c r="AI156" s="2">
        <v>3.1600000000000003E-2</v>
      </c>
      <c r="AJ156">
        <f>YEAR([1]!Engagement_Summary[[#This Row],[Week_Start_Date]])</f>
        <v>2024</v>
      </c>
      <c r="AK156" s="3">
        <v>21205</v>
      </c>
      <c r="AR156" s="12" t="s">
        <v>27</v>
      </c>
      <c r="AS156" s="12">
        <v>68</v>
      </c>
      <c r="AT156" s="12">
        <f>YEAR([1]!Engagement_Summary[[#This Row],[Week_Start_Date]])</f>
        <v>2024</v>
      </c>
    </row>
    <row r="157" spans="10:46" x14ac:dyDescent="0.25">
      <c r="J157" s="1">
        <v>45460</v>
      </c>
      <c r="K157" t="s">
        <v>30</v>
      </c>
      <c r="L157">
        <v>403</v>
      </c>
      <c r="M157">
        <v>66</v>
      </c>
      <c r="N157">
        <v>382851</v>
      </c>
      <c r="O157" s="2">
        <v>3.49E-2</v>
      </c>
      <c r="P157" s="3">
        <v>24313</v>
      </c>
      <c r="Q157">
        <f>YEAR([1]!Engagement_Summary[[#This Row],[Week_Start_Date]])</f>
        <v>2024</v>
      </c>
      <c r="R157">
        <f>MONTH([1]!Engagement_Summary[[#This Row],[Week_Start_Date]])</f>
        <v>7</v>
      </c>
      <c r="S157">
        <f t="shared" si="3"/>
        <v>3</v>
      </c>
      <c r="T157">
        <f>[1]!Engagement_Summary[[#This Row],[New_Followers]]-[1]!Engagement_Summary[[#This Row],[Unfollows]]</f>
        <v>514</v>
      </c>
      <c r="AG157" s="1">
        <v>45460</v>
      </c>
      <c r="AH157" t="s">
        <v>30</v>
      </c>
      <c r="AI157" s="2">
        <v>3.49E-2</v>
      </c>
      <c r="AJ157">
        <f>YEAR([1]!Engagement_Summary[[#This Row],[Week_Start_Date]])</f>
        <v>2024</v>
      </c>
      <c r="AK157" s="3">
        <v>24313</v>
      </c>
      <c r="AR157" s="12" t="s">
        <v>30</v>
      </c>
      <c r="AS157" s="12">
        <v>445</v>
      </c>
      <c r="AT157" s="12">
        <f>YEAR([1]!Engagement_Summary[[#This Row],[Week_Start_Date]])</f>
        <v>2024</v>
      </c>
    </row>
    <row r="158" spans="10:46" x14ac:dyDescent="0.25">
      <c r="J158" s="1">
        <v>45467</v>
      </c>
      <c r="K158" t="s">
        <v>30</v>
      </c>
      <c r="L158">
        <v>308</v>
      </c>
      <c r="M158">
        <v>431</v>
      </c>
      <c r="N158">
        <v>426184</v>
      </c>
      <c r="O158" s="2">
        <v>2.6200000000000001E-2</v>
      </c>
      <c r="P158" s="3">
        <v>1783</v>
      </c>
      <c r="Q158">
        <f>YEAR([1]!Engagement_Summary[[#This Row],[Week_Start_Date]])</f>
        <v>2024</v>
      </c>
      <c r="R158">
        <f>MONTH([1]!Engagement_Summary[[#This Row],[Week_Start_Date]])</f>
        <v>7</v>
      </c>
      <c r="S158">
        <f t="shared" si="3"/>
        <v>4</v>
      </c>
      <c r="T158">
        <f>[1]!Engagement_Summary[[#This Row],[New_Followers]]-[1]!Engagement_Summary[[#This Row],[Unfollows]]</f>
        <v>160</v>
      </c>
      <c r="AG158" s="1">
        <v>45467</v>
      </c>
      <c r="AH158" t="s">
        <v>30</v>
      </c>
      <c r="AI158" s="2">
        <v>2.6200000000000001E-2</v>
      </c>
      <c r="AJ158">
        <f>YEAR([1]!Engagement_Summary[[#This Row],[Week_Start_Date]])</f>
        <v>2024</v>
      </c>
      <c r="AK158" s="3">
        <v>1783</v>
      </c>
      <c r="AR158" s="12" t="s">
        <v>30</v>
      </c>
      <c r="AS158" s="12">
        <v>203</v>
      </c>
      <c r="AT158" s="12">
        <f>YEAR([1]!Engagement_Summary[[#This Row],[Week_Start_Date]])</f>
        <v>2024</v>
      </c>
    </row>
    <row r="159" spans="10:46" x14ac:dyDescent="0.25">
      <c r="J159" s="1">
        <v>45474</v>
      </c>
      <c r="K159" t="s">
        <v>30</v>
      </c>
      <c r="L159">
        <v>144</v>
      </c>
      <c r="M159">
        <v>53</v>
      </c>
      <c r="N159">
        <v>113678</v>
      </c>
      <c r="O159" s="2">
        <v>8.72E-2</v>
      </c>
      <c r="P159" s="3">
        <v>30060</v>
      </c>
      <c r="Q159">
        <f>YEAR([1]!Engagement_Summary[[#This Row],[Week_Start_Date]])</f>
        <v>2024</v>
      </c>
      <c r="R159">
        <f>MONTH([1]!Engagement_Summary[[#This Row],[Week_Start_Date]])</f>
        <v>7</v>
      </c>
      <c r="S159">
        <f t="shared" si="3"/>
        <v>1</v>
      </c>
      <c r="T159">
        <f>[1]!Engagement_Summary[[#This Row],[New_Followers]]-[1]!Engagement_Summary[[#This Row],[Unfollows]]</f>
        <v>317</v>
      </c>
      <c r="AG159" s="1">
        <v>45474</v>
      </c>
      <c r="AH159" t="s">
        <v>30</v>
      </c>
      <c r="AI159" s="2">
        <v>8.72E-2</v>
      </c>
      <c r="AJ159">
        <f>YEAR([1]!Engagement_Summary[[#This Row],[Week_Start_Date]])</f>
        <v>2024</v>
      </c>
      <c r="AK159" s="3">
        <v>30060</v>
      </c>
      <c r="AR159" s="12" t="s">
        <v>30</v>
      </c>
      <c r="AS159" s="12">
        <v>66</v>
      </c>
      <c r="AT159" s="12">
        <f>YEAR([1]!Engagement_Summary[[#This Row],[Week_Start_Date]])</f>
        <v>2024</v>
      </c>
    </row>
    <row r="160" spans="10:46" x14ac:dyDescent="0.25">
      <c r="J160" s="1">
        <v>45481</v>
      </c>
      <c r="K160" t="s">
        <v>30</v>
      </c>
      <c r="L160">
        <v>883</v>
      </c>
      <c r="M160">
        <v>369</v>
      </c>
      <c r="N160">
        <v>233694</v>
      </c>
      <c r="O160" s="2">
        <v>2.8799999999999999E-2</v>
      </c>
      <c r="P160" s="3">
        <v>15071</v>
      </c>
      <c r="Q160">
        <f>YEAR([1]!Engagement_Summary[[#This Row],[Week_Start_Date]])</f>
        <v>2024</v>
      </c>
      <c r="R160">
        <f>MONTH([1]!Engagement_Summary[[#This Row],[Week_Start_Date]])</f>
        <v>7</v>
      </c>
      <c r="S160">
        <f t="shared" si="3"/>
        <v>2</v>
      </c>
      <c r="T160">
        <f>[1]!Engagement_Summary[[#This Row],[New_Followers]]-[1]!Engagement_Summary[[#This Row],[Unfollows]]</f>
        <v>475</v>
      </c>
      <c r="AG160" s="1">
        <v>45481</v>
      </c>
      <c r="AH160" t="s">
        <v>30</v>
      </c>
      <c r="AI160" s="2">
        <v>2.8799999999999999E-2</v>
      </c>
      <c r="AJ160">
        <f>YEAR([1]!Engagement_Summary[[#This Row],[Week_Start_Date]])</f>
        <v>2024</v>
      </c>
      <c r="AK160" s="3">
        <v>15071</v>
      </c>
      <c r="AR160" s="12" t="s">
        <v>30</v>
      </c>
      <c r="AS160" s="12">
        <v>431</v>
      </c>
      <c r="AT160" s="12">
        <f>YEAR([1]!Engagement_Summary[[#This Row],[Week_Start_Date]])</f>
        <v>2024</v>
      </c>
    </row>
    <row r="161" spans="10:46" x14ac:dyDescent="0.25">
      <c r="J161" s="1">
        <v>45488</v>
      </c>
      <c r="K161" t="s">
        <v>30</v>
      </c>
      <c r="L161">
        <v>224</v>
      </c>
      <c r="M161">
        <v>64</v>
      </c>
      <c r="N161">
        <v>156683</v>
      </c>
      <c r="O161" s="2">
        <v>4.5599999999999995E-2</v>
      </c>
      <c r="P161" s="3">
        <v>28474</v>
      </c>
      <c r="Q161">
        <f>YEAR([1]!Engagement_Summary[[#This Row],[Week_Start_Date]])</f>
        <v>2024</v>
      </c>
      <c r="R161">
        <f>MONTH([1]!Engagement_Summary[[#This Row],[Week_Start_Date]])</f>
        <v>8</v>
      </c>
      <c r="S161">
        <f t="shared" si="3"/>
        <v>3</v>
      </c>
      <c r="T161">
        <f>[1]!Engagement_Summary[[#This Row],[New_Followers]]-[1]!Engagement_Summary[[#This Row],[Unfollows]]</f>
        <v>319</v>
      </c>
      <c r="AG161" s="1">
        <v>45488</v>
      </c>
      <c r="AH161" t="s">
        <v>30</v>
      </c>
      <c r="AI161" s="2">
        <v>4.5599999999999995E-2</v>
      </c>
      <c r="AJ161">
        <f>YEAR([1]!Engagement_Summary[[#This Row],[Week_Start_Date]])</f>
        <v>2024</v>
      </c>
      <c r="AK161" s="3">
        <v>28474</v>
      </c>
      <c r="AR161" s="12" t="s">
        <v>30</v>
      </c>
      <c r="AS161" s="12">
        <v>53</v>
      </c>
      <c r="AT161" s="12">
        <f>YEAR([1]!Engagement_Summary[[#This Row],[Week_Start_Date]])</f>
        <v>2024</v>
      </c>
    </row>
    <row r="162" spans="10:46" x14ac:dyDescent="0.25">
      <c r="J162" s="1">
        <v>45495</v>
      </c>
      <c r="K162" t="s">
        <v>30</v>
      </c>
      <c r="L162">
        <v>804</v>
      </c>
      <c r="M162">
        <v>487</v>
      </c>
      <c r="N162">
        <v>306564</v>
      </c>
      <c r="O162" s="2">
        <v>5.5199999999999999E-2</v>
      </c>
      <c r="P162" s="3">
        <v>26452</v>
      </c>
      <c r="Q162">
        <f>YEAR([1]!Engagement_Summary[[#This Row],[Week_Start_Date]])</f>
        <v>2024</v>
      </c>
      <c r="R162">
        <f>MONTH([1]!Engagement_Summary[[#This Row],[Week_Start_Date]])</f>
        <v>8</v>
      </c>
      <c r="S162">
        <f t="shared" si="3"/>
        <v>4</v>
      </c>
      <c r="T162">
        <f>[1]!Engagement_Summary[[#This Row],[New_Followers]]-[1]!Engagement_Summary[[#This Row],[Unfollows]]</f>
        <v>1032</v>
      </c>
      <c r="AG162" s="1">
        <v>45495</v>
      </c>
      <c r="AH162" t="s">
        <v>30</v>
      </c>
      <c r="AI162" s="2">
        <v>5.5199999999999999E-2</v>
      </c>
      <c r="AJ162">
        <f>YEAR([1]!Engagement_Summary[[#This Row],[Week_Start_Date]])</f>
        <v>2024</v>
      </c>
      <c r="AK162" s="3">
        <v>26452</v>
      </c>
      <c r="AR162" s="12" t="s">
        <v>30</v>
      </c>
      <c r="AS162" s="12">
        <v>369</v>
      </c>
      <c r="AT162" s="12">
        <f>YEAR([1]!Engagement_Summary[[#This Row],[Week_Start_Date]])</f>
        <v>2024</v>
      </c>
    </row>
    <row r="163" spans="10:46" x14ac:dyDescent="0.25">
      <c r="J163" s="1">
        <v>45502</v>
      </c>
      <c r="K163" t="s">
        <v>30</v>
      </c>
      <c r="L163">
        <v>576</v>
      </c>
      <c r="M163">
        <v>101</v>
      </c>
      <c r="N163">
        <v>62499</v>
      </c>
      <c r="O163" s="2">
        <v>3.4799999999999998E-2</v>
      </c>
      <c r="P163" s="3">
        <v>16804</v>
      </c>
      <c r="Q163">
        <f>YEAR([1]!Engagement_Summary[[#This Row],[Week_Start_Date]])</f>
        <v>2024</v>
      </c>
      <c r="R163">
        <f>MONTH([1]!Engagement_Summary[[#This Row],[Week_Start_Date]])</f>
        <v>8</v>
      </c>
      <c r="S163">
        <f t="shared" si="3"/>
        <v>5</v>
      </c>
      <c r="T163">
        <f>[1]!Engagement_Summary[[#This Row],[New_Followers]]-[1]!Engagement_Summary[[#This Row],[Unfollows]]</f>
        <v>190</v>
      </c>
      <c r="AG163" s="1">
        <v>45502</v>
      </c>
      <c r="AH163" t="s">
        <v>30</v>
      </c>
      <c r="AI163" s="2">
        <v>3.4799999999999998E-2</v>
      </c>
      <c r="AJ163">
        <f>YEAR([1]!Engagement_Summary[[#This Row],[Week_Start_Date]])</f>
        <v>2024</v>
      </c>
      <c r="AK163" s="3">
        <v>16804</v>
      </c>
      <c r="AR163" s="12" t="s">
        <v>30</v>
      </c>
      <c r="AS163" s="12">
        <v>64</v>
      </c>
      <c r="AT163" s="12">
        <f>YEAR([1]!Engagement_Summary[[#This Row],[Week_Start_Date]])</f>
        <v>2024</v>
      </c>
    </row>
    <row r="164" spans="10:46" x14ac:dyDescent="0.25">
      <c r="J164" s="1">
        <v>45509</v>
      </c>
      <c r="K164" t="s">
        <v>30</v>
      </c>
      <c r="L164">
        <v>460</v>
      </c>
      <c r="M164">
        <v>141</v>
      </c>
      <c r="N164">
        <v>320650</v>
      </c>
      <c r="O164" s="2">
        <v>4.0399999999999998E-2</v>
      </c>
      <c r="P164" s="3">
        <v>49372</v>
      </c>
      <c r="Q164">
        <f>YEAR([1]!Engagement_Summary[[#This Row],[Week_Start_Date]])</f>
        <v>2024</v>
      </c>
      <c r="R164">
        <f>MONTH([1]!Engagement_Summary[[#This Row],[Week_Start_Date]])</f>
        <v>8</v>
      </c>
      <c r="S164">
        <f t="shared" si="3"/>
        <v>1</v>
      </c>
      <c r="T164">
        <f>[1]!Engagement_Summary[[#This Row],[New_Followers]]-[1]!Engagement_Summary[[#This Row],[Unfollows]]</f>
        <v>28</v>
      </c>
      <c r="AG164" s="1">
        <v>45509</v>
      </c>
      <c r="AH164" t="s">
        <v>30</v>
      </c>
      <c r="AI164" s="2">
        <v>4.0399999999999998E-2</v>
      </c>
      <c r="AJ164">
        <f>YEAR([1]!Engagement_Summary[[#This Row],[Week_Start_Date]])</f>
        <v>2024</v>
      </c>
      <c r="AK164" s="3">
        <v>49372</v>
      </c>
      <c r="AR164" s="12" t="s">
        <v>30</v>
      </c>
      <c r="AS164" s="12">
        <v>487</v>
      </c>
      <c r="AT164" s="12">
        <f>YEAR([1]!Engagement_Summary[[#This Row],[Week_Start_Date]])</f>
        <v>2024</v>
      </c>
    </row>
    <row r="165" spans="10:46" x14ac:dyDescent="0.25">
      <c r="J165" s="1">
        <v>45516</v>
      </c>
      <c r="K165" t="s">
        <v>30</v>
      </c>
      <c r="L165">
        <v>1210</v>
      </c>
      <c r="M165">
        <v>178</v>
      </c>
      <c r="N165">
        <v>102042</v>
      </c>
      <c r="O165" s="2">
        <v>5.4199999999999998E-2</v>
      </c>
      <c r="P165" s="3">
        <v>6915</v>
      </c>
      <c r="Q165">
        <f>YEAR([1]!Engagement_Summary[[#This Row],[Week_Start_Date]])</f>
        <v>2024</v>
      </c>
      <c r="R165">
        <f>MONTH([1]!Engagement_Summary[[#This Row],[Week_Start_Date]])</f>
        <v>9</v>
      </c>
      <c r="S165">
        <f t="shared" si="3"/>
        <v>2</v>
      </c>
      <c r="T165">
        <f>[1]!Engagement_Summary[[#This Row],[New_Followers]]-[1]!Engagement_Summary[[#This Row],[Unfollows]]</f>
        <v>333</v>
      </c>
      <c r="AG165" s="1">
        <v>45516</v>
      </c>
      <c r="AH165" t="s">
        <v>30</v>
      </c>
      <c r="AI165" s="2">
        <v>5.4199999999999998E-2</v>
      </c>
      <c r="AJ165">
        <f>YEAR([1]!Engagement_Summary[[#This Row],[Week_Start_Date]])</f>
        <v>2024</v>
      </c>
      <c r="AK165" s="3">
        <v>6915</v>
      </c>
      <c r="AR165" s="12" t="s">
        <v>30</v>
      </c>
      <c r="AS165" s="12">
        <v>101</v>
      </c>
      <c r="AT165" s="12">
        <f>YEAR([1]!Engagement_Summary[[#This Row],[Week_Start_Date]])</f>
        <v>2024</v>
      </c>
    </row>
    <row r="166" spans="10:46" x14ac:dyDescent="0.25">
      <c r="J166" s="1">
        <v>45523</v>
      </c>
      <c r="K166" t="s">
        <v>30</v>
      </c>
      <c r="L166">
        <v>221</v>
      </c>
      <c r="M166">
        <v>31</v>
      </c>
      <c r="N166">
        <v>87443</v>
      </c>
      <c r="O166" s="2">
        <v>6.1900000000000004E-2</v>
      </c>
      <c r="P166" s="3">
        <v>10283</v>
      </c>
      <c r="Q166">
        <f>YEAR([1]!Engagement_Summary[[#This Row],[Week_Start_Date]])</f>
        <v>2024</v>
      </c>
      <c r="R166">
        <f>MONTH([1]!Engagement_Summary[[#This Row],[Week_Start_Date]])</f>
        <v>9</v>
      </c>
      <c r="S166">
        <f t="shared" si="3"/>
        <v>3</v>
      </c>
      <c r="T166">
        <f>[1]!Engagement_Summary[[#This Row],[New_Followers]]-[1]!Engagement_Summary[[#This Row],[Unfollows]]</f>
        <v>1100</v>
      </c>
      <c r="AG166" s="1">
        <v>45523</v>
      </c>
      <c r="AH166" t="s">
        <v>30</v>
      </c>
      <c r="AI166" s="2">
        <v>6.1900000000000004E-2</v>
      </c>
      <c r="AJ166">
        <f>YEAR([1]!Engagement_Summary[[#This Row],[Week_Start_Date]])</f>
        <v>2024</v>
      </c>
      <c r="AK166" s="3">
        <v>10283</v>
      </c>
      <c r="AR166" s="12" t="s">
        <v>30</v>
      </c>
      <c r="AS166" s="12">
        <v>141</v>
      </c>
      <c r="AT166" s="12">
        <f>YEAR([1]!Engagement_Summary[[#This Row],[Week_Start_Date]])</f>
        <v>2024</v>
      </c>
    </row>
    <row r="167" spans="10:46" x14ac:dyDescent="0.25">
      <c r="J167" s="1">
        <v>45530</v>
      </c>
      <c r="K167" t="s">
        <v>30</v>
      </c>
      <c r="L167">
        <v>422</v>
      </c>
      <c r="M167">
        <v>394</v>
      </c>
      <c r="N167">
        <v>239044</v>
      </c>
      <c r="O167" s="2">
        <v>7.8299999999999995E-2</v>
      </c>
      <c r="P167" s="3">
        <v>32929</v>
      </c>
      <c r="Q167">
        <f>YEAR([1]!Engagement_Summary[[#This Row],[Week_Start_Date]])</f>
        <v>2024</v>
      </c>
      <c r="R167">
        <f>MONTH([1]!Engagement_Summary[[#This Row],[Week_Start_Date]])</f>
        <v>9</v>
      </c>
      <c r="S167">
        <f t="shared" si="3"/>
        <v>4</v>
      </c>
      <c r="T167">
        <f>[1]!Engagement_Summary[[#This Row],[New_Followers]]-[1]!Engagement_Summary[[#This Row],[Unfollows]]</f>
        <v>-32</v>
      </c>
      <c r="AG167" s="1">
        <v>45530</v>
      </c>
      <c r="AH167" t="s">
        <v>30</v>
      </c>
      <c r="AI167" s="2">
        <v>7.8299999999999995E-2</v>
      </c>
      <c r="AJ167">
        <f>YEAR([1]!Engagement_Summary[[#This Row],[Week_Start_Date]])</f>
        <v>2024</v>
      </c>
      <c r="AK167" s="3">
        <v>32929</v>
      </c>
      <c r="AR167" s="12" t="s">
        <v>30</v>
      </c>
      <c r="AS167" s="12">
        <v>178</v>
      </c>
      <c r="AT167" s="12">
        <f>YEAR([1]!Engagement_Summary[[#This Row],[Week_Start_Date]])</f>
        <v>2024</v>
      </c>
    </row>
    <row r="168" spans="10:46" x14ac:dyDescent="0.25">
      <c r="J168" s="1">
        <v>45537</v>
      </c>
      <c r="K168" t="s">
        <v>30</v>
      </c>
      <c r="L168">
        <v>728</v>
      </c>
      <c r="M168">
        <v>395</v>
      </c>
      <c r="N168">
        <v>370971</v>
      </c>
      <c r="O168" s="2">
        <v>3.8599999999999995E-2</v>
      </c>
      <c r="P168" s="3">
        <v>12646</v>
      </c>
      <c r="Q168">
        <f>YEAR([1]!Engagement_Summary[[#This Row],[Week_Start_Date]])</f>
        <v>2024</v>
      </c>
      <c r="R168">
        <f>MONTH([1]!Engagement_Summary[[#This Row],[Week_Start_Date]])</f>
        <v>9</v>
      </c>
      <c r="S168">
        <f t="shared" si="3"/>
        <v>1</v>
      </c>
      <c r="T168">
        <f>[1]!Engagement_Summary[[#This Row],[New_Followers]]-[1]!Engagement_Summary[[#This Row],[Unfollows]]</f>
        <v>1006</v>
      </c>
      <c r="AG168" s="1">
        <v>45537</v>
      </c>
      <c r="AH168" t="s">
        <v>30</v>
      </c>
      <c r="AI168" s="2">
        <v>3.8599999999999995E-2</v>
      </c>
      <c r="AJ168">
        <f>YEAR([1]!Engagement_Summary[[#This Row],[Week_Start_Date]])</f>
        <v>2024</v>
      </c>
      <c r="AK168" s="3">
        <v>12646</v>
      </c>
      <c r="AR168" s="12" t="s">
        <v>30</v>
      </c>
      <c r="AS168" s="12">
        <v>31</v>
      </c>
      <c r="AT168" s="12">
        <f>YEAR([1]!Engagement_Summary[[#This Row],[Week_Start_Date]])</f>
        <v>2024</v>
      </c>
    </row>
    <row r="169" spans="10:46" x14ac:dyDescent="0.25">
      <c r="J169" s="1">
        <v>45544</v>
      </c>
      <c r="K169" t="s">
        <v>30</v>
      </c>
      <c r="L169">
        <v>1409</v>
      </c>
      <c r="M169">
        <v>309</v>
      </c>
      <c r="N169">
        <v>64583</v>
      </c>
      <c r="O169" s="2">
        <v>8.9900000000000008E-2</v>
      </c>
      <c r="P169" s="3">
        <v>10217</v>
      </c>
      <c r="Q169">
        <f>YEAR([1]!Engagement_Summary[[#This Row],[Week_Start_Date]])</f>
        <v>2024</v>
      </c>
      <c r="R169">
        <f>MONTH([1]!Engagement_Summary[[#This Row],[Week_Start_Date]])</f>
        <v>9</v>
      </c>
      <c r="S169">
        <f t="shared" si="3"/>
        <v>2</v>
      </c>
      <c r="T169">
        <f>[1]!Engagement_Summary[[#This Row],[New_Followers]]-[1]!Engagement_Summary[[#This Row],[Unfollows]]</f>
        <v>1706</v>
      </c>
      <c r="AG169" s="1">
        <v>45544</v>
      </c>
      <c r="AH169" t="s">
        <v>30</v>
      </c>
      <c r="AI169" s="2">
        <v>8.9900000000000008E-2</v>
      </c>
      <c r="AJ169">
        <f>YEAR([1]!Engagement_Summary[[#This Row],[Week_Start_Date]])</f>
        <v>2024</v>
      </c>
      <c r="AK169" s="3">
        <v>10217</v>
      </c>
      <c r="AR169" s="12" t="s">
        <v>30</v>
      </c>
      <c r="AS169" s="12">
        <v>394</v>
      </c>
      <c r="AT169" s="12">
        <f>YEAR([1]!Engagement_Summary[[#This Row],[Week_Start_Date]])</f>
        <v>2024</v>
      </c>
    </row>
    <row r="170" spans="10:46" x14ac:dyDescent="0.25">
      <c r="J170" s="1">
        <v>45551</v>
      </c>
      <c r="K170" t="s">
        <v>30</v>
      </c>
      <c r="L170">
        <v>123</v>
      </c>
      <c r="M170">
        <v>155</v>
      </c>
      <c r="N170">
        <v>119934</v>
      </c>
      <c r="O170" s="2">
        <v>3.5000000000000003E-2</v>
      </c>
      <c r="P170" s="3">
        <v>5442</v>
      </c>
      <c r="Q170">
        <f>YEAR([1]!Engagement_Summary[[#This Row],[Week_Start_Date]])</f>
        <v>2024</v>
      </c>
      <c r="R170">
        <f>MONTH([1]!Engagement_Summary[[#This Row],[Week_Start_Date]])</f>
        <v>10</v>
      </c>
      <c r="S170">
        <f t="shared" si="3"/>
        <v>3</v>
      </c>
      <c r="T170">
        <f>[1]!Engagement_Summary[[#This Row],[New_Followers]]-[1]!Engagement_Summary[[#This Row],[Unfollows]]</f>
        <v>118</v>
      </c>
      <c r="AG170" s="1">
        <v>45551</v>
      </c>
      <c r="AH170" t="s">
        <v>30</v>
      </c>
      <c r="AI170" s="2">
        <v>3.5000000000000003E-2</v>
      </c>
      <c r="AJ170">
        <f>YEAR([1]!Engagement_Summary[[#This Row],[Week_Start_Date]])</f>
        <v>2024</v>
      </c>
      <c r="AK170" s="3">
        <v>5442</v>
      </c>
      <c r="AR170" s="12" t="s">
        <v>30</v>
      </c>
      <c r="AS170" s="12">
        <v>395</v>
      </c>
      <c r="AT170" s="12">
        <f>YEAR([1]!Engagement_Summary[[#This Row],[Week_Start_Date]])</f>
        <v>2024</v>
      </c>
    </row>
    <row r="171" spans="10:46" x14ac:dyDescent="0.25">
      <c r="J171" s="1">
        <v>45558</v>
      </c>
      <c r="K171" t="s">
        <v>30</v>
      </c>
      <c r="L171">
        <v>1218</v>
      </c>
      <c r="M171">
        <v>212</v>
      </c>
      <c r="N171">
        <v>63177</v>
      </c>
      <c r="O171" s="2">
        <v>8.1300000000000011E-2</v>
      </c>
      <c r="P171" s="3">
        <v>38883</v>
      </c>
      <c r="Q171">
        <f>YEAR([1]!Engagement_Summary[[#This Row],[Week_Start_Date]])</f>
        <v>2024</v>
      </c>
      <c r="R171">
        <f>MONTH([1]!Engagement_Summary[[#This Row],[Week_Start_Date]])</f>
        <v>10</v>
      </c>
      <c r="S171">
        <f t="shared" si="3"/>
        <v>4</v>
      </c>
      <c r="T171">
        <f>[1]!Engagement_Summary[[#This Row],[New_Followers]]-[1]!Engagement_Summary[[#This Row],[Unfollows]]</f>
        <v>367</v>
      </c>
      <c r="AG171" s="1">
        <v>45558</v>
      </c>
      <c r="AH171" t="s">
        <v>30</v>
      </c>
      <c r="AI171" s="2">
        <v>8.1300000000000011E-2</v>
      </c>
      <c r="AJ171">
        <f>YEAR([1]!Engagement_Summary[[#This Row],[Week_Start_Date]])</f>
        <v>2024</v>
      </c>
      <c r="AK171" s="3">
        <v>38883</v>
      </c>
      <c r="AR171" s="12" t="s">
        <v>30</v>
      </c>
      <c r="AS171" s="12">
        <v>309</v>
      </c>
      <c r="AT171" s="12">
        <f>YEAR([1]!Engagement_Summary[[#This Row],[Week_Start_Date]])</f>
        <v>2024</v>
      </c>
    </row>
    <row r="172" spans="10:46" x14ac:dyDescent="0.25">
      <c r="J172" s="1">
        <v>45565</v>
      </c>
      <c r="K172" t="s">
        <v>30</v>
      </c>
      <c r="L172">
        <v>1918</v>
      </c>
      <c r="M172">
        <v>212</v>
      </c>
      <c r="N172">
        <v>94360</v>
      </c>
      <c r="O172" s="2">
        <v>7.3599999999999999E-2</v>
      </c>
      <c r="P172" s="3">
        <v>36851</v>
      </c>
      <c r="Q172">
        <f>YEAR([1]!Engagement_Summary[[#This Row],[Week_Start_Date]])</f>
        <v>2024</v>
      </c>
      <c r="R172">
        <f>MONTH([1]!Engagement_Summary[[#This Row],[Week_Start_Date]])</f>
        <v>10</v>
      </c>
      <c r="S172">
        <f t="shared" si="3"/>
        <v>5</v>
      </c>
      <c r="T172">
        <f>[1]!Engagement_Summary[[#This Row],[New_Followers]]-[1]!Engagement_Summary[[#This Row],[Unfollows]]</f>
        <v>1484</v>
      </c>
      <c r="AG172" s="1">
        <v>45565</v>
      </c>
      <c r="AH172" t="s">
        <v>30</v>
      </c>
      <c r="AI172" s="2">
        <v>7.3599999999999999E-2</v>
      </c>
      <c r="AJ172">
        <f>YEAR([1]!Engagement_Summary[[#This Row],[Week_Start_Date]])</f>
        <v>2024</v>
      </c>
      <c r="AK172" s="3">
        <v>36851</v>
      </c>
      <c r="AR172" s="12" t="s">
        <v>30</v>
      </c>
      <c r="AS172" s="12">
        <v>155</v>
      </c>
      <c r="AT172" s="12">
        <f>YEAR([1]!Engagement_Summary[[#This Row],[Week_Start_Date]])</f>
        <v>2024</v>
      </c>
    </row>
    <row r="173" spans="10:46" x14ac:dyDescent="0.25">
      <c r="J173" s="1">
        <v>45572</v>
      </c>
      <c r="K173" t="s">
        <v>30</v>
      </c>
      <c r="L173">
        <v>307</v>
      </c>
      <c r="M173">
        <v>189</v>
      </c>
      <c r="N173">
        <v>117767</v>
      </c>
      <c r="O173" s="2">
        <v>9.3000000000000013E-2</v>
      </c>
      <c r="P173" s="3">
        <v>27822</v>
      </c>
      <c r="Q173">
        <f>YEAR([1]!Engagement_Summary[[#This Row],[Week_Start_Date]])</f>
        <v>2024</v>
      </c>
      <c r="R173">
        <f>MONTH([1]!Engagement_Summary[[#This Row],[Week_Start_Date]])</f>
        <v>10</v>
      </c>
      <c r="S173">
        <f t="shared" si="3"/>
        <v>1</v>
      </c>
      <c r="T173">
        <f>[1]!Engagement_Summary[[#This Row],[New_Followers]]-[1]!Engagement_Summary[[#This Row],[Unfollows]]</f>
        <v>1657</v>
      </c>
      <c r="AG173" s="1">
        <v>45572</v>
      </c>
      <c r="AH173" t="s">
        <v>30</v>
      </c>
      <c r="AI173" s="2">
        <v>9.3000000000000013E-2</v>
      </c>
      <c r="AJ173">
        <f>YEAR([1]!Engagement_Summary[[#This Row],[Week_Start_Date]])</f>
        <v>2024</v>
      </c>
      <c r="AK173" s="3">
        <v>27822</v>
      </c>
      <c r="AR173" s="12" t="s">
        <v>30</v>
      </c>
      <c r="AS173" s="12">
        <v>212</v>
      </c>
      <c r="AT173" s="12">
        <f>YEAR([1]!Engagement_Summary[[#This Row],[Week_Start_Date]])</f>
        <v>2024</v>
      </c>
    </row>
    <row r="174" spans="10:46" x14ac:dyDescent="0.25">
      <c r="J174" s="1">
        <v>45579</v>
      </c>
      <c r="K174" t="s">
        <v>30</v>
      </c>
      <c r="L174">
        <v>414</v>
      </c>
      <c r="M174">
        <v>47</v>
      </c>
      <c r="N174">
        <v>199178</v>
      </c>
      <c r="O174" s="2">
        <v>1.5300000000000001E-2</v>
      </c>
      <c r="P174" s="3">
        <v>6742</v>
      </c>
      <c r="Q174">
        <f>YEAR([1]!Engagement_Summary[[#This Row],[Week_Start_Date]])</f>
        <v>2024</v>
      </c>
      <c r="R174">
        <f>MONTH([1]!Engagement_Summary[[#This Row],[Week_Start_Date]])</f>
        <v>11</v>
      </c>
      <c r="S174">
        <f t="shared" si="3"/>
        <v>2</v>
      </c>
      <c r="T174">
        <f>[1]!Engagement_Summary[[#This Row],[New_Followers]]-[1]!Engagement_Summary[[#This Row],[Unfollows]]</f>
        <v>1044</v>
      </c>
      <c r="AG174" s="1">
        <v>45579</v>
      </c>
      <c r="AH174" t="s">
        <v>30</v>
      </c>
      <c r="AI174" s="2">
        <v>1.5300000000000001E-2</v>
      </c>
      <c r="AJ174">
        <f>YEAR([1]!Engagement_Summary[[#This Row],[Week_Start_Date]])</f>
        <v>2024</v>
      </c>
      <c r="AK174" s="3">
        <v>6742</v>
      </c>
      <c r="AR174" s="12" t="s">
        <v>30</v>
      </c>
      <c r="AS174" s="12">
        <v>212</v>
      </c>
      <c r="AT174" s="12">
        <f>YEAR([1]!Engagement_Summary[[#This Row],[Week_Start_Date]])</f>
        <v>2024</v>
      </c>
    </row>
    <row r="175" spans="10:46" x14ac:dyDescent="0.25">
      <c r="J175" s="1">
        <v>45586</v>
      </c>
      <c r="K175" t="s">
        <v>30</v>
      </c>
      <c r="L175">
        <v>1707</v>
      </c>
      <c r="M175">
        <v>223</v>
      </c>
      <c r="N175">
        <v>256910</v>
      </c>
      <c r="O175" s="2">
        <v>5.4100000000000002E-2</v>
      </c>
      <c r="P175" s="3">
        <v>44321</v>
      </c>
      <c r="Q175">
        <f>YEAR([1]!Engagement_Summary[[#This Row],[Week_Start_Date]])</f>
        <v>2024</v>
      </c>
      <c r="R175">
        <f>MONTH([1]!Engagement_Summary[[#This Row],[Week_Start_Date]])</f>
        <v>11</v>
      </c>
      <c r="S175">
        <f t="shared" si="3"/>
        <v>3</v>
      </c>
      <c r="T175">
        <f>[1]!Engagement_Summary[[#This Row],[New_Followers]]-[1]!Engagement_Summary[[#This Row],[Unfollows]]</f>
        <v>349</v>
      </c>
      <c r="AG175" s="1">
        <v>45586</v>
      </c>
      <c r="AH175" t="s">
        <v>30</v>
      </c>
      <c r="AI175" s="2">
        <v>5.4100000000000002E-2</v>
      </c>
      <c r="AJ175">
        <f>YEAR([1]!Engagement_Summary[[#This Row],[Week_Start_Date]])</f>
        <v>2024</v>
      </c>
      <c r="AK175" s="3">
        <v>44321</v>
      </c>
      <c r="AR175" s="12" t="s">
        <v>30</v>
      </c>
      <c r="AS175" s="12">
        <v>189</v>
      </c>
      <c r="AT175" s="12">
        <f>YEAR([1]!Engagement_Summary[[#This Row],[Week_Start_Date]])</f>
        <v>2024</v>
      </c>
    </row>
    <row r="176" spans="10:46" x14ac:dyDescent="0.25">
      <c r="J176" s="1">
        <v>45593</v>
      </c>
      <c r="K176" t="s">
        <v>30</v>
      </c>
      <c r="L176">
        <v>1814</v>
      </c>
      <c r="M176">
        <v>157</v>
      </c>
      <c r="N176">
        <v>305827</v>
      </c>
      <c r="O176" s="2">
        <v>1.9900000000000001E-2</v>
      </c>
      <c r="P176" s="3">
        <v>46643</v>
      </c>
      <c r="Q176">
        <f>YEAR([1]!Engagement_Summary[[#This Row],[Week_Start_Date]])</f>
        <v>2024</v>
      </c>
      <c r="R176">
        <f>MONTH([1]!Engagement_Summary[[#This Row],[Week_Start_Date]])</f>
        <v>11</v>
      </c>
      <c r="S176">
        <f t="shared" si="3"/>
        <v>4</v>
      </c>
      <c r="T176">
        <f>[1]!Engagement_Summary[[#This Row],[New_Followers]]-[1]!Engagement_Summary[[#This Row],[Unfollows]]</f>
        <v>60</v>
      </c>
      <c r="AG176" s="1">
        <v>45593</v>
      </c>
      <c r="AH176" t="s">
        <v>30</v>
      </c>
      <c r="AI176" s="2">
        <v>1.9900000000000001E-2</v>
      </c>
      <c r="AJ176">
        <f>YEAR([1]!Engagement_Summary[[#This Row],[Week_Start_Date]])</f>
        <v>2024</v>
      </c>
      <c r="AK176" s="3">
        <v>46643</v>
      </c>
      <c r="AR176" s="12" t="s">
        <v>30</v>
      </c>
      <c r="AS176" s="12">
        <v>47</v>
      </c>
      <c r="AT176" s="12">
        <f>YEAR([1]!Engagement_Summary[[#This Row],[Week_Start_Date]])</f>
        <v>2024</v>
      </c>
    </row>
    <row r="177" spans="10:46" x14ac:dyDescent="0.25">
      <c r="J177" s="1">
        <v>45600</v>
      </c>
      <c r="K177" t="s">
        <v>30</v>
      </c>
      <c r="L177">
        <v>1507</v>
      </c>
      <c r="M177">
        <v>463</v>
      </c>
      <c r="N177">
        <v>258944</v>
      </c>
      <c r="O177" s="2">
        <v>6.08E-2</v>
      </c>
      <c r="P177" s="3">
        <v>16443</v>
      </c>
      <c r="Q177">
        <f>YEAR([1]!Engagement_Summary[[#This Row],[Week_Start_Date]])</f>
        <v>2024</v>
      </c>
      <c r="R177">
        <f>MONTH([1]!Engagement_Summary[[#This Row],[Week_Start_Date]])</f>
        <v>11</v>
      </c>
      <c r="S177">
        <f t="shared" si="3"/>
        <v>1</v>
      </c>
      <c r="T177">
        <f>[1]!Engagement_Summary[[#This Row],[New_Followers]]-[1]!Engagement_Summary[[#This Row],[Unfollows]]</f>
        <v>885</v>
      </c>
      <c r="AG177" s="1">
        <v>45600</v>
      </c>
      <c r="AH177" t="s">
        <v>30</v>
      </c>
      <c r="AI177" s="2">
        <v>6.08E-2</v>
      </c>
      <c r="AJ177">
        <f>YEAR([1]!Engagement_Summary[[#This Row],[Week_Start_Date]])</f>
        <v>2024</v>
      </c>
      <c r="AK177" s="3">
        <v>16443</v>
      </c>
      <c r="AR177" s="12" t="s">
        <v>30</v>
      </c>
      <c r="AS177" s="12">
        <v>223</v>
      </c>
      <c r="AT177" s="12">
        <f>YEAR([1]!Engagement_Summary[[#This Row],[Week_Start_Date]])</f>
        <v>2024</v>
      </c>
    </row>
    <row r="178" spans="10:46" x14ac:dyDescent="0.25">
      <c r="J178" s="1">
        <v>45607</v>
      </c>
      <c r="K178" t="s">
        <v>30</v>
      </c>
      <c r="L178">
        <v>454</v>
      </c>
      <c r="M178">
        <v>105</v>
      </c>
      <c r="N178">
        <v>121091</v>
      </c>
      <c r="O178" s="2">
        <v>7.9699999999999993E-2</v>
      </c>
      <c r="P178" s="3">
        <v>9269</v>
      </c>
      <c r="Q178">
        <f>YEAR([1]!Engagement_Summary[[#This Row],[Week_Start_Date]])</f>
        <v>2024</v>
      </c>
      <c r="R178">
        <f>MONTH([1]!Engagement_Summary[[#This Row],[Week_Start_Date]])</f>
        <v>12</v>
      </c>
      <c r="S178">
        <f t="shared" si="3"/>
        <v>2</v>
      </c>
      <c r="T178">
        <f>[1]!Engagement_Summary[[#This Row],[New_Followers]]-[1]!Engagement_Summary[[#This Row],[Unfollows]]</f>
        <v>291</v>
      </c>
      <c r="AG178" s="1">
        <v>45607</v>
      </c>
      <c r="AH178" t="s">
        <v>30</v>
      </c>
      <c r="AI178" s="2">
        <v>7.9699999999999993E-2</v>
      </c>
      <c r="AJ178">
        <f>YEAR([1]!Engagement_Summary[[#This Row],[Week_Start_Date]])</f>
        <v>2024</v>
      </c>
      <c r="AK178" s="3">
        <v>9269</v>
      </c>
      <c r="AR178" s="12" t="s">
        <v>30</v>
      </c>
      <c r="AS178" s="12">
        <v>157</v>
      </c>
      <c r="AT178" s="12">
        <f>YEAR([1]!Engagement_Summary[[#This Row],[Week_Start_Date]])</f>
        <v>2024</v>
      </c>
    </row>
    <row r="179" spans="10:46" x14ac:dyDescent="0.25">
      <c r="J179" s="1">
        <v>45614</v>
      </c>
      <c r="K179" t="s">
        <v>30</v>
      </c>
      <c r="L179">
        <v>278</v>
      </c>
      <c r="M179">
        <v>218</v>
      </c>
      <c r="N179">
        <v>301695</v>
      </c>
      <c r="O179" s="2">
        <v>4.6799999999999994E-2</v>
      </c>
      <c r="P179" s="3">
        <v>22373</v>
      </c>
      <c r="Q179">
        <f>YEAR([1]!Engagement_Summary[[#This Row],[Week_Start_Date]])</f>
        <v>2024</v>
      </c>
      <c r="R179">
        <f>MONTH([1]!Engagement_Summary[[#This Row],[Week_Start_Date]])</f>
        <v>12</v>
      </c>
      <c r="S179">
        <f t="shared" si="3"/>
        <v>3</v>
      </c>
      <c r="T179">
        <f>[1]!Engagement_Summary[[#This Row],[New_Followers]]-[1]!Engagement_Summary[[#This Row],[Unfollows]]</f>
        <v>573</v>
      </c>
      <c r="AG179" s="1">
        <v>45614</v>
      </c>
      <c r="AH179" t="s">
        <v>30</v>
      </c>
      <c r="AI179" s="2">
        <v>4.6799999999999994E-2</v>
      </c>
      <c r="AJ179">
        <f>YEAR([1]!Engagement_Summary[[#This Row],[Week_Start_Date]])</f>
        <v>2024</v>
      </c>
      <c r="AK179" s="3">
        <v>22373</v>
      </c>
      <c r="AR179" s="12" t="s">
        <v>30</v>
      </c>
      <c r="AS179" s="12">
        <v>463</v>
      </c>
      <c r="AT179" s="12">
        <f>YEAR([1]!Engagement_Summary[[#This Row],[Week_Start_Date]])</f>
        <v>2024</v>
      </c>
    </row>
    <row r="180" spans="10:46" x14ac:dyDescent="0.25">
      <c r="J180" s="1">
        <v>45621</v>
      </c>
      <c r="K180" t="s">
        <v>30</v>
      </c>
      <c r="L180">
        <v>1293</v>
      </c>
      <c r="M180">
        <v>408</v>
      </c>
      <c r="N180">
        <v>62535</v>
      </c>
      <c r="O180" s="2">
        <v>8.900000000000001E-2</v>
      </c>
      <c r="P180" s="3">
        <v>37876</v>
      </c>
      <c r="Q180">
        <f>YEAR([1]!Engagement_Summary[[#This Row],[Week_Start_Date]])</f>
        <v>2024</v>
      </c>
      <c r="R180">
        <f>MONTH([1]!Engagement_Summary[[#This Row],[Week_Start_Date]])</f>
        <v>12</v>
      </c>
      <c r="S180">
        <f t="shared" si="3"/>
        <v>4</v>
      </c>
      <c r="T180">
        <f>[1]!Engagement_Summary[[#This Row],[New_Followers]]-[1]!Engagement_Summary[[#This Row],[Unfollows]]</f>
        <v>876</v>
      </c>
      <c r="AG180" s="1">
        <v>45621</v>
      </c>
      <c r="AH180" t="s">
        <v>30</v>
      </c>
      <c r="AI180" s="2">
        <v>8.900000000000001E-2</v>
      </c>
      <c r="AJ180">
        <f>YEAR([1]!Engagement_Summary[[#This Row],[Week_Start_Date]])</f>
        <v>2024</v>
      </c>
      <c r="AK180" s="3">
        <v>37876</v>
      </c>
      <c r="AR180" s="12" t="s">
        <v>30</v>
      </c>
      <c r="AS180" s="12">
        <v>105</v>
      </c>
      <c r="AT180" s="12">
        <f>YEAR([1]!Engagement_Summary[[#This Row],[Week_Start_Date]])</f>
        <v>2024</v>
      </c>
    </row>
    <row r="181" spans="10:46" x14ac:dyDescent="0.25">
      <c r="J181" s="1">
        <v>45628</v>
      </c>
      <c r="K181" t="s">
        <v>30</v>
      </c>
      <c r="L181">
        <v>452</v>
      </c>
      <c r="M181">
        <v>161</v>
      </c>
      <c r="N181">
        <v>221274</v>
      </c>
      <c r="O181" s="2">
        <v>2.6499999999999999E-2</v>
      </c>
      <c r="P181" s="3">
        <v>40888</v>
      </c>
      <c r="Q181">
        <f>YEAR([1]!Engagement_Summary[[#This Row],[Week_Start_Date]])</f>
        <v>2024</v>
      </c>
      <c r="R181">
        <f>MONTH([1]!Engagement_Summary[[#This Row],[Week_Start_Date]])</f>
        <v>12</v>
      </c>
      <c r="S181">
        <f t="shared" si="3"/>
        <v>1</v>
      </c>
      <c r="T181">
        <f>[1]!Engagement_Summary[[#This Row],[New_Followers]]-[1]!Engagement_Summary[[#This Row],[Unfollows]]</f>
        <v>1589</v>
      </c>
      <c r="AG181" s="1">
        <v>45628</v>
      </c>
      <c r="AH181" t="s">
        <v>30</v>
      </c>
      <c r="AI181" s="2">
        <v>2.6499999999999999E-2</v>
      </c>
      <c r="AJ181">
        <f>YEAR([1]!Engagement_Summary[[#This Row],[Week_Start_Date]])</f>
        <v>2024</v>
      </c>
      <c r="AK181" s="3">
        <v>40888</v>
      </c>
      <c r="AR181" s="12" t="s">
        <v>30</v>
      </c>
      <c r="AS181" s="12">
        <v>218</v>
      </c>
      <c r="AT181" s="12">
        <f>YEAR([1]!Engagement_Summary[[#This Row],[Week_Start_Date]])</f>
        <v>2024</v>
      </c>
    </row>
    <row r="182" spans="10:46" x14ac:dyDescent="0.25">
      <c r="J182" s="1">
        <v>45635</v>
      </c>
      <c r="K182" t="s">
        <v>30</v>
      </c>
      <c r="L182">
        <v>736</v>
      </c>
      <c r="M182">
        <v>163</v>
      </c>
      <c r="N182">
        <v>451894</v>
      </c>
      <c r="O182" s="2">
        <v>5.4299999999999994E-2</v>
      </c>
      <c r="P182" s="3">
        <v>46625</v>
      </c>
      <c r="Q182">
        <f>YEAR([1]!Engagement_Summary[[#This Row],[Week_Start_Date]])</f>
        <v>2024</v>
      </c>
      <c r="R182">
        <f>MONTH([1]!Engagement_Summary[[#This Row],[Week_Start_Date]])</f>
        <v>12</v>
      </c>
      <c r="S182">
        <f t="shared" si="3"/>
        <v>2</v>
      </c>
      <c r="T182">
        <f>[1]!Engagement_Summary[[#This Row],[New_Followers]]-[1]!Engagement_Summary[[#This Row],[Unfollows]]</f>
        <v>1460</v>
      </c>
      <c r="AG182" s="1">
        <v>45635</v>
      </c>
      <c r="AH182" t="s">
        <v>30</v>
      </c>
      <c r="AI182" s="2">
        <v>5.4299999999999994E-2</v>
      </c>
      <c r="AJ182">
        <f>YEAR([1]!Engagement_Summary[[#This Row],[Week_Start_Date]])</f>
        <v>2024</v>
      </c>
      <c r="AK182" s="3">
        <v>46625</v>
      </c>
      <c r="AR182" s="12" t="s">
        <v>30</v>
      </c>
      <c r="AS182" s="12">
        <v>408</v>
      </c>
      <c r="AT182" s="12">
        <f>YEAR([1]!Engagement_Summary[[#This Row],[Week_Start_Date]])</f>
        <v>2024</v>
      </c>
    </row>
    <row r="183" spans="10:46" x14ac:dyDescent="0.25">
      <c r="J183" s="1">
        <v>45642</v>
      </c>
      <c r="K183" t="s">
        <v>30</v>
      </c>
      <c r="L183">
        <v>1004</v>
      </c>
      <c r="M183">
        <v>128</v>
      </c>
      <c r="N183">
        <v>488901</v>
      </c>
      <c r="O183" s="2">
        <v>8.09E-2</v>
      </c>
      <c r="P183" s="3">
        <v>49558</v>
      </c>
      <c r="Q183">
        <f>YEAR([1]!Engagement_Summary[[#This Row],[Week_Start_Date]])</f>
        <v>2025</v>
      </c>
      <c r="R183">
        <f>MONTH([1]!Engagement_Summary[[#This Row],[Week_Start_Date]])</f>
        <v>1</v>
      </c>
      <c r="S183">
        <f t="shared" si="3"/>
        <v>3</v>
      </c>
      <c r="T183">
        <f>[1]!Engagement_Summary[[#This Row],[New_Followers]]-[1]!Engagement_Summary[[#This Row],[Unfollows]]</f>
        <v>846</v>
      </c>
      <c r="AG183" s="1">
        <v>45642</v>
      </c>
      <c r="AH183" t="s">
        <v>30</v>
      </c>
      <c r="AI183" s="2">
        <v>8.09E-2</v>
      </c>
      <c r="AJ183">
        <f>YEAR([1]!Engagement_Summary[[#This Row],[Week_Start_Date]])</f>
        <v>2025</v>
      </c>
      <c r="AK183" s="3">
        <v>49558</v>
      </c>
      <c r="AR183" s="12" t="s">
        <v>30</v>
      </c>
      <c r="AS183" s="12">
        <v>161</v>
      </c>
      <c r="AT183" s="12">
        <f>YEAR([1]!Engagement_Summary[[#This Row],[Week_Start_Date]])</f>
        <v>2025</v>
      </c>
    </row>
    <row r="184" spans="10:46" x14ac:dyDescent="0.25">
      <c r="J184" s="1">
        <v>45649</v>
      </c>
      <c r="K184" t="s">
        <v>30</v>
      </c>
      <c r="L184">
        <v>1900</v>
      </c>
      <c r="M184">
        <v>311</v>
      </c>
      <c r="N184">
        <v>25177</v>
      </c>
      <c r="O184" s="2">
        <v>2.8900000000000002E-2</v>
      </c>
      <c r="P184" s="3">
        <v>14154</v>
      </c>
      <c r="Q184">
        <f>YEAR([1]!Engagement_Summary[[#This Row],[Week_Start_Date]])</f>
        <v>2025</v>
      </c>
      <c r="R184">
        <f>MONTH([1]!Engagement_Summary[[#This Row],[Week_Start_Date]])</f>
        <v>1</v>
      </c>
      <c r="S184">
        <f t="shared" si="3"/>
        <v>4</v>
      </c>
      <c r="T184">
        <f>[1]!Engagement_Summary[[#This Row],[New_Followers]]-[1]!Engagement_Summary[[#This Row],[Unfollows]]</f>
        <v>901</v>
      </c>
      <c r="AG184" s="1">
        <v>45649</v>
      </c>
      <c r="AH184" t="s">
        <v>30</v>
      </c>
      <c r="AI184" s="2">
        <v>2.8900000000000002E-2</v>
      </c>
      <c r="AJ184">
        <f>YEAR([1]!Engagement_Summary[[#This Row],[Week_Start_Date]])</f>
        <v>2025</v>
      </c>
      <c r="AK184" s="3">
        <v>14154</v>
      </c>
      <c r="AR184" s="12" t="s">
        <v>30</v>
      </c>
      <c r="AS184" s="12">
        <v>163</v>
      </c>
      <c r="AT184" s="12">
        <f>YEAR([1]!Engagement_Summary[[#This Row],[Week_Start_Date]])</f>
        <v>2025</v>
      </c>
    </row>
    <row r="185" spans="10:46" x14ac:dyDescent="0.25">
      <c r="J185" s="1">
        <v>45656</v>
      </c>
      <c r="K185" t="s">
        <v>30</v>
      </c>
      <c r="L185">
        <v>1495</v>
      </c>
      <c r="M185">
        <v>35</v>
      </c>
      <c r="N185">
        <v>136845</v>
      </c>
      <c r="O185" s="2">
        <v>4.4800000000000006E-2</v>
      </c>
      <c r="P185" s="3">
        <v>39931</v>
      </c>
      <c r="Q185">
        <f>YEAR([1]!Engagement_Summary[[#This Row],[Week_Start_Date]])</f>
        <v>2025</v>
      </c>
      <c r="R185">
        <f>MONTH([1]!Engagement_Summary[[#This Row],[Week_Start_Date]])</f>
        <v>1</v>
      </c>
      <c r="S185">
        <f t="shared" si="3"/>
        <v>5</v>
      </c>
      <c r="T185">
        <f>[1]!Engagement_Summary[[#This Row],[New_Followers]]-[1]!Engagement_Summary[[#This Row],[Unfollows]]</f>
        <v>724</v>
      </c>
      <c r="AG185" s="1">
        <v>45656</v>
      </c>
      <c r="AH185" t="s">
        <v>30</v>
      </c>
      <c r="AI185" s="2">
        <v>4.4800000000000006E-2</v>
      </c>
      <c r="AJ185">
        <f>YEAR([1]!Engagement_Summary[[#This Row],[Week_Start_Date]])</f>
        <v>2025</v>
      </c>
      <c r="AK185" s="3">
        <v>39931</v>
      </c>
      <c r="AR185" s="12" t="s">
        <v>30</v>
      </c>
      <c r="AS185" s="12">
        <v>128</v>
      </c>
      <c r="AT185" s="12">
        <f>YEAR([1]!Engagement_Summary[[#This Row],[Week_Start_Date]])</f>
        <v>2025</v>
      </c>
    </row>
    <row r="186" spans="10:46" x14ac:dyDescent="0.25">
      <c r="J186" s="1">
        <v>45663</v>
      </c>
      <c r="K186" t="s">
        <v>30</v>
      </c>
      <c r="L186">
        <v>891</v>
      </c>
      <c r="M186">
        <v>45</v>
      </c>
      <c r="N186">
        <v>95410</v>
      </c>
      <c r="O186" s="2">
        <v>8.3299999999999999E-2</v>
      </c>
      <c r="P186" s="3">
        <v>15045</v>
      </c>
      <c r="Q186">
        <f>YEAR([1]!Engagement_Summary[[#This Row],[Week_Start_Date]])</f>
        <v>2025</v>
      </c>
      <c r="R186">
        <f>MONTH([1]!Engagement_Summary[[#This Row],[Week_Start_Date]])</f>
        <v>1</v>
      </c>
      <c r="S186">
        <f t="shared" si="3"/>
        <v>1</v>
      </c>
      <c r="T186">
        <f>[1]!Engagement_Summary[[#This Row],[New_Followers]]-[1]!Engagement_Summary[[#This Row],[Unfollows]]</f>
        <v>1225</v>
      </c>
      <c r="AG186" s="1">
        <v>45663</v>
      </c>
      <c r="AH186" t="s">
        <v>30</v>
      </c>
      <c r="AI186" s="2">
        <v>8.3299999999999999E-2</v>
      </c>
      <c r="AJ186">
        <f>YEAR([1]!Engagement_Summary[[#This Row],[Week_Start_Date]])</f>
        <v>2025</v>
      </c>
      <c r="AK186" s="3">
        <v>15045</v>
      </c>
      <c r="AR186" s="12" t="s">
        <v>30</v>
      </c>
      <c r="AS186" s="12">
        <v>311</v>
      </c>
      <c r="AT186" s="12">
        <f>YEAR([1]!Engagement_Summary[[#This Row],[Week_Start_Date]])</f>
        <v>2025</v>
      </c>
    </row>
    <row r="187" spans="10:46" x14ac:dyDescent="0.25">
      <c r="J187" s="1">
        <v>45670</v>
      </c>
      <c r="K187" t="s">
        <v>30</v>
      </c>
      <c r="L187">
        <v>1331</v>
      </c>
      <c r="M187">
        <v>430</v>
      </c>
      <c r="N187">
        <v>14437</v>
      </c>
      <c r="O187" s="2">
        <v>3.2899999999999999E-2</v>
      </c>
      <c r="P187" s="3">
        <v>40868</v>
      </c>
      <c r="Q187">
        <f>YEAR([1]!Engagement_Summary[[#This Row],[Week_Start_Date]])</f>
        <v>2025</v>
      </c>
      <c r="R187">
        <f>MONTH([1]!Engagement_Summary[[#This Row],[Week_Start_Date]])</f>
        <v>2</v>
      </c>
      <c r="S187">
        <f t="shared" si="3"/>
        <v>2</v>
      </c>
      <c r="T187">
        <f>[1]!Engagement_Summary[[#This Row],[New_Followers]]-[1]!Engagement_Summary[[#This Row],[Unfollows]]</f>
        <v>-203</v>
      </c>
      <c r="AG187" s="1">
        <v>45670</v>
      </c>
      <c r="AH187" t="s">
        <v>30</v>
      </c>
      <c r="AI187" s="2">
        <v>3.2899999999999999E-2</v>
      </c>
      <c r="AJ187">
        <f>YEAR([1]!Engagement_Summary[[#This Row],[Week_Start_Date]])</f>
        <v>2025</v>
      </c>
      <c r="AK187" s="3">
        <v>40868</v>
      </c>
      <c r="AR187" s="12" t="s">
        <v>30</v>
      </c>
      <c r="AS187" s="12">
        <v>35</v>
      </c>
      <c r="AT187" s="12">
        <f>YEAR([1]!Engagement_Summary[[#This Row],[Week_Start_Date]])</f>
        <v>2025</v>
      </c>
    </row>
    <row r="188" spans="10:46" x14ac:dyDescent="0.25">
      <c r="J188" s="1">
        <v>45677</v>
      </c>
      <c r="K188" t="s">
        <v>30</v>
      </c>
      <c r="L188">
        <v>1166</v>
      </c>
      <c r="M188">
        <v>442</v>
      </c>
      <c r="N188">
        <v>336949</v>
      </c>
      <c r="O188" s="2">
        <v>4.6799999999999994E-2</v>
      </c>
      <c r="P188" s="3">
        <v>7705</v>
      </c>
      <c r="Q188">
        <f>YEAR([1]!Engagement_Summary[[#This Row],[Week_Start_Date]])</f>
        <v>2025</v>
      </c>
      <c r="R188">
        <f>MONTH([1]!Engagement_Summary[[#This Row],[Week_Start_Date]])</f>
        <v>2</v>
      </c>
      <c r="S188">
        <f t="shared" si="3"/>
        <v>3</v>
      </c>
      <c r="T188">
        <f>[1]!Engagement_Summary[[#This Row],[New_Followers]]-[1]!Engagement_Summary[[#This Row],[Unfollows]]</f>
        <v>1444</v>
      </c>
      <c r="AG188" s="1">
        <v>45677</v>
      </c>
      <c r="AH188" t="s">
        <v>30</v>
      </c>
      <c r="AI188" s="2">
        <v>4.6799999999999994E-2</v>
      </c>
      <c r="AJ188">
        <f>YEAR([1]!Engagement_Summary[[#This Row],[Week_Start_Date]])</f>
        <v>2025</v>
      </c>
      <c r="AK188" s="3">
        <v>7705</v>
      </c>
      <c r="AR188" s="12" t="s">
        <v>30</v>
      </c>
      <c r="AS188" s="12">
        <v>45</v>
      </c>
      <c r="AT188" s="12">
        <f>YEAR([1]!Engagement_Summary[[#This Row],[Week_Start_Date]])</f>
        <v>2025</v>
      </c>
    </row>
    <row r="189" spans="10:46" x14ac:dyDescent="0.25">
      <c r="J189" s="1">
        <v>45684</v>
      </c>
      <c r="K189" t="s">
        <v>30</v>
      </c>
      <c r="L189">
        <v>1411</v>
      </c>
      <c r="M189">
        <v>186</v>
      </c>
      <c r="N189">
        <v>461669</v>
      </c>
      <c r="O189" s="2">
        <v>3.7200000000000004E-2</v>
      </c>
      <c r="P189" s="3">
        <v>43999</v>
      </c>
      <c r="Q189">
        <f>YEAR([1]!Engagement_Summary[[#This Row],[Week_Start_Date]])</f>
        <v>2025</v>
      </c>
      <c r="R189">
        <f>MONTH([1]!Engagement_Summary[[#This Row],[Week_Start_Date]])</f>
        <v>2</v>
      </c>
      <c r="S189">
        <f t="shared" si="3"/>
        <v>4</v>
      </c>
      <c r="T189">
        <f>[1]!Engagement_Summary[[#This Row],[New_Followers]]-[1]!Engagement_Summary[[#This Row],[Unfollows]]</f>
        <v>1175</v>
      </c>
      <c r="AG189" s="1">
        <v>45684</v>
      </c>
      <c r="AH189" t="s">
        <v>30</v>
      </c>
      <c r="AI189" s="2">
        <v>3.7200000000000004E-2</v>
      </c>
      <c r="AJ189">
        <f>YEAR([1]!Engagement_Summary[[#This Row],[Week_Start_Date]])</f>
        <v>2025</v>
      </c>
      <c r="AK189" s="3">
        <v>43999</v>
      </c>
      <c r="AR189" s="12" t="s">
        <v>30</v>
      </c>
      <c r="AS189" s="12">
        <v>430</v>
      </c>
      <c r="AT189" s="12">
        <f>YEAR([1]!Engagement_Summary[[#This Row],[Week_Start_Date]])</f>
        <v>2025</v>
      </c>
    </row>
    <row r="190" spans="10:46" x14ac:dyDescent="0.25">
      <c r="J190" s="1">
        <v>45691</v>
      </c>
      <c r="K190" t="s">
        <v>30</v>
      </c>
      <c r="L190">
        <v>152</v>
      </c>
      <c r="M190">
        <v>355</v>
      </c>
      <c r="N190">
        <v>270766</v>
      </c>
      <c r="O190" s="2">
        <v>9.4800000000000009E-2</v>
      </c>
      <c r="P190" s="3">
        <v>18001</v>
      </c>
      <c r="Q190">
        <f>YEAR([1]!Engagement_Summary[[#This Row],[Week_Start_Date]])</f>
        <v>2025</v>
      </c>
      <c r="R190">
        <f>MONTH([1]!Engagement_Summary[[#This Row],[Week_Start_Date]])</f>
        <v>2</v>
      </c>
      <c r="S190">
        <f t="shared" si="3"/>
        <v>1</v>
      </c>
      <c r="T190">
        <f>[1]!Engagement_Summary[[#This Row],[New_Followers]]-[1]!Engagement_Summary[[#This Row],[Unfollows]]</f>
        <v>1016</v>
      </c>
      <c r="AG190" s="1">
        <v>45691</v>
      </c>
      <c r="AH190" t="s">
        <v>30</v>
      </c>
      <c r="AI190" s="2">
        <v>9.4800000000000009E-2</v>
      </c>
      <c r="AJ190">
        <f>YEAR([1]!Engagement_Summary[[#This Row],[Week_Start_Date]])</f>
        <v>2025</v>
      </c>
      <c r="AK190" s="3">
        <v>18001</v>
      </c>
      <c r="AR190" s="12" t="s">
        <v>30</v>
      </c>
      <c r="AS190" s="12">
        <v>442</v>
      </c>
      <c r="AT190" s="12">
        <f>YEAR([1]!Engagement_Summary[[#This Row],[Week_Start_Date]])</f>
        <v>2025</v>
      </c>
    </row>
    <row r="191" spans="10:46" x14ac:dyDescent="0.25">
      <c r="J191" s="1">
        <v>45698</v>
      </c>
      <c r="K191" t="s">
        <v>30</v>
      </c>
      <c r="L191">
        <v>1707</v>
      </c>
      <c r="M191">
        <v>263</v>
      </c>
      <c r="N191">
        <v>485280</v>
      </c>
      <c r="O191" s="2">
        <v>9.0299999999999991E-2</v>
      </c>
      <c r="P191" s="3">
        <v>24494</v>
      </c>
      <c r="Q191">
        <f>YEAR([1]!Engagement_Summary[[#This Row],[Week_Start_Date]])</f>
        <v>2025</v>
      </c>
      <c r="R191">
        <f>MONTH([1]!Engagement_Summary[[#This Row],[Week_Start_Date]])</f>
        <v>3</v>
      </c>
      <c r="S191">
        <f t="shared" si="3"/>
        <v>2</v>
      </c>
      <c r="T191">
        <f>[1]!Engagement_Summary[[#This Row],[New_Followers]]-[1]!Engagement_Summary[[#This Row],[Unfollows]]</f>
        <v>315</v>
      </c>
      <c r="AG191" s="1">
        <v>45698</v>
      </c>
      <c r="AH191" t="s">
        <v>30</v>
      </c>
      <c r="AI191" s="2">
        <v>9.0299999999999991E-2</v>
      </c>
      <c r="AJ191">
        <f>YEAR([1]!Engagement_Summary[[#This Row],[Week_Start_Date]])</f>
        <v>2025</v>
      </c>
      <c r="AK191" s="3">
        <v>24494</v>
      </c>
      <c r="AR191" s="12" t="s">
        <v>30</v>
      </c>
      <c r="AS191" s="12">
        <v>186</v>
      </c>
      <c r="AT191" s="12">
        <f>YEAR([1]!Engagement_Summary[[#This Row],[Week_Start_Date]])</f>
        <v>2025</v>
      </c>
    </row>
    <row r="192" spans="10:46" x14ac:dyDescent="0.25">
      <c r="J192" s="1">
        <v>45705</v>
      </c>
      <c r="K192" t="s">
        <v>30</v>
      </c>
      <c r="L192">
        <v>1662</v>
      </c>
      <c r="M192">
        <v>487</v>
      </c>
      <c r="N192">
        <v>105980</v>
      </c>
      <c r="O192" s="2">
        <v>9.0800000000000006E-2</v>
      </c>
      <c r="P192" s="3">
        <v>22996</v>
      </c>
      <c r="Q192">
        <f>YEAR([1]!Engagement_Summary[[#This Row],[Week_Start_Date]])</f>
        <v>2025</v>
      </c>
      <c r="R192">
        <f>MONTH([1]!Engagement_Summary[[#This Row],[Week_Start_Date]])</f>
        <v>3</v>
      </c>
      <c r="S192">
        <f t="shared" si="3"/>
        <v>3</v>
      </c>
      <c r="T192">
        <f>[1]!Engagement_Summary[[#This Row],[New_Followers]]-[1]!Engagement_Summary[[#This Row],[Unfollows]]</f>
        <v>1242</v>
      </c>
      <c r="AG192" s="1">
        <v>45705</v>
      </c>
      <c r="AH192" t="s">
        <v>30</v>
      </c>
      <c r="AI192" s="2">
        <v>9.0800000000000006E-2</v>
      </c>
      <c r="AJ192">
        <f>YEAR([1]!Engagement_Summary[[#This Row],[Week_Start_Date]])</f>
        <v>2025</v>
      </c>
      <c r="AK192" s="3">
        <v>22996</v>
      </c>
      <c r="AR192" s="12" t="s">
        <v>30</v>
      </c>
      <c r="AS192" s="12">
        <v>355</v>
      </c>
      <c r="AT192" s="12">
        <f>YEAR([1]!Engagement_Summary[[#This Row],[Week_Start_Date]])</f>
        <v>2025</v>
      </c>
    </row>
    <row r="193" spans="10:46" x14ac:dyDescent="0.25">
      <c r="J193" s="1">
        <v>45712</v>
      </c>
      <c r="K193" t="s">
        <v>30</v>
      </c>
      <c r="L193">
        <v>1063</v>
      </c>
      <c r="M193">
        <v>47</v>
      </c>
      <c r="N193">
        <v>464239</v>
      </c>
      <c r="O193" s="2">
        <v>6.5799999999999997E-2</v>
      </c>
      <c r="P193" s="3">
        <v>39031</v>
      </c>
      <c r="Q193">
        <f>YEAR([1]!Engagement_Summary[[#This Row],[Week_Start_Date]])</f>
        <v>2025</v>
      </c>
      <c r="R193">
        <f>MONTH([1]!Engagement_Summary[[#This Row],[Week_Start_Date]])</f>
        <v>3</v>
      </c>
      <c r="S193">
        <f t="shared" si="3"/>
        <v>4</v>
      </c>
      <c r="T193">
        <f>[1]!Engagement_Summary[[#This Row],[New_Followers]]-[1]!Engagement_Summary[[#This Row],[Unfollows]]</f>
        <v>1385</v>
      </c>
      <c r="AG193" s="1">
        <v>45712</v>
      </c>
      <c r="AH193" t="s">
        <v>30</v>
      </c>
      <c r="AI193" s="2">
        <v>6.5799999999999997E-2</v>
      </c>
      <c r="AJ193">
        <f>YEAR([1]!Engagement_Summary[[#This Row],[Week_Start_Date]])</f>
        <v>2025</v>
      </c>
      <c r="AK193" s="3">
        <v>39031</v>
      </c>
      <c r="AR193" s="12" t="s">
        <v>30</v>
      </c>
      <c r="AS193" s="12">
        <v>263</v>
      </c>
      <c r="AT193" s="12">
        <f>YEAR([1]!Engagement_Summary[[#This Row],[Week_Start_Date]])</f>
        <v>2025</v>
      </c>
    </row>
    <row r="194" spans="10:46" x14ac:dyDescent="0.25">
      <c r="J194" s="1">
        <v>45719</v>
      </c>
      <c r="K194" t="s">
        <v>30</v>
      </c>
      <c r="L194">
        <v>510</v>
      </c>
      <c r="M194">
        <v>195</v>
      </c>
      <c r="N194">
        <v>224534</v>
      </c>
      <c r="O194" s="2">
        <v>9.4E-2</v>
      </c>
      <c r="P194" s="3">
        <v>30987</v>
      </c>
      <c r="Q194">
        <f>YEAR([1]!Engagement_Summary[[#This Row],[Week_Start_Date]])</f>
        <v>2025</v>
      </c>
      <c r="R194">
        <f>MONTH([1]!Engagement_Summary[[#This Row],[Week_Start_Date]])</f>
        <v>3</v>
      </c>
      <c r="S194">
        <f t="shared" si="3"/>
        <v>1</v>
      </c>
      <c r="T194">
        <f>[1]!Engagement_Summary[[#This Row],[New_Followers]]-[1]!Engagement_Summary[[#This Row],[Unfollows]]</f>
        <v>389</v>
      </c>
      <c r="AG194" s="1">
        <v>45719</v>
      </c>
      <c r="AH194" t="s">
        <v>30</v>
      </c>
      <c r="AI194" s="2">
        <v>9.4E-2</v>
      </c>
      <c r="AJ194">
        <f>YEAR([1]!Engagement_Summary[[#This Row],[Week_Start_Date]])</f>
        <v>2025</v>
      </c>
      <c r="AK194" s="3">
        <v>30987</v>
      </c>
      <c r="AR194" s="12" t="s">
        <v>30</v>
      </c>
      <c r="AS194" s="12">
        <v>487</v>
      </c>
      <c r="AT194" s="12">
        <f>YEAR([1]!Engagement_Summary[[#This Row],[Week_Start_Date]])</f>
        <v>2025</v>
      </c>
    </row>
    <row r="195" spans="10:46" x14ac:dyDescent="0.25">
      <c r="J195" s="1">
        <v>45726</v>
      </c>
      <c r="K195" t="s">
        <v>30</v>
      </c>
      <c r="L195">
        <v>1658</v>
      </c>
      <c r="M195">
        <v>416</v>
      </c>
      <c r="N195">
        <v>98397</v>
      </c>
      <c r="O195" s="2">
        <v>6.1100000000000002E-2</v>
      </c>
      <c r="P195" s="3">
        <v>11383</v>
      </c>
      <c r="Q195">
        <f>YEAR([1]!Engagement_Summary[[#This Row],[Week_Start_Date]])</f>
        <v>2025</v>
      </c>
      <c r="R195">
        <f>MONTH([1]!Engagement_Summary[[#This Row],[Week_Start_Date]])</f>
        <v>3</v>
      </c>
      <c r="S195">
        <f t="shared" si="3"/>
        <v>2</v>
      </c>
      <c r="T195">
        <f>[1]!Engagement_Summary[[#This Row],[New_Followers]]-[1]!Engagement_Summary[[#This Row],[Unfollows]]</f>
        <v>1467</v>
      </c>
      <c r="AG195" s="1">
        <v>45726</v>
      </c>
      <c r="AH195" t="s">
        <v>30</v>
      </c>
      <c r="AI195" s="2">
        <v>6.1100000000000002E-2</v>
      </c>
      <c r="AJ195">
        <f>YEAR([1]!Engagement_Summary[[#This Row],[Week_Start_Date]])</f>
        <v>2025</v>
      </c>
      <c r="AK195" s="3">
        <v>11383</v>
      </c>
      <c r="AR195" s="12" t="s">
        <v>30</v>
      </c>
      <c r="AS195" s="12">
        <v>47</v>
      </c>
      <c r="AT195" s="12">
        <f>YEAR([1]!Engagement_Summary[[#This Row],[Week_Start_Date]])</f>
        <v>2025</v>
      </c>
    </row>
    <row r="196" spans="10:46" x14ac:dyDescent="0.25">
      <c r="J196" s="1">
        <v>45733</v>
      </c>
      <c r="K196" t="s">
        <v>30</v>
      </c>
      <c r="L196">
        <v>1596</v>
      </c>
      <c r="M196">
        <v>211</v>
      </c>
      <c r="N196">
        <v>17380</v>
      </c>
      <c r="O196" s="2">
        <v>8.6400000000000005E-2</v>
      </c>
      <c r="P196" s="3">
        <v>35801</v>
      </c>
      <c r="Q196">
        <f>YEAR([1]!Engagement_Summary[[#This Row],[Week_Start_Date]])</f>
        <v>2025</v>
      </c>
      <c r="R196">
        <f>MONTH([1]!Engagement_Summary[[#This Row],[Week_Start_Date]])</f>
        <v>4</v>
      </c>
      <c r="S196">
        <f t="shared" si="3"/>
        <v>3</v>
      </c>
      <c r="T196">
        <f>[1]!Engagement_Summary[[#This Row],[New_Followers]]-[1]!Engagement_Summary[[#This Row],[Unfollows]]</f>
        <v>209</v>
      </c>
      <c r="AG196" s="1">
        <v>45733</v>
      </c>
      <c r="AH196" t="s">
        <v>30</v>
      </c>
      <c r="AI196" s="2">
        <v>8.6400000000000005E-2</v>
      </c>
      <c r="AJ196">
        <f>YEAR([1]!Engagement_Summary[[#This Row],[Week_Start_Date]])</f>
        <v>2025</v>
      </c>
      <c r="AK196" s="3">
        <v>35801</v>
      </c>
      <c r="AR196" s="12" t="s">
        <v>30</v>
      </c>
      <c r="AS196" s="12">
        <v>195</v>
      </c>
      <c r="AT196" s="12">
        <f>YEAR([1]!Engagement_Summary[[#This Row],[Week_Start_Date]])</f>
        <v>2025</v>
      </c>
    </row>
    <row r="197" spans="10:46" x14ac:dyDescent="0.25">
      <c r="J197" s="1">
        <v>45740</v>
      </c>
      <c r="K197" t="s">
        <v>30</v>
      </c>
      <c r="L197">
        <v>442</v>
      </c>
      <c r="M197">
        <v>53</v>
      </c>
      <c r="N197">
        <v>441931</v>
      </c>
      <c r="O197" s="2">
        <v>1.8700000000000001E-2</v>
      </c>
      <c r="P197" s="3">
        <v>20059</v>
      </c>
      <c r="Q197">
        <f>YEAR([1]!Engagement_Summary[[#This Row],[Week_Start_Date]])</f>
        <v>2025</v>
      </c>
      <c r="R197">
        <f>MONTH([1]!Engagement_Summary[[#This Row],[Week_Start_Date]])</f>
        <v>4</v>
      </c>
      <c r="S197">
        <f t="shared" ref="S197:S204" si="4" xml:space="preserve"> INT((DAY(J197)-1)/7)+1</f>
        <v>4</v>
      </c>
      <c r="T197">
        <f>[1]!Engagement_Summary[[#This Row],[New_Followers]]-[1]!Engagement_Summary[[#This Row],[Unfollows]]</f>
        <v>145</v>
      </c>
      <c r="AG197" s="1">
        <v>45740</v>
      </c>
      <c r="AH197" t="s">
        <v>30</v>
      </c>
      <c r="AI197" s="2">
        <v>1.8700000000000001E-2</v>
      </c>
      <c r="AJ197">
        <f>YEAR([1]!Engagement_Summary[[#This Row],[Week_Start_Date]])</f>
        <v>2025</v>
      </c>
      <c r="AK197" s="3">
        <v>20059</v>
      </c>
      <c r="AR197" s="12" t="s">
        <v>30</v>
      </c>
      <c r="AS197" s="12">
        <v>416</v>
      </c>
      <c r="AT197" s="12">
        <f>YEAR([1]!Engagement_Summary[[#This Row],[Week_Start_Date]])</f>
        <v>2025</v>
      </c>
    </row>
    <row r="198" spans="10:46" x14ac:dyDescent="0.25">
      <c r="J198" s="1">
        <v>45747</v>
      </c>
      <c r="K198" t="s">
        <v>30</v>
      </c>
      <c r="L198">
        <v>1957</v>
      </c>
      <c r="M198">
        <v>490</v>
      </c>
      <c r="N198">
        <v>435726</v>
      </c>
      <c r="O198" s="2">
        <v>4.7300000000000002E-2</v>
      </c>
      <c r="P198" s="3">
        <v>15969</v>
      </c>
      <c r="Q198">
        <f>YEAR([1]!Engagement_Summary[[#This Row],[Week_Start_Date]])</f>
        <v>2025</v>
      </c>
      <c r="R198">
        <f>MONTH([1]!Engagement_Summary[[#This Row],[Week_Start_Date]])</f>
        <v>4</v>
      </c>
      <c r="S198">
        <f t="shared" si="4"/>
        <v>5</v>
      </c>
      <c r="T198">
        <f>[1]!Engagement_Summary[[#This Row],[New_Followers]]-[1]!Engagement_Summary[[#This Row],[Unfollows]]</f>
        <v>1633</v>
      </c>
      <c r="AG198" s="1">
        <v>45747</v>
      </c>
      <c r="AH198" t="s">
        <v>30</v>
      </c>
      <c r="AI198" s="2">
        <v>4.7300000000000002E-2</v>
      </c>
      <c r="AJ198">
        <f>YEAR([1]!Engagement_Summary[[#This Row],[Week_Start_Date]])</f>
        <v>2025</v>
      </c>
      <c r="AK198" s="3">
        <v>15969</v>
      </c>
      <c r="AR198" s="12" t="s">
        <v>30</v>
      </c>
      <c r="AS198" s="12">
        <v>211</v>
      </c>
      <c r="AT198" s="12">
        <f>YEAR([1]!Engagement_Summary[[#This Row],[Week_Start_Date]])</f>
        <v>2025</v>
      </c>
    </row>
    <row r="199" spans="10:46" x14ac:dyDescent="0.25">
      <c r="J199" s="1">
        <v>45754</v>
      </c>
      <c r="K199" t="s">
        <v>30</v>
      </c>
      <c r="L199">
        <v>623</v>
      </c>
      <c r="M199">
        <v>414</v>
      </c>
      <c r="N199">
        <v>290354</v>
      </c>
      <c r="O199" s="2">
        <v>6.4899999999999999E-2</v>
      </c>
      <c r="P199" s="3">
        <v>39923</v>
      </c>
      <c r="Q199">
        <f>YEAR([1]!Engagement_Summary[[#This Row],[Week_Start_Date]])</f>
        <v>2025</v>
      </c>
      <c r="R199">
        <f>MONTH([1]!Engagement_Summary[[#This Row],[Week_Start_Date]])</f>
        <v>4</v>
      </c>
      <c r="S199">
        <f t="shared" si="4"/>
        <v>1</v>
      </c>
      <c r="T199">
        <f>[1]!Engagement_Summary[[#This Row],[New_Followers]]-[1]!Engagement_Summary[[#This Row],[Unfollows]]</f>
        <v>637</v>
      </c>
      <c r="AG199" s="1">
        <v>45754</v>
      </c>
      <c r="AH199" t="s">
        <v>30</v>
      </c>
      <c r="AI199" s="2">
        <v>6.4899999999999999E-2</v>
      </c>
      <c r="AJ199">
        <f>YEAR([1]!Engagement_Summary[[#This Row],[Week_Start_Date]])</f>
        <v>2025</v>
      </c>
      <c r="AK199" s="3">
        <v>39923</v>
      </c>
      <c r="AR199" s="12" t="s">
        <v>30</v>
      </c>
      <c r="AS199" s="12">
        <v>53</v>
      </c>
      <c r="AT199" s="12">
        <f>YEAR([1]!Engagement_Summary[[#This Row],[Week_Start_Date]])</f>
        <v>2025</v>
      </c>
    </row>
    <row r="200" spans="10:46" x14ac:dyDescent="0.25">
      <c r="J200" s="1">
        <v>45761</v>
      </c>
      <c r="K200" t="s">
        <v>30</v>
      </c>
      <c r="L200">
        <v>520</v>
      </c>
      <c r="M200">
        <v>375</v>
      </c>
      <c r="N200">
        <v>369525</v>
      </c>
      <c r="O200" s="2">
        <v>6.54E-2</v>
      </c>
      <c r="P200" s="3">
        <v>20733</v>
      </c>
      <c r="Q200">
        <f>YEAR([1]!Engagement_Summary[[#This Row],[Week_Start_Date]])</f>
        <v>2025</v>
      </c>
      <c r="R200">
        <f>MONTH([1]!Engagement_Summary[[#This Row],[Week_Start_Date]])</f>
        <v>5</v>
      </c>
      <c r="S200">
        <f t="shared" si="4"/>
        <v>2</v>
      </c>
      <c r="T200">
        <f>[1]!Engagement_Summary[[#This Row],[New_Followers]]-[1]!Engagement_Summary[[#This Row],[Unfollows]]</f>
        <v>864</v>
      </c>
      <c r="AG200" s="1">
        <v>45761</v>
      </c>
      <c r="AH200" t="s">
        <v>30</v>
      </c>
      <c r="AI200" s="2">
        <v>6.54E-2</v>
      </c>
      <c r="AJ200">
        <f>YEAR([1]!Engagement_Summary[[#This Row],[Week_Start_Date]])</f>
        <v>2025</v>
      </c>
      <c r="AK200" s="3">
        <v>20733</v>
      </c>
      <c r="AR200" s="12" t="s">
        <v>30</v>
      </c>
      <c r="AS200" s="12">
        <v>490</v>
      </c>
      <c r="AT200" s="12">
        <f>YEAR([1]!Engagement_Summary[[#This Row],[Week_Start_Date]])</f>
        <v>2025</v>
      </c>
    </row>
    <row r="201" spans="10:46" x14ac:dyDescent="0.25">
      <c r="J201" s="1">
        <v>45768</v>
      </c>
      <c r="K201" t="s">
        <v>30</v>
      </c>
      <c r="L201">
        <v>1707</v>
      </c>
      <c r="M201">
        <v>74</v>
      </c>
      <c r="N201">
        <v>270958</v>
      </c>
      <c r="O201" s="2">
        <v>3.0899999999999997E-2</v>
      </c>
      <c r="P201" s="3">
        <v>14090</v>
      </c>
      <c r="Q201">
        <f>YEAR([1]!Engagement_Summary[[#This Row],[Week_Start_Date]])</f>
        <v>2025</v>
      </c>
      <c r="R201">
        <f>MONTH([1]!Engagement_Summary[[#This Row],[Week_Start_Date]])</f>
        <v>5</v>
      </c>
      <c r="S201">
        <f t="shared" si="4"/>
        <v>3</v>
      </c>
      <c r="T201">
        <f>[1]!Engagement_Summary[[#This Row],[New_Followers]]-[1]!Engagement_Summary[[#This Row],[Unfollows]]</f>
        <v>-337</v>
      </c>
      <c r="AG201" s="1">
        <v>45768</v>
      </c>
      <c r="AH201" t="s">
        <v>30</v>
      </c>
      <c r="AI201" s="2">
        <v>3.0899999999999997E-2</v>
      </c>
      <c r="AJ201">
        <f>YEAR([1]!Engagement_Summary[[#This Row],[Week_Start_Date]])</f>
        <v>2025</v>
      </c>
      <c r="AK201" s="3">
        <v>14090</v>
      </c>
      <c r="AR201" s="12" t="s">
        <v>30</v>
      </c>
      <c r="AS201" s="12">
        <v>414</v>
      </c>
      <c r="AT201" s="12">
        <f>YEAR([1]!Engagement_Summary[[#This Row],[Week_Start_Date]])</f>
        <v>2025</v>
      </c>
    </row>
    <row r="202" spans="10:46" x14ac:dyDescent="0.25">
      <c r="J202" s="1">
        <v>45775</v>
      </c>
      <c r="K202" t="s">
        <v>30</v>
      </c>
      <c r="L202">
        <v>777</v>
      </c>
      <c r="M202">
        <v>140</v>
      </c>
      <c r="N202">
        <v>11435</v>
      </c>
      <c r="O202" s="2">
        <v>1.6E-2</v>
      </c>
      <c r="P202" s="3">
        <v>6832</v>
      </c>
      <c r="Q202">
        <f>YEAR([1]!Engagement_Summary[[#This Row],[Week_Start_Date]])</f>
        <v>1900</v>
      </c>
      <c r="R202">
        <f>MONTH([1]!Engagement_Summary[[#This Row],[Week_Start_Date]])</f>
        <v>1</v>
      </c>
      <c r="S202">
        <f t="shared" si="4"/>
        <v>4</v>
      </c>
      <c r="T202">
        <f>[1]!Engagement_Summary[[#This Row],[New_Followers]]-[1]!Engagement_Summary[[#This Row],[Unfollows]]</f>
        <v>0</v>
      </c>
      <c r="AG202" s="1">
        <v>45775</v>
      </c>
      <c r="AH202" t="s">
        <v>30</v>
      </c>
      <c r="AI202" s="2">
        <v>1.6E-2</v>
      </c>
      <c r="AJ202">
        <f>YEAR([1]!Engagement_Summary[[#This Row],[Week_Start_Date]])</f>
        <v>1900</v>
      </c>
      <c r="AK202" s="3">
        <v>6832</v>
      </c>
      <c r="AR202" s="12" t="s">
        <v>30</v>
      </c>
      <c r="AS202" s="12">
        <v>375</v>
      </c>
      <c r="AT202" s="12">
        <f>YEAR([1]!Engagement_Summary[[#This Row],[Week_Start_Date]])</f>
        <v>1900</v>
      </c>
    </row>
    <row r="203" spans="10:46" x14ac:dyDescent="0.25">
      <c r="J203" s="1">
        <v>45782</v>
      </c>
      <c r="K203" t="s">
        <v>30</v>
      </c>
      <c r="L203">
        <v>1035</v>
      </c>
      <c r="M203">
        <v>171</v>
      </c>
      <c r="N203">
        <v>148477</v>
      </c>
      <c r="O203" s="2">
        <v>5.21E-2</v>
      </c>
      <c r="P203" s="3">
        <v>7541</v>
      </c>
      <c r="Q203">
        <f>YEAR([1]!Engagement_Summary[[#This Row],[Week_Start_Date]])</f>
        <v>1900</v>
      </c>
      <c r="R203">
        <f>MONTH([1]!Engagement_Summary[[#This Row],[Week_Start_Date]])</f>
        <v>1</v>
      </c>
      <c r="S203">
        <f t="shared" si="4"/>
        <v>1</v>
      </c>
      <c r="T203">
        <f>[1]!Engagement_Summary[[#This Row],[New_Followers]]-[1]!Engagement_Summary[[#This Row],[Unfollows]]</f>
        <v>0</v>
      </c>
      <c r="AG203" s="1">
        <v>45782</v>
      </c>
      <c r="AH203" t="s">
        <v>30</v>
      </c>
      <c r="AI203" s="2">
        <v>5.21E-2</v>
      </c>
      <c r="AJ203">
        <f>YEAR([1]!Engagement_Summary[[#This Row],[Week_Start_Date]])</f>
        <v>1900</v>
      </c>
      <c r="AK203" s="3">
        <v>7541</v>
      </c>
      <c r="AR203" s="12" t="s">
        <v>30</v>
      </c>
      <c r="AS203" s="12">
        <v>74</v>
      </c>
      <c r="AT203" s="12">
        <f>YEAR([1]!Engagement_Summary[[#This Row],[Week_Start_Date]])</f>
        <v>1900</v>
      </c>
    </row>
    <row r="204" spans="10:46" x14ac:dyDescent="0.25">
      <c r="J204" s="1">
        <v>45789</v>
      </c>
      <c r="K204" t="s">
        <v>30</v>
      </c>
      <c r="L204">
        <v>119</v>
      </c>
      <c r="M204">
        <v>456</v>
      </c>
      <c r="N204">
        <v>82558</v>
      </c>
      <c r="O204" s="2">
        <v>6.8099999999999994E-2</v>
      </c>
      <c r="P204" s="3">
        <v>12174</v>
      </c>
      <c r="Q204">
        <f>YEAR([1]!Engagement_Summary[[#This Row],[Week_Start_Date]])</f>
        <v>1900</v>
      </c>
      <c r="R204">
        <f>MONTH([1]!Engagement_Summary[[#This Row],[Week_Start_Date]])</f>
        <v>1</v>
      </c>
      <c r="S204">
        <f t="shared" si="4"/>
        <v>2</v>
      </c>
      <c r="T204">
        <f>[1]!Engagement_Summary[[#This Row],[New_Followers]]-[1]!Engagement_Summary[[#This Row],[Unfollows]]</f>
        <v>0</v>
      </c>
      <c r="AG204" s="1">
        <v>45789</v>
      </c>
      <c r="AH204" t="s">
        <v>30</v>
      </c>
      <c r="AI204" s="2">
        <v>6.8099999999999994E-2</v>
      </c>
      <c r="AJ204">
        <f>YEAR([1]!Engagement_Summary[[#This Row],[Week_Start_Date]])</f>
        <v>1900</v>
      </c>
      <c r="AK204" s="3">
        <v>12174</v>
      </c>
      <c r="AR204" s="12" t="s">
        <v>30</v>
      </c>
      <c r="AS204" s="12">
        <v>140</v>
      </c>
      <c r="AT204" s="12">
        <f>YEAR([1]!Engagement_Summary[[#This Row],[Week_Start_Date]])</f>
        <v>1900</v>
      </c>
    </row>
    <row r="205" spans="10:46" x14ac:dyDescent="0.25">
      <c r="AR205" s="12" t="s">
        <v>30</v>
      </c>
      <c r="AS205" s="12">
        <v>171</v>
      </c>
      <c r="AT205" s="12">
        <f>YEAR([1]!Engagement_Summary[[#This Row],[Week_Start_Date]])</f>
        <v>1900</v>
      </c>
    </row>
    <row r="206" spans="10:46" x14ac:dyDescent="0.25">
      <c r="AR206" s="12" t="s">
        <v>30</v>
      </c>
      <c r="AS206" s="12">
        <v>456</v>
      </c>
      <c r="AT206" s="12">
        <f>YEAR([1]!Engagement_Summary[[#This Row],[Week_Start_Date]])</f>
        <v>1900</v>
      </c>
    </row>
  </sheetData>
  <mergeCells count="30">
    <mergeCell ref="D37:H37"/>
    <mergeCell ref="Z38:AA38"/>
    <mergeCell ref="U41:X41"/>
    <mergeCell ref="U42:X42"/>
    <mergeCell ref="D30:H30"/>
    <mergeCell ref="D31:H31"/>
    <mergeCell ref="D32:H32"/>
    <mergeCell ref="U32:X32"/>
    <mergeCell ref="Z32:Z36"/>
    <mergeCell ref="AA32:AA35"/>
    <mergeCell ref="D33:H33"/>
    <mergeCell ref="D34:H34"/>
    <mergeCell ref="D35:H35"/>
    <mergeCell ref="D36:H36"/>
    <mergeCell ref="AL17:AM17"/>
    <mergeCell ref="D20:D22"/>
    <mergeCell ref="E20:F22"/>
    <mergeCell ref="D24:D26"/>
    <mergeCell ref="E24:F26"/>
    <mergeCell ref="Z26:Z29"/>
    <mergeCell ref="AA26:AA28"/>
    <mergeCell ref="D29:H29"/>
    <mergeCell ref="U6:X6"/>
    <mergeCell ref="Z6:AB6"/>
    <mergeCell ref="D8:D11"/>
    <mergeCell ref="D15:D18"/>
    <mergeCell ref="E15:G18"/>
    <mergeCell ref="U15:X15"/>
    <mergeCell ref="U16:X16"/>
    <mergeCell ref="Z17:AA17"/>
  </mergeCells>
  <hyperlinks>
    <hyperlink ref="E2" r:id="rId7" xr:uid="{D66F5D60-E86F-4287-96EC-49C355F60166}"/>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Balaji</dc:creator>
  <cp:lastModifiedBy>Sanika Balaji</cp:lastModifiedBy>
  <dcterms:created xsi:type="dcterms:W3CDTF">2025-11-07T20:05:21Z</dcterms:created>
  <dcterms:modified xsi:type="dcterms:W3CDTF">2025-11-07T20:05:33Z</dcterms:modified>
</cp:coreProperties>
</file>